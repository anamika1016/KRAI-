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b7a0316a2c3cd2e4/Desktop/KRA  - 2026-27/"/>
    </mc:Choice>
  </mc:AlternateContent>
  <xr:revisionPtr revIDLastSave="151" documentId="13_ncr:1_{EDA7D178-9E7E-499B-9C13-2D74F297B41A}" xr6:coauthVersionLast="47" xr6:coauthVersionMax="47" xr10:uidLastSave="{952EFC7A-531E-4DC2-8FE5-E5DFA19DBA43}"/>
  <bookViews>
    <workbookView xWindow="-108" yWindow="-108" windowWidth="23256" windowHeight="12456" tabRatio="498" activeTab="57" xr2:uid="{00000000-000D-0000-FFFF-FFFF00000000}"/>
  </bookViews>
  <sheets>
    <sheet name="Rashid Sheikh" sheetId="3" r:id="rId1"/>
    <sheet name="Firoz Khan" sheetId="53" r:id="rId2"/>
    <sheet name="Prashant Dawande" sheetId="11" r:id="rId3"/>
    <sheet name="Biswa Bhushan Sethi" sheetId="45" r:id="rId4"/>
    <sheet name="Rehan Qureshi" sheetId="61" r:id="rId5"/>
    <sheet name="Jagan Mohan" sheetId="60" r:id="rId6"/>
    <sheet name="Radheshyam" sheetId="12" r:id="rId7"/>
    <sheet name="Yogendra Singh" sheetId="13" r:id="rId8"/>
    <sheet name="Hemant" sheetId="14" r:id="rId9"/>
    <sheet name="Akash Mandal" sheetId="15" r:id="rId10"/>
    <sheet name="Dr. Noushad" sheetId="1" r:id="rId11"/>
    <sheet name="Sangam Kumari" sheetId="16" r:id="rId12"/>
    <sheet name="Raj Kumar Pradhan" sheetId="17" r:id="rId13"/>
    <sheet name="Ugrasen- CC" sheetId="63" r:id="rId14"/>
    <sheet name="Jogendra Mehar- CC" sheetId="65" r:id="rId15"/>
    <sheet name="Jogendra Putel- CC" sheetId="66" r:id="rId16"/>
    <sheet name="Lilabati- CC" sheetId="64" r:id="rId17"/>
    <sheet name="Jagdish Putel- CC" sheetId="62" r:id="rId18"/>
    <sheet name="Shailesh Bagde" sheetId="18" r:id="rId19"/>
    <sheet name="Gaurav Mittal" sheetId="4" r:id="rId20"/>
    <sheet name="Archana Dubey" sheetId="19" r:id="rId21"/>
    <sheet name="Hakimuddin" sheetId="20" r:id="rId22"/>
    <sheet name="Nikita Kale" sheetId="21" r:id="rId23"/>
    <sheet name="Nidhi Saini" sheetId="22" r:id="rId24"/>
    <sheet name="Chrishmita Rout" sheetId="23" r:id="rId25"/>
    <sheet name="Pushpendra" sheetId="9" r:id="rId26"/>
    <sheet name="Chandra Singh" sheetId="24" r:id="rId27"/>
    <sheet name="Bherulal" sheetId="25" r:id="rId28"/>
    <sheet name="Manmohan Pal" sheetId="26" r:id="rId29"/>
    <sheet name="Rahul Chawla" sheetId="27" r:id="rId30"/>
    <sheet name="Prakash Jamunia" sheetId="31" r:id="rId31"/>
    <sheet name="Tarak Ghosh" sheetId="32" r:id="rId32"/>
    <sheet name="Rajesh Namdeo" sheetId="57" r:id="rId33"/>
    <sheet name="Vikas Rai" sheetId="33" r:id="rId34"/>
    <sheet name="Tilok Solanki" sheetId="34" r:id="rId35"/>
    <sheet name="Vikas Pandey" sheetId="2" r:id="rId36"/>
    <sheet name="Darshan" sheetId="28" r:id="rId37"/>
    <sheet name="Soumen" sheetId="29" r:id="rId38"/>
    <sheet name="Pushpa Nair" sheetId="30" r:id="rId39"/>
    <sheet name="Nishchal" sheetId="6" r:id="rId40"/>
    <sheet name="Monti" sheetId="35" r:id="rId41"/>
    <sheet name="Anamika" sheetId="36" r:id="rId42"/>
    <sheet name="Shubham" sheetId="37" r:id="rId43"/>
    <sheet name="Abhishek" sheetId="38" r:id="rId44"/>
    <sheet name="Mohit Namdeo" sheetId="41" r:id="rId45"/>
    <sheet name="Ugrasen - FI" sheetId="42" r:id="rId46"/>
    <sheet name="Sheshbhan - FI" sheetId="46" r:id="rId47"/>
    <sheet name="Anand Kol FI" sheetId="59" r:id="rId48"/>
    <sheet name="Ritik Pandey" sheetId="40" r:id="rId49"/>
    <sheet name="Kishan - FI" sheetId="47" r:id="rId50"/>
    <sheet name="Devendra Sharma" sheetId="39" r:id="rId51"/>
    <sheet name="Subhash - FI" sheetId="52" r:id="rId52"/>
    <sheet name="Ankit - FI" sheetId="48" r:id="rId53"/>
    <sheet name="Mahendra Soni" sheetId="43" r:id="rId54"/>
    <sheet name="Rabindra Das" sheetId="44" r:id="rId55"/>
    <sheet name="Sanjay Laveria" sheetId="7" r:id="rId56"/>
    <sheet name="Albert Rozario" sheetId="54" r:id="rId57"/>
    <sheet name="Anish - FI" sheetId="51" r:id="rId58"/>
  </sheets>
  <definedNames>
    <definedName name="_xlnm._FilterDatabase" localSheetId="3" hidden="1">'Biswa Bhushan Sethi'!$P$1:$AC$34</definedName>
    <definedName name="_xlnm._FilterDatabase" localSheetId="1" hidden="1">'Firoz Khan'!$P$1:$AC$26</definedName>
    <definedName name="_xlnm._FilterDatabase" localSheetId="8" hidden="1">Hemant!$P$1:$AC$1</definedName>
    <definedName name="_xlnm._FilterDatabase" localSheetId="2" hidden="1">'Prashant Dawande'!$P$1:$AC$36</definedName>
    <definedName name="_xlnm._FilterDatabase" localSheetId="6" hidden="1">Radheshyam!$P$1:$AC$39</definedName>
    <definedName name="_xlnm._FilterDatabase" localSheetId="0" hidden="1">'Rashid Sheikh'!$Q$1:$AC$18</definedName>
    <definedName name="_xlnm._FilterDatabase" localSheetId="4" hidden="1">'Rehan Qureshi'!$P$1:$AC$34</definedName>
    <definedName name="_xlnm._FilterDatabase" localSheetId="7" hidden="1">'Yogendra Singh'!$P$1:$AC$34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Q11" i="41" l="1"/>
  <c r="AC2" i="41"/>
  <c r="AB2" i="41"/>
  <c r="AA2" i="41"/>
  <c r="Z2" i="41"/>
  <c r="Y2" i="41"/>
  <c r="X2" i="41"/>
  <c r="W2" i="41"/>
  <c r="V2" i="41"/>
  <c r="U2" i="41"/>
  <c r="T2" i="41"/>
  <c r="S2" i="41"/>
  <c r="R2" i="41"/>
  <c r="Q2" i="41"/>
  <c r="Q31" i="66"/>
  <c r="Q30" i="66"/>
  <c r="Q29" i="66"/>
  <c r="Q28" i="66"/>
  <c r="Q27" i="66"/>
  <c r="Q26" i="66"/>
  <c r="Q25" i="66"/>
  <c r="Q24" i="66"/>
  <c r="Q23" i="66"/>
  <c r="Q20" i="66"/>
  <c r="Q19" i="66"/>
  <c r="Q18" i="66"/>
  <c r="Q17" i="66"/>
  <c r="Q16" i="66"/>
  <c r="Q15" i="66"/>
  <c r="Q14" i="66"/>
  <c r="Q13" i="66"/>
  <c r="Q12" i="66"/>
  <c r="Q11" i="66"/>
  <c r="Q10" i="66"/>
  <c r="Q9" i="66"/>
  <c r="Q8" i="66"/>
  <c r="Q7" i="66"/>
  <c r="Q6" i="66"/>
  <c r="Q5" i="66"/>
  <c r="Q4" i="66"/>
  <c r="Q3" i="66"/>
  <c r="Q2" i="66"/>
  <c r="Q31" i="64"/>
  <c r="Q30" i="64"/>
  <c r="Q29" i="64"/>
  <c r="Q28" i="64"/>
  <c r="Q27" i="64"/>
  <c r="Q26" i="64"/>
  <c r="Q25" i="64"/>
  <c r="Q24" i="64"/>
  <c r="Q23" i="64"/>
  <c r="Q20" i="64"/>
  <c r="Q19" i="64"/>
  <c r="Q18" i="64"/>
  <c r="Q17" i="64"/>
  <c r="Q16" i="64"/>
  <c r="Q15" i="64"/>
  <c r="Q14" i="64"/>
  <c r="Q13" i="64"/>
  <c r="Q12" i="64"/>
  <c r="Q11" i="64"/>
  <c r="Q10" i="64"/>
  <c r="Q9" i="64"/>
  <c r="Q8" i="64"/>
  <c r="Q7" i="64"/>
  <c r="Q6" i="64"/>
  <c r="Q5" i="64"/>
  <c r="Q4" i="64"/>
  <c r="Q3" i="64"/>
  <c r="Q2" i="64"/>
  <c r="Q31" i="63"/>
  <c r="Q30" i="63"/>
  <c r="Q29" i="63"/>
  <c r="Q28" i="63"/>
  <c r="Q27" i="63"/>
  <c r="Q26" i="63"/>
  <c r="Q25" i="63"/>
  <c r="Q24" i="63"/>
  <c r="Q23" i="63"/>
  <c r="Q20" i="63"/>
  <c r="Q19" i="63"/>
  <c r="Q18" i="63"/>
  <c r="Q17" i="63"/>
  <c r="Q16" i="63"/>
  <c r="Q15" i="63"/>
  <c r="Q14" i="63"/>
  <c r="Q13" i="63"/>
  <c r="Q12" i="63"/>
  <c r="Q11" i="63"/>
  <c r="Q10" i="63"/>
  <c r="Q9" i="63"/>
  <c r="Q8" i="63"/>
  <c r="Q7" i="63"/>
  <c r="Q6" i="63"/>
  <c r="Q5" i="63"/>
  <c r="Q4" i="63"/>
  <c r="Q3" i="63"/>
  <c r="Q2" i="63"/>
  <c r="Q31" i="65"/>
  <c r="Q30" i="65"/>
  <c r="Q29" i="65"/>
  <c r="Q28" i="65"/>
  <c r="Q27" i="65"/>
  <c r="Q26" i="65"/>
  <c r="Q25" i="65"/>
  <c r="Q24" i="65"/>
  <c r="Q23" i="65"/>
  <c r="Q20" i="65"/>
  <c r="Q19" i="65"/>
  <c r="Q18" i="65"/>
  <c r="Q17" i="65"/>
  <c r="Q16" i="65"/>
  <c r="Q15" i="65"/>
  <c r="Q14" i="65"/>
  <c r="Q13" i="65"/>
  <c r="Q12" i="65"/>
  <c r="Q11" i="65"/>
  <c r="Q10" i="65"/>
  <c r="Q9" i="65"/>
  <c r="Q8" i="65"/>
  <c r="Q7" i="65"/>
  <c r="Q6" i="65"/>
  <c r="Q5" i="65"/>
  <c r="Q4" i="65"/>
  <c r="Q3" i="65"/>
  <c r="Q2" i="65"/>
  <c r="Q31" i="62"/>
  <c r="Q30" i="62"/>
  <c r="Q29" i="62"/>
  <c r="Q28" i="62"/>
  <c r="Q27" i="62"/>
  <c r="Q26" i="62"/>
  <c r="Q25" i="62"/>
  <c r="Q24" i="62"/>
  <c r="Q23" i="62"/>
  <c r="Q20" i="62"/>
  <c r="Q19" i="62"/>
  <c r="Q18" i="62"/>
  <c r="Q17" i="62"/>
  <c r="Q16" i="62"/>
  <c r="Q15" i="62"/>
  <c r="Q14" i="62"/>
  <c r="Q13" i="62"/>
  <c r="Q12" i="62"/>
  <c r="Q11" i="62"/>
  <c r="Q10" i="62"/>
  <c r="Q9" i="62"/>
  <c r="Q8" i="62"/>
  <c r="Q7" i="62"/>
  <c r="Q6" i="62"/>
  <c r="Q5" i="62"/>
  <c r="Q4" i="62"/>
  <c r="Q3" i="62"/>
  <c r="Q2" i="62"/>
  <c r="V8" i="1"/>
  <c r="W8" i="1" s="1"/>
  <c r="T2" i="1"/>
  <c r="Q2" i="1"/>
  <c r="U2" i="1" s="1"/>
  <c r="Q32" i="45"/>
  <c r="Q31" i="45"/>
  <c r="Q30" i="45"/>
  <c r="Q29" i="45"/>
  <c r="Q28" i="45"/>
  <c r="Q27" i="45"/>
  <c r="Q26" i="45"/>
  <c r="Q25" i="45"/>
  <c r="Q20" i="45"/>
  <c r="Q19" i="45"/>
  <c r="Q18" i="45"/>
  <c r="Q17" i="45"/>
  <c r="Q16" i="45"/>
  <c r="Q12" i="45"/>
  <c r="Q10" i="45"/>
  <c r="Q32" i="61"/>
  <c r="Q31" i="61"/>
  <c r="Q30" i="61"/>
  <c r="Q29" i="61"/>
  <c r="Q28" i="61"/>
  <c r="Q27" i="61"/>
  <c r="Q26" i="61"/>
  <c r="Q25" i="61"/>
  <c r="Q20" i="61"/>
  <c r="Q19" i="61"/>
  <c r="Q18" i="61"/>
  <c r="Q17" i="61"/>
  <c r="Q16" i="61"/>
  <c r="Q12" i="61"/>
  <c r="Q10" i="61"/>
  <c r="Q8" i="14"/>
  <c r="AC3" i="31"/>
  <c r="AB3" i="31"/>
  <c r="AA3" i="31"/>
  <c r="Z3" i="31"/>
  <c r="Y3" i="31"/>
  <c r="X3" i="31"/>
  <c r="W3" i="31"/>
  <c r="V3" i="31"/>
  <c r="U3" i="31"/>
  <c r="T3" i="31"/>
  <c r="S3" i="31"/>
  <c r="R3" i="31"/>
  <c r="Q10" i="54"/>
  <c r="AC2" i="54"/>
  <c r="AB2" i="54"/>
  <c r="AA2" i="54"/>
  <c r="Z2" i="54"/>
  <c r="Y2" i="54"/>
  <c r="X2" i="54"/>
  <c r="W2" i="54"/>
  <c r="V2" i="54"/>
  <c r="U2" i="54"/>
  <c r="T2" i="54"/>
  <c r="S2" i="54"/>
  <c r="R2" i="54"/>
  <c r="AC5" i="9"/>
  <c r="AB5" i="9"/>
  <c r="AA5" i="9"/>
  <c r="X5" i="9"/>
  <c r="W5" i="9"/>
  <c r="V5" i="9"/>
  <c r="U5" i="9"/>
  <c r="T5" i="9"/>
  <c r="S5" i="9"/>
  <c r="R5" i="9"/>
  <c r="X3" i="9"/>
  <c r="W3" i="9"/>
  <c r="V3" i="9"/>
  <c r="U3" i="9"/>
  <c r="T3" i="9"/>
  <c r="S3" i="9"/>
  <c r="R3" i="9"/>
  <c r="X8" i="1" l="1"/>
  <c r="Y8" i="1" s="1"/>
  <c r="Z8" i="1" s="1"/>
  <c r="AA8" i="1" s="1"/>
  <c r="AB8" i="1" s="1"/>
  <c r="AC8" i="1" s="1"/>
  <c r="Q8" i="1"/>
  <c r="V2" i="1"/>
  <c r="Z2" i="1" s="1"/>
  <c r="W2" i="1"/>
  <c r="AA2" i="1" s="1"/>
  <c r="X2" i="1"/>
  <c r="AB2" i="1" s="1"/>
  <c r="Y2" i="1"/>
  <c r="AC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tc={9AF9BF67-344B-4C40-B6F2-BF78D5231F93}</author>
    <author>tc={10BF237C-40F7-4A24-A614-C60614AD8E50}</author>
    <author>tc={822F8878-4CBB-414A-AF7D-A55776B4FC47}</author>
  </authors>
  <commentList>
    <comment ref="U2" authorId="0" shapeId="0" xr:uid="{9AF9BF67-344B-4C40-B6F2-BF78D5231F93}">
      <text>
        <t>[Threaded comment]
Your version of Excel allows you to read this threaded comment; however, any edits to it will get removed if the file is opened in a newer version of Excel. Learn more: https://go.microsoft.com/fwlink/?linkid=870924
Comment:
    Sowing method
Reply:
    Vegetative Growth - (INM, Input Preperation-Nutrition, Weeding)</t>
      </text>
    </comment>
    <comment ref="V2" authorId="1" shapeId="0" xr:uid="{10BF237C-40F7-4A24-A614-C60614AD8E50}">
      <text>
        <t>[Threaded comment]
Your version of Excel allows you to read this threaded comment; however, any edits to it will get removed if the file is opened in a newer version of Excel. Learn more: https://go.microsoft.com/fwlink/?linkid=870924
Comment:
    Vegetative Growth - (INM, Input Preperation-Nutrition, Weeding)</t>
      </text>
    </comment>
    <comment ref="AC2" authorId="2" shapeId="0" xr:uid="{822F8878-4CBB-414A-AF7D-A55776B4FC47}">
      <text>
        <t xml:space="preserve">[Threaded comment]
Your version of Excel allows you to read this threaded comment; however, any edits to it will get removed if the file is opened in a newer version of Excel. Learn more: https://go.microsoft.com/fwlink/?linkid=870924
Comment:
    Soil Testing - Next Crop planing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tc={A729D767-1E4D-4946-A58C-597A93141EE6}</author>
    <author>tc={50105C55-F97D-4A5D-BE2C-A88F8A5C5413}</author>
    <author>tc={1B700AA8-4F1C-44F4-9EE4-5DCB8B916B3E}</author>
    <author>tc={F52D569A-CB72-4853-8BE9-A4519CD8A50F}</author>
  </authors>
  <commentList>
    <comment ref="O2" authorId="0" shapeId="0" xr:uid="{A729D767-1E4D-4946-A58C-597A93141EE6}">
      <text>
        <t xml:space="preserve">[Threaded comment]
Your version of Excel allows you to read this threaded comment; however, any edits to it will get removed if the file is opened in a newer version of Excel. Learn more: https://go.microsoft.com/fwlink/?linkid=870924
Comment:
    Is it borrower or INR? </t>
      </text>
    </comment>
    <comment ref="O3" authorId="1" shapeId="0" xr:uid="{50105C55-F97D-4A5D-BE2C-A88F8A5C5413}">
      <text>
        <t xml:space="preserve">[Threaded comment]
Your version of Excel allows you to read this threaded comment; however, any edits to it will get removed if the file is opened in a newer version of Excel. Learn more: https://go.microsoft.com/fwlink/?linkid=870924
Comment:
    %age Borrower with OTT ?  </t>
      </text>
    </comment>
    <comment ref="O4" authorId="2" shapeId="0" xr:uid="{1B700AA8-4F1C-44F4-9EE4-5DCB8B916B3E}">
      <text>
        <t xml:space="preserve">[Threaded comment]
Your version of Excel allows you to read this threaded comment; however, any edits to it will get removed if the file is opened in a newer version of Excel. Learn more: https://go.microsoft.com/fwlink/?linkid=870924
Comment:
    How do you measure this ? </t>
      </text>
    </comment>
    <comment ref="O9" authorId="3" shapeId="0" xr:uid="{F52D569A-CB72-4853-8BE9-A4519CD8A50F}">
      <text>
        <t xml:space="preserve">[Threaded comment]
Your version of Excel allows you to read this threaded comment; however, any edits to it will get removed if the file is opened in a newer version of Excel. Learn more: https://go.microsoft.com/fwlink/?linkid=870924
Comment:
    Not clear that what are we measuring here? </t>
      </text>
    </comment>
  </commentList>
</comments>
</file>

<file path=xl/sharedStrings.xml><?xml version="1.0" encoding="utf-8"?>
<sst xmlns="http://schemas.openxmlformats.org/spreadsheetml/2006/main" count="17021" uniqueCount="1069">
  <si>
    <t>Mobile No.</t>
  </si>
  <si>
    <t>Employee Name</t>
  </si>
  <si>
    <t>Employee Email</t>
  </si>
  <si>
    <t>Employee Code</t>
  </si>
  <si>
    <t>Post</t>
  </si>
  <si>
    <t>Location</t>
  </si>
  <si>
    <t>Department</t>
  </si>
  <si>
    <t>L1 Code</t>
  </si>
  <si>
    <t>L1 Employer Name</t>
  </si>
  <si>
    <t>OBS Code 1</t>
  </si>
  <si>
    <t>OBS Code 2</t>
  </si>
  <si>
    <t>Financial Year</t>
  </si>
  <si>
    <t>PAPL134</t>
  </si>
  <si>
    <t>PAPL095</t>
  </si>
  <si>
    <t>Ashis Mondal</t>
  </si>
  <si>
    <t>PAPL125</t>
  </si>
  <si>
    <t>2026-2027</t>
  </si>
  <si>
    <t>Number</t>
  </si>
  <si>
    <t>No.</t>
  </si>
  <si>
    <t>Albert Rozario</t>
  </si>
  <si>
    <t>INR</t>
  </si>
  <si>
    <t>%</t>
  </si>
  <si>
    <t>Manage contracts of PgPL &amp; ASA - Current + Future</t>
  </si>
  <si>
    <t>Facilitate SAP implementation &amp; conclude logically</t>
  </si>
  <si>
    <t>Manage Data Centre required for organic cotton, RegenAgri with a team</t>
  </si>
  <si>
    <t>Operations&amp; FI</t>
  </si>
  <si>
    <t>GM</t>
  </si>
  <si>
    <t>albert.rozario@ploughmanagro.com</t>
  </si>
  <si>
    <t>9871541059</t>
  </si>
  <si>
    <t>Overseeing and Supervision of All Finance/Accounts related work</t>
  </si>
  <si>
    <t>Check, Approve &amp; Authorise all Journal &amp; Payment Vouchers before payments.</t>
  </si>
  <si>
    <t>Checking and approving all cotton process reports.</t>
  </si>
  <si>
    <t>Approve online payments through netbanking</t>
  </si>
  <si>
    <t>Ensuring all applicable statutory compliances such as Income Tax, GST, PT etc. are completed within due date and as per applicable laws.</t>
  </si>
  <si>
    <t>Checking &amp; Authorising GST, TDS, PT workings before payment and filing of returns</t>
  </si>
  <si>
    <t>Checking &amp; Authorising Monthly salary sheet before payment.</t>
  </si>
  <si>
    <t>Regular Review &amp; follow up of all Debtors/Creditors Outstanding</t>
  </si>
  <si>
    <t>Authorising &amp; reviewing all documentation for Banks &amp; Financial Institutions for sanctioning and maintaining loans/CC limits.</t>
  </si>
  <si>
    <t xml:space="preserve">All correspondences with Banks &amp; Financial Institutions in order to ensure timely availability of Finance </t>
  </si>
  <si>
    <t>Co-ordination with all departmental heads and staff in order to ensure smooth functioning of operations.</t>
  </si>
  <si>
    <t>Compliances to all Taxation related department queries, assessments, audits etc.</t>
  </si>
  <si>
    <t>Review and provide analytical data to top management for better efficiency and strategic decision making.</t>
  </si>
  <si>
    <t>Managing and co-ordinating with Internal/External/Stock Auditors for faster and efficient completion of audits.</t>
  </si>
  <si>
    <t xml:space="preserve">Ensuring all ROC and secretarial compliances alongwith facilitating timely Board &amp; Shareholders meeting </t>
  </si>
  <si>
    <t>Review the documentation &amp; overseeing the process for Exports</t>
  </si>
  <si>
    <t>Oversee &amp; lead the Investment &amp; fundraising process with Investment bankers like Incuboo etc.</t>
  </si>
  <si>
    <t>Overseeing &amp; Controlling the entire Finance functions of PGPL</t>
  </si>
  <si>
    <t>Implementing all relevant financial controlls &amp; setting up the Finance department of PGPL</t>
  </si>
  <si>
    <t>Overseeing the Internal/Concurrent Audit process &amp; subsequent compliances of PGPL</t>
  </si>
  <si>
    <t>Accurate &amp; Timely availability of Budget V/s Actual Expenditure reports to the CEO PGPL</t>
  </si>
  <si>
    <t xml:space="preserve">Overseeing Cost centre/Project wise maintainance of Accounts of PGPL </t>
  </si>
  <si>
    <t>Incorporation &amp; setting up of Ploughman Dubai Subsidiary</t>
  </si>
  <si>
    <t xml:space="preserve">Timely Completion of all processes &amp; formalities with ODF along with Commencement of operations for Dubai Subsidiary </t>
  </si>
  <si>
    <t xml:space="preserve">Oversee the entire finance, legal, taxation compliances of Dubai Subsidiary as per applicable laws in UAE </t>
  </si>
  <si>
    <t xml:space="preserve">Timely completion of all mandatory &amp; regulatory FEMA &amp; RBI compliances in India for transactions with Dubai Subsidiary </t>
  </si>
  <si>
    <t>Implementing &amp; suggesting measures to Top management to increase the overall profitability of PAPL &amp; Group</t>
  </si>
  <si>
    <t xml:space="preserve">Overseeing the Account Finalisation process &amp; Timely availability of Standalone &amp; Consolidated Final Accounts </t>
  </si>
  <si>
    <t>Successful &amp; Timely development &amp; implementation of SAP Software for PAPL &amp; Group</t>
  </si>
  <si>
    <t xml:space="preserve">Responsible for all finance related strategic decision making for the entire Group entities </t>
  </si>
  <si>
    <t>Bhopal HO</t>
  </si>
  <si>
    <t>CFO</t>
  </si>
  <si>
    <t>PAPL109</t>
  </si>
  <si>
    <t>gaurav.mittal@ploughmanagro.com</t>
  </si>
  <si>
    <t>Gaurav Mittal</t>
  </si>
  <si>
    <t>Finance</t>
  </si>
  <si>
    <t>Nishchal Poundrik</t>
  </si>
  <si>
    <t>nishchal.poundrik@ploughmanagro.com</t>
  </si>
  <si>
    <t>PAPL063</t>
  </si>
  <si>
    <t>AGM - HR</t>
  </si>
  <si>
    <t>HR</t>
  </si>
  <si>
    <t>No. (MT)</t>
  </si>
  <si>
    <t>INR (Cr)</t>
  </si>
  <si>
    <t>Sustainable Commodity</t>
  </si>
  <si>
    <t>PAPL011</t>
  </si>
  <si>
    <t>Pushpendra Yadav</t>
  </si>
  <si>
    <t>pushpendra.yadav@ploughmanagro.com</t>
  </si>
  <si>
    <t xml:space="preserve">Procurement - Organic </t>
  </si>
  <si>
    <t>Procurement - Conventional</t>
  </si>
  <si>
    <t>Training on Capacity building of staff (Physically : Quality, PF meetings, Farmer meeting, CEO's &amp; Accountants &amp; commodity procurement etc)</t>
  </si>
  <si>
    <t>Conducting Monthly Reviews</t>
  </si>
  <si>
    <t>Conducting Quaterly Reviews</t>
  </si>
  <si>
    <t>Conducting Halfyearly Reviews</t>
  </si>
  <si>
    <t>Reduce freight and logistics costs through effective planning</t>
  </si>
  <si>
    <t>Efficient container utilization and dispatch management</t>
  </si>
  <si>
    <t>Coordinate for timely export payment realization</t>
  </si>
  <si>
    <t>Timely communication and resolution of customer queries</t>
  </si>
  <si>
    <t xml:space="preserve">Ensure compliance with Customs, DGFT, ECGC, Ice Gate </t>
  </si>
  <si>
    <t>Maintain accurate lint stock records, dispatch records, and traceability data</t>
  </si>
  <si>
    <t xml:space="preserve">Support certification activities </t>
  </si>
  <si>
    <t>Ensure timely placement of trucks/containers as per dispatch plan</t>
  </si>
  <si>
    <t>Ensure all finished goods are dispatched as per planned schedule</t>
  </si>
  <si>
    <t>Coordinate with transporters to ensure deliveries reach customers within agreed timelines</t>
  </si>
  <si>
    <t>Ensure timely loading and unloading operations without vehicle detention</t>
  </si>
  <si>
    <t>Maintain effective coordination with transporters for smooth logistics operations and issue resolution</t>
  </si>
  <si>
    <t>Minimize detention and waiting charges through proper planning</t>
  </si>
  <si>
    <t>Ensure timely verification and processing of transporter bills for payment</t>
  </si>
  <si>
    <t>Ensure timely collection and filing of PODs from transporters</t>
  </si>
  <si>
    <t>Resolve logistics and delivery-related complaints within defined timelines</t>
  </si>
  <si>
    <t>Ensure adherence to transportation regulations and company safety requirements</t>
  </si>
  <si>
    <t>Monitor transporter performance based on delivery, cost, and service quality</t>
  </si>
  <si>
    <t>Implement initiatives to improve dispatch efficiency, reduce costs, and enhance service levels</t>
  </si>
  <si>
    <t>Sanjay Laveria</t>
  </si>
  <si>
    <t>sanjay.laveriya@ploughmanagro.com</t>
  </si>
  <si>
    <t>PAPL149</t>
  </si>
  <si>
    <t>Sr. Manager</t>
  </si>
  <si>
    <t>Export &amp; Logistics</t>
  </si>
  <si>
    <t>Firoz Khan</t>
  </si>
  <si>
    <t>Ensure Gin Level documents, Photographs &amp; other documents as per the certification SOPs.</t>
  </si>
  <si>
    <t>Ensure Lot wise processing report is prepared immediately after processing and shared with Management</t>
  </si>
  <si>
    <t>No of TCs</t>
  </si>
  <si>
    <t>Collect and record keeping all the lint dispatch record for TC application.</t>
  </si>
  <si>
    <t>Prepare application for lint TC and submit to the concern Certification Agnecy</t>
  </si>
  <si>
    <t>Followup and obtain final Lint TC &amp; upload in the system.</t>
  </si>
  <si>
    <t>No of Bales</t>
  </si>
  <si>
    <t>firoz.khan@ploughmanagro.com</t>
  </si>
  <si>
    <t>PAPL080</t>
  </si>
  <si>
    <t>AGM</t>
  </si>
  <si>
    <t>Qtl.</t>
  </si>
  <si>
    <t>Anish Agnihotri</t>
  </si>
  <si>
    <t>Devendra Sharma</t>
  </si>
  <si>
    <t>NA</t>
  </si>
  <si>
    <t>Ankit Uikey</t>
  </si>
  <si>
    <t>Ritik Pandey</t>
  </si>
  <si>
    <t xml:space="preserve">Mobile No. </t>
  </si>
  <si>
    <t>Operation - FPO &amp; Gin</t>
  </si>
  <si>
    <t>PAPL053</t>
  </si>
  <si>
    <t>OBS Code 3</t>
  </si>
  <si>
    <t>OBS Code 4</t>
  </si>
  <si>
    <t xml:space="preserve">INR Lakh </t>
  </si>
  <si>
    <t>Facilitate FCA &amp; Reporting to OCA</t>
  </si>
  <si>
    <t>Facilitate TPV Validation-OCA</t>
  </si>
  <si>
    <t>Onboarding of Certification Body (CB) for new ICS</t>
  </si>
  <si>
    <t>No. of ICS Registered</t>
  </si>
  <si>
    <t>% Completion within Timeline</t>
  </si>
  <si>
    <t>% Audits Conducted as Scheduled</t>
  </si>
  <si>
    <t>% Applications Submitted on Time</t>
  </si>
  <si>
    <t>Closure of External Audit Non-Conformities (NCs)</t>
  </si>
  <si>
    <t>% NCs Closed within Timeline</t>
  </si>
  <si>
    <t>% Scopes Released within Timeline</t>
  </si>
  <si>
    <t>No. of Training Sessions</t>
  </si>
  <si>
    <t>Timely Processing and Submission of TC Applications</t>
  </si>
  <si>
    <t>Completion of Internal Inspections before Certification Deadlines</t>
  </si>
  <si>
    <t>% Farmers Inspected</t>
  </si>
  <si>
    <t>Finalization and Periodic Review of SOPs</t>
  </si>
  <si>
    <t>No. of SOPs Updated</t>
  </si>
  <si>
    <t>Standardization of ICS Document Formats</t>
  </si>
  <si>
    <t>% Formats Approved and Implemented</t>
  </si>
  <si>
    <t>Conduct Internal Audits and Ensure Timely Closure of Findings</t>
  </si>
  <si>
    <t>No. of Audits Conducted</t>
  </si>
  <si>
    <t>Monitoring and Review of Certification Officers, ICS Coordinators and Internal Inspectors</t>
  </si>
  <si>
    <t>Quarterly Performance Reviews</t>
  </si>
  <si>
    <t>Implementation of App-Based Monitoring and Process Automation</t>
  </si>
  <si>
    <t>No. of Improvement Initiatives Implemented</t>
  </si>
  <si>
    <t>Submission of MIS, Audit Reports, Compliance Reports and Management Dashboards</t>
  </si>
  <si>
    <t>% Reports Submitted on Time</t>
  </si>
  <si>
    <t>Preparation and Coordination of External Audits</t>
  </si>
  <si>
    <t>Audit Success Rate</t>
  </si>
  <si>
    <t xml:space="preserve">No. of ICS </t>
  </si>
  <si>
    <t>New ICS Registration -  Data Uploading on TraceNet</t>
  </si>
  <si>
    <t>New ICS Registration -  Audit Coordination and Completion by CB</t>
  </si>
  <si>
    <t>Certification Renewal Management -  Renewal Application Submission to CB</t>
  </si>
  <si>
    <t>Certification Renewal Management -  Data Uploading on TraceNet</t>
  </si>
  <si>
    <t>Certification Renewal Management -  Audit Coordination and Completion by CB</t>
  </si>
  <si>
    <t>Scope Issuance of ICS -  Scope Release / Certification Issuance by CB</t>
  </si>
  <si>
    <t xml:space="preserve">Finalize CBs for 2026-27 &amp; Apply for Audit -  Finalize CBs and agreement </t>
  </si>
  <si>
    <t>StaffTraining on Documentation and Record Keeping</t>
  </si>
  <si>
    <t>Staff Training on NPOP Standards and Procedures</t>
  </si>
  <si>
    <t>vikas.pandey@ploughmanagro.com</t>
  </si>
  <si>
    <t>Vikas Pandey</t>
  </si>
  <si>
    <t>IC&amp;T</t>
  </si>
  <si>
    <r>
      <t xml:space="preserve">% TCs Issued </t>
    </r>
    <r>
      <rPr>
        <sz val="11"/>
        <color rgb="FFFF0000"/>
        <rFont val="Cambria"/>
        <family val="1"/>
      </rPr>
      <t xml:space="preserve">within 15 days of delivey </t>
    </r>
  </si>
  <si>
    <t>No</t>
  </si>
  <si>
    <t>Prepare Training Calendar for Staff, AF &amp; BoDs as per the SOP.</t>
  </si>
  <si>
    <t xml:space="preserve">MT </t>
  </si>
  <si>
    <t>No packet</t>
  </si>
  <si>
    <t xml:space="preserve">Establish Procurment HUB Identify &amp; Establish (as per SOP, Tag Staff, etc.)  HUB/Gin location-Anjad, Kukshi, Jobat, Ratlam, Sausar, Kantabanji, Kesinnga (consulting MD)  </t>
  </si>
  <si>
    <t>Training of Staff as well as AF &amp; BoDs related to Procurement. FPO - BODs  (FPO Wise)</t>
  </si>
  <si>
    <t xml:space="preserve">Procurement of raw cotton  Procurement of raw cotton as per plan </t>
  </si>
  <si>
    <t>NGM Cotton Seed Distribution NGM Seed distribution</t>
  </si>
  <si>
    <t>Marketing &amp; Sales Support Marketing &amp; Sales Team</t>
  </si>
  <si>
    <t>Marketing &amp; Sales Mapping Supplied Material with ICS/TC</t>
  </si>
  <si>
    <t>Certification Support Certification team</t>
  </si>
  <si>
    <t>Gin Operations Coordination and support Gin team for Dispatch as per mapping</t>
  </si>
  <si>
    <t>rashid.shaikh@ploughmanagro.com</t>
  </si>
  <si>
    <t>Rashid Sheikh</t>
  </si>
  <si>
    <t>PAPL052</t>
  </si>
  <si>
    <t>Sustainable Fibre</t>
  </si>
  <si>
    <t>Preparare ICS wise_FPO wise procurement Plan &amp; SOP - As per the Proposed production, Prepare ICS wise/ FPO Procurement plan.</t>
  </si>
  <si>
    <t xml:space="preserve"> Brand-Area-Gin wise ICS Mapping - Collect demand from Marketing team and Mapping  Area, ICS &amp; Gin as per the requirement.</t>
  </si>
  <si>
    <t>Preparare ICS wise_FPO wise procurement Plan &amp; SOP - Prepare SOP for Procurement</t>
  </si>
  <si>
    <t>Training of Staff as well as AF &amp; BoDs related to Procurement - FBF (1 Cetralized and 5 FCO wise refresher training)</t>
  </si>
  <si>
    <t>Training of Staff as well as AF &amp; BoDs related to Procurement - AF (AF training per FPO/TO wise)</t>
  </si>
  <si>
    <t>Training of Staff as well as AF &amp; BoDs related to Procurement - TOT on Organic Cotton Procurement SOP</t>
  </si>
  <si>
    <t>Training of Staff as well as AF &amp; BoDs related to Procurement - FCO &amp; Agronomists (FCO Wise)</t>
  </si>
  <si>
    <t>Training of Staff as well as AF &amp; BoDs related to Procurement - FPO Accountant &amp; Accountant Coordinators (Odisha &amp; MP-West one each)</t>
  </si>
  <si>
    <t>Prashant Dawande</t>
  </si>
  <si>
    <t>MT</t>
  </si>
  <si>
    <t>Training &amp; Capacity building -  Raw Cotton Qulatity Parameters</t>
  </si>
  <si>
    <t>Training &amp; Capacity building -  Lint Cotton Quality Paramaters</t>
  </si>
  <si>
    <t>Training &amp; Capacity building -  Material Receipt &amp; Documentation</t>
  </si>
  <si>
    <t>Training &amp; Capacity building -  Storage (Raw Cotton, Lint)</t>
  </si>
  <si>
    <t>Gin Onboarding -  Quotation Requisition</t>
  </si>
  <si>
    <t>Gin Onboarding -  Rate Negotiation</t>
  </si>
  <si>
    <t>Gin Onboarding -  Raw Cotton Processing Plan</t>
  </si>
  <si>
    <t>Gin Onboarding -  Agreement Signing</t>
  </si>
  <si>
    <t>Inword Process -  Kapas Weighment</t>
  </si>
  <si>
    <t>Inword Process -  Inword Register Entry</t>
  </si>
  <si>
    <t>Inword Process -  Moisture Measurement of Kapas</t>
  </si>
  <si>
    <t>Inword Process -  Taking Photograps of Vehicle</t>
  </si>
  <si>
    <t>Review &amp; Reporting -  Daily Reporting of arrival at Gin</t>
  </si>
  <si>
    <t>Review &amp; Reporting -  Maintain of Gin level Documents</t>
  </si>
  <si>
    <t>Processing &amp; Quality Control -  Unloading of Raw Cotton</t>
  </si>
  <si>
    <t>Processing &amp; Quality Control -  Quality Checking of Raw Cotton</t>
  </si>
  <si>
    <t>Processing &amp; Quality Control -  Heaping, Grading &amp; QC of Kapas</t>
  </si>
  <si>
    <t>Processing &amp; Quality Control -  Processing of Raw Cotton</t>
  </si>
  <si>
    <t>Processing &amp; Quality Control -  Quality Lint Produce</t>
  </si>
  <si>
    <t>Processing &amp; Quality Control -  Lint Out Turn</t>
  </si>
  <si>
    <t>Processing &amp; Quality Control -  Lint Moisture</t>
  </si>
  <si>
    <t>Processing &amp; Quality Control -  Kakda Produce</t>
  </si>
  <si>
    <t>Processing &amp; Quality Control -  Marking on Bales</t>
  </si>
  <si>
    <t>Processing &amp; Quality Control -  No of bales produce</t>
  </si>
  <si>
    <t>Processing &amp; Quality Control -  Lot Creation of Cotton Bales</t>
  </si>
  <si>
    <t xml:space="preserve">Storage &amp; Dispatch of Finished Goods -  No of bales dispatch </t>
  </si>
  <si>
    <t>Storage &amp; Dispatch of Finished Goods -  Lint quantity dispatch</t>
  </si>
  <si>
    <t xml:space="preserve">Storage &amp; Dispatch of Finished Goods -  Storage of bales in the warehouse </t>
  </si>
  <si>
    <t>Storage &amp; Dispatch of Finished Goods -  Last Season Bales Dispatch</t>
  </si>
  <si>
    <t>Testing of Raw cotton and Lint -  GMP/PR of lint Cotton  Test</t>
  </si>
  <si>
    <t>Testing of Raw cotton and Lint -  HVI of Lint  Test</t>
  </si>
  <si>
    <t>Gin Audits (GOTS, OCS, Fairtrade, NPOP, NOP, Social) Unit addtion -  Audit</t>
  </si>
  <si>
    <t>Reconciliation -  Ensure Proper Production Record to be maintained</t>
  </si>
  <si>
    <t>Reconciliation -  Ensure Correct valume reconciliation</t>
  </si>
  <si>
    <t>Support to Registration of New ICS at Maharastra -  Ensure Timely Data Collection &amp; registration of 12 New ICS</t>
  </si>
  <si>
    <t>prashant.dawande@ploughmanagro.com</t>
  </si>
  <si>
    <t>PAPL078</t>
  </si>
  <si>
    <t>Manager</t>
  </si>
  <si>
    <t>Sausar</t>
  </si>
  <si>
    <t>GIN</t>
  </si>
  <si>
    <t>wheat procurment -   wheat storage in warehouse</t>
  </si>
  <si>
    <t>wheat procurment -   wheat dispatch</t>
  </si>
  <si>
    <t>wheat procurment -   Quality Checking of wheat</t>
  </si>
  <si>
    <t>wheat procurment -   Daily Reporting of arrival at warehouse</t>
  </si>
  <si>
    <t>wheat procurment -   Maintain of warehouse  level Documents</t>
  </si>
  <si>
    <t>Support to TC related work - Finding photos for lint TC</t>
  </si>
  <si>
    <t>Support to TC related work -  Put Geotag on Truck Photos</t>
  </si>
  <si>
    <t>Radheshyam Tawar</t>
  </si>
  <si>
    <t>radheshyam.tawar@ploughmanagro.com</t>
  </si>
  <si>
    <t>PAPL084</t>
  </si>
  <si>
    <t>Gin Incharge</t>
  </si>
  <si>
    <t>Anjad</t>
  </si>
  <si>
    <t>Gin</t>
  </si>
  <si>
    <t>PAPL085</t>
  </si>
  <si>
    <t>PAPL079</t>
  </si>
  <si>
    <t>2026-2028</t>
  </si>
  <si>
    <t>PAPL086</t>
  </si>
  <si>
    <t>2026-2029</t>
  </si>
  <si>
    <t>PAPL087</t>
  </si>
  <si>
    <t>PAPL081</t>
  </si>
  <si>
    <t>2026-2030</t>
  </si>
  <si>
    <t>PAPL088</t>
  </si>
  <si>
    <t>PAPL082</t>
  </si>
  <si>
    <t>2026-2031</t>
  </si>
  <si>
    <t>PAPL089</t>
  </si>
  <si>
    <t>PAPL083</t>
  </si>
  <si>
    <t>2026-2032</t>
  </si>
  <si>
    <t>PAPL090</t>
  </si>
  <si>
    <t>2026-2033</t>
  </si>
  <si>
    <t>PAPL091</t>
  </si>
  <si>
    <t>2026-2034</t>
  </si>
  <si>
    <t>PAPL092</t>
  </si>
  <si>
    <t>2026-2035</t>
  </si>
  <si>
    <t>PAPL093</t>
  </si>
  <si>
    <t>2026-2036</t>
  </si>
  <si>
    <t>PAPL094</t>
  </si>
  <si>
    <t>2026-2037</t>
  </si>
  <si>
    <t>2026-2038</t>
  </si>
  <si>
    <t>PAPL096</t>
  </si>
  <si>
    <t>2026-2039</t>
  </si>
  <si>
    <t>PAPL097</t>
  </si>
  <si>
    <t>2026-2040</t>
  </si>
  <si>
    <t>PAPL098</t>
  </si>
  <si>
    <t>2026-2041</t>
  </si>
  <si>
    <t>PAPL099</t>
  </si>
  <si>
    <t>2026-2042</t>
  </si>
  <si>
    <t>PAPL100</t>
  </si>
  <si>
    <t>2026-2043</t>
  </si>
  <si>
    <t>PAPL101</t>
  </si>
  <si>
    <t>2026-2044</t>
  </si>
  <si>
    <t>PAPL102</t>
  </si>
  <si>
    <t>2026-2045</t>
  </si>
  <si>
    <t>PAPL103</t>
  </si>
  <si>
    <t>2026-2046</t>
  </si>
  <si>
    <t>PAPL104</t>
  </si>
  <si>
    <t>2026-2047</t>
  </si>
  <si>
    <t>PAPL105</t>
  </si>
  <si>
    <t>2026-2048</t>
  </si>
  <si>
    <t>PAPL106</t>
  </si>
  <si>
    <t>2026-2049</t>
  </si>
  <si>
    <t>PAPL107</t>
  </si>
  <si>
    <t>2026-2050</t>
  </si>
  <si>
    <t>PAPL108</t>
  </si>
  <si>
    <t>2026-2051</t>
  </si>
  <si>
    <t>2026-2052</t>
  </si>
  <si>
    <t>PAPL110</t>
  </si>
  <si>
    <t>2026-2053</t>
  </si>
  <si>
    <t>PAPL111</t>
  </si>
  <si>
    <t>2026-2054</t>
  </si>
  <si>
    <t>PAPL112</t>
  </si>
  <si>
    <t>2026-2055</t>
  </si>
  <si>
    <t>PAPL113</t>
  </si>
  <si>
    <t>2026-2056</t>
  </si>
  <si>
    <t>PAPL114</t>
  </si>
  <si>
    <t>2026-2057</t>
  </si>
  <si>
    <t>PAPL115</t>
  </si>
  <si>
    <t>2026-2058</t>
  </si>
  <si>
    <t>PAPL116</t>
  </si>
  <si>
    <t>2026-2059</t>
  </si>
  <si>
    <t>PAPL117</t>
  </si>
  <si>
    <t>2026-2060</t>
  </si>
  <si>
    <t>PAPL118</t>
  </si>
  <si>
    <t>2026-2061</t>
  </si>
  <si>
    <t>PAPL119</t>
  </si>
  <si>
    <t>2026-2062</t>
  </si>
  <si>
    <t>PAPL120</t>
  </si>
  <si>
    <t>2026-2063</t>
  </si>
  <si>
    <t>PAPL121</t>
  </si>
  <si>
    <t>2026-2064</t>
  </si>
  <si>
    <t>Support to TC related work -  Finding photos for lint TC</t>
  </si>
  <si>
    <t>Yogendra Singh Darbar</t>
  </si>
  <si>
    <t>Kukshi</t>
  </si>
  <si>
    <t>yogendra.singh@ploughmanagro.com</t>
  </si>
  <si>
    <t>Sustainable Agriculture</t>
  </si>
  <si>
    <t>Farmers</t>
  </si>
  <si>
    <t>Ha</t>
  </si>
  <si>
    <t xml:space="preserve">INR (Lakh) </t>
  </si>
  <si>
    <t>Qtl</t>
  </si>
  <si>
    <t>Audit Compliance -  Training to Staff(ToT)</t>
  </si>
  <si>
    <t>Audit Compliance -  Staff Review Meeting</t>
  </si>
  <si>
    <t>Audit Compliance -  FFB Documentation</t>
  </si>
  <si>
    <t xml:space="preserve">Audit Compliance -  Renewal Audit of ICS </t>
  </si>
  <si>
    <t>Audit Compliance -  Pre audit documentation of ICS</t>
  </si>
  <si>
    <t>Audit Compliance -  Verification of New Farmers</t>
  </si>
  <si>
    <t>Audit Compliance -  Internal Inspection</t>
  </si>
  <si>
    <t>Audit Compliance -  Meeting with Line department</t>
  </si>
  <si>
    <t xml:space="preserve">Agri Value Chain development -  Addl. Shareholders </t>
  </si>
  <si>
    <t xml:space="preserve">Agri Value Chain development -  Addl. Share capital </t>
  </si>
  <si>
    <t>Agri Value Chain development -  Raw Cotton Procurement</t>
  </si>
  <si>
    <t>Agri Value Chain development -  Others Commodities</t>
  </si>
  <si>
    <t>PAPL024</t>
  </si>
  <si>
    <t>akash.mandal@ploughmanagro.com</t>
  </si>
  <si>
    <t>Turekela</t>
  </si>
  <si>
    <t>Akash Mandal</t>
  </si>
  <si>
    <t xml:space="preserve">Manager </t>
  </si>
  <si>
    <t>Sangam Kumari</t>
  </si>
  <si>
    <t>8210498303</t>
  </si>
  <si>
    <t>sangam.papl20@gmail.com</t>
  </si>
  <si>
    <t>PAPL133</t>
  </si>
  <si>
    <t>Noushad Parvez</t>
  </si>
  <si>
    <t>Procurment -  Turnover for the year</t>
  </si>
  <si>
    <t>Network development -  Buyer identification</t>
  </si>
  <si>
    <t>Network development -  Transportors</t>
  </si>
  <si>
    <t>Network development -  Working FPO's</t>
  </si>
  <si>
    <t>Network development -  Warehouse service Providers</t>
  </si>
  <si>
    <t>Capacity Building -  FPO Business travels</t>
  </si>
  <si>
    <t>Development of supporting staff -  Trainings</t>
  </si>
  <si>
    <t>Development of supporting staff -  Staff induction</t>
  </si>
  <si>
    <t>Compliances -  Register, records &amp; documentation</t>
  </si>
  <si>
    <t>Compliances -  MIS Generation &amp; circulation</t>
  </si>
  <si>
    <t>SCM - Procurement</t>
  </si>
  <si>
    <t>Ratlam</t>
  </si>
  <si>
    <t>chandra.singh@ploughmanagro.com</t>
  </si>
  <si>
    <t>PAPL072</t>
  </si>
  <si>
    <t>Chandra Singh Gurjar</t>
  </si>
  <si>
    <t>Bherulal Rathore</t>
  </si>
  <si>
    <t>bherulal.rathore@ploughmanagro.com</t>
  </si>
  <si>
    <t>Manmohan Pal</t>
  </si>
  <si>
    <t>PAPL076</t>
  </si>
  <si>
    <t>manmohan.pal@ploughmanagro.com</t>
  </si>
  <si>
    <t>Chhindwara</t>
  </si>
  <si>
    <t>Rahul Chawda</t>
  </si>
  <si>
    <t>rahul.chawda@ploughmanagro.com</t>
  </si>
  <si>
    <t>PAPL166</t>
  </si>
  <si>
    <t>PAPL167</t>
  </si>
  <si>
    <t>prakash.jamuniya@ploughmanagro.com</t>
  </si>
  <si>
    <t>Prakash Jaminiya</t>
  </si>
  <si>
    <t>9425969634</t>
  </si>
  <si>
    <t>Mandla</t>
  </si>
  <si>
    <t>Rajesh Namdeo</t>
  </si>
  <si>
    <t>rajesh.namdeo@ploughmanagro.com</t>
  </si>
  <si>
    <t>Procurment -  Purchase Order issue to Party in KRAI Commodity and Seed</t>
  </si>
  <si>
    <t>Procurment -  Review the parity Sheet</t>
  </si>
  <si>
    <t>Procurment -  Ensure Quality Parameter in PO.</t>
  </si>
  <si>
    <t>Team Management -  Ensure Daily Review Meeting</t>
  </si>
  <si>
    <t>Team Management -  Ensure Payment Folloup with Team</t>
  </si>
  <si>
    <t>Network development -  Ensure trainee Plan with team and concer Dep</t>
  </si>
  <si>
    <t>Network development -  In Local Label meet with PAPL buyers</t>
  </si>
  <si>
    <t>Capacity Building -  App and System Training</t>
  </si>
  <si>
    <t>Capacity Building -  Real-time Reporting:</t>
  </si>
  <si>
    <t>Capacity Building -  SOP Adherence</t>
  </si>
  <si>
    <t>Data Reconciliation &amp; Reporting -  Cross-Verifying Transactions</t>
  </si>
  <si>
    <t>Data Reconciliation &amp; Reporting -  Morning Deadlines</t>
  </si>
  <si>
    <t>Data Reconciliation &amp; Reporting -  Expense Tracking in PDO</t>
  </si>
  <si>
    <t>tarak.ghosh@ploughmanagro.com</t>
  </si>
  <si>
    <t>Sr. Exe</t>
  </si>
  <si>
    <t>Tarak Ghosh</t>
  </si>
  <si>
    <t>PAPL012</t>
  </si>
  <si>
    <t>Seed Production/ Seed Processing -  Parents Seed Arrangement to Seed Producer FPOs</t>
  </si>
  <si>
    <t>Seed Production/ Seed Processing -  Discovery of Purchase Price</t>
  </si>
  <si>
    <t>Seed Production/ Seed Processing -  During Seed Storage, Required material arrangement to FPO</t>
  </si>
  <si>
    <t>Seed Production/ Seed Processing -  Payment for FPO &amp; Organisor (For Grain)</t>
  </si>
  <si>
    <t>Graded Seed Production Through FPO -  Soybean Graded Seed</t>
  </si>
  <si>
    <t>Graded Seed Production Through FPO -  Paddy Graded Seed</t>
  </si>
  <si>
    <t>Graded Seed Production Through FPO -  Wheat Seed</t>
  </si>
  <si>
    <t>Sales &amp; Collection Targets -  Paddy Seed</t>
  </si>
  <si>
    <t>Sales &amp; Collection Targets -  Soybean Seed</t>
  </si>
  <si>
    <t>Sales &amp; Collection Targets -  Wheat Seed</t>
  </si>
  <si>
    <t>External Vendor for Seed -  As per FPO seed Requirment, Local Vendor Indetification</t>
  </si>
  <si>
    <t>External Vendor for Seed -  Price Negotation with external Vendor &amp; Organisor</t>
  </si>
  <si>
    <t>External Vendor for Seed -  PO issue &amp; Ensure terms and condition</t>
  </si>
  <si>
    <t>Compliances -  License Renewal, Monthaly Return, PC Endurcement</t>
  </si>
  <si>
    <t>As Required</t>
  </si>
  <si>
    <t>Quintals</t>
  </si>
  <si>
    <t>vikas.rai@ploughmanagro.com</t>
  </si>
  <si>
    <t>Agri Inputs</t>
  </si>
  <si>
    <t>Vikas Rai</t>
  </si>
  <si>
    <t xml:space="preserve">Disbursements -  No of borrowers </t>
  </si>
  <si>
    <t xml:space="preserve">Collections -  No of borrowers </t>
  </si>
  <si>
    <t xml:space="preserve">Compliances -  Client Protection &amp; Ethical Lending; </t>
  </si>
  <si>
    <t xml:space="preserve">Compliances -  Credit &amp; Operational Compliances; </t>
  </si>
  <si>
    <t>Compliances -  Financial Compliances;</t>
  </si>
  <si>
    <t>Compliances -  Reporting &amp; MIS Compliances;</t>
  </si>
  <si>
    <t>Compliances -  HR &amp; Staff Compliances</t>
  </si>
  <si>
    <t xml:space="preserve">Loan Utilizations Checks -  No of borrowers </t>
  </si>
  <si>
    <t>Trainings &amp; Review Meetings -  No. of Staff</t>
  </si>
  <si>
    <t>Recruitments -  No. of Staff to be filled for vacant positions as and when required</t>
  </si>
  <si>
    <t xml:space="preserve">Compliances -  Overall Program - </t>
  </si>
  <si>
    <t>abhishekg.papl20@gmail.com</t>
  </si>
  <si>
    <t>Abhishek Gaharwar</t>
  </si>
  <si>
    <t>PAPL139</t>
  </si>
  <si>
    <t>Branch Manager</t>
  </si>
  <si>
    <t>Shahdol</t>
  </si>
  <si>
    <t>Financial Inclusion</t>
  </si>
  <si>
    <t>PAPL128</t>
  </si>
  <si>
    <t>devendras.papl20@gmail.com</t>
  </si>
  <si>
    <t>PAPL161</t>
  </si>
  <si>
    <t>Kotma</t>
  </si>
  <si>
    <t>7828590597</t>
  </si>
  <si>
    <t>ritik.papl20@gmail.com</t>
  </si>
  <si>
    <t>PAPL123</t>
  </si>
  <si>
    <t>Asst. Branch Manager</t>
  </si>
  <si>
    <t>Umaria</t>
  </si>
  <si>
    <t>Cluster Coordinator - FI</t>
  </si>
  <si>
    <t>7415347063</t>
  </si>
  <si>
    <t>Ugrasen Harijan</t>
  </si>
  <si>
    <t>ugrasenh.papl20@gmail.com</t>
  </si>
  <si>
    <t>PAPL132</t>
  </si>
  <si>
    <t>sheshbhanm.papl20@gmail.com</t>
  </si>
  <si>
    <t>PAPL158</t>
  </si>
  <si>
    <t>Sheshbhan Mehara</t>
  </si>
  <si>
    <t>Anand Kol</t>
  </si>
  <si>
    <t>PAPL163</t>
  </si>
  <si>
    <t>anandk.papl20@gmail.com</t>
  </si>
  <si>
    <t>Kishan lal Kol</t>
  </si>
  <si>
    <t>PAPL160</t>
  </si>
  <si>
    <t>kishank.papl20@gmail.com</t>
  </si>
  <si>
    <t>subhashk.papl20@gmail.com</t>
  </si>
  <si>
    <t>Subhash Kanwar</t>
  </si>
  <si>
    <t>PAPL156</t>
  </si>
  <si>
    <t>PAPL145</t>
  </si>
  <si>
    <t>Berul</t>
  </si>
  <si>
    <t>ankit.papl20@gmail.com</t>
  </si>
  <si>
    <r>
      <rPr>
        <b/>
        <sz val="11"/>
        <color theme="1"/>
        <rFont val="Cambria"/>
        <family val="1"/>
      </rPr>
      <t>Disbursements</t>
    </r>
    <r>
      <rPr>
        <sz val="11"/>
        <color theme="1"/>
        <rFont val="Cambria"/>
        <family val="1"/>
      </rPr>
      <t xml:space="preserve"> - Value (INR)</t>
    </r>
  </si>
  <si>
    <r>
      <rPr>
        <b/>
        <sz val="11"/>
        <color theme="1"/>
        <rFont val="Cambria"/>
        <family val="1"/>
      </rPr>
      <t>Collection  -</t>
    </r>
    <r>
      <rPr>
        <sz val="11"/>
        <color theme="1"/>
        <rFont val="Cambria"/>
        <family val="1"/>
      </rPr>
      <t xml:space="preserve"> Efficiency % 
On-time Repayment Rate (OTRR)</t>
    </r>
  </si>
  <si>
    <r>
      <rPr>
        <b/>
        <sz val="11"/>
        <color theme="1"/>
        <rFont val="Cambria"/>
        <family val="1"/>
      </rPr>
      <t xml:space="preserve">Client Protection &amp; Ethical Lending; </t>
    </r>
    <r>
      <rPr>
        <sz val="11"/>
        <color theme="1"/>
        <rFont val="Cambria"/>
        <family val="1"/>
      </rPr>
      <t xml:space="preserve">
1. Protection and confidentiality of borrower data and personal information.
2. Transparent communication on loan terms, interest rates, charges, repayment schedules, and borrower obligations.
3. No harsh, coercive, abusive, or unethical recovery and collection practices.
4. Fair and respectful treatment of all borrowers without discrimination.
5.Clear grievance redressal mechanism for borrower complaints and dispute resolution.</t>
    </r>
  </si>
  <si>
    <r>
      <rPr>
        <b/>
        <sz val="11"/>
        <color theme="1"/>
        <rFont val="Cambria"/>
        <family val="1"/>
      </rPr>
      <t xml:space="preserve">Credit &amp; Operational Compliances; </t>
    </r>
    <r>
      <rPr>
        <sz val="11"/>
        <color theme="1"/>
        <rFont val="Cambria"/>
        <family val="1"/>
      </rPr>
      <t xml:space="preserve">
1. CGT &amp; GRT Process, Loan Appraisal Process</t>
    </r>
  </si>
  <si>
    <r>
      <rPr>
        <b/>
        <sz val="11"/>
        <color theme="1"/>
        <rFont val="Cambria"/>
        <family val="1"/>
      </rPr>
      <t xml:space="preserve">Financial Compliances; </t>
    </r>
    <r>
      <rPr>
        <sz val="11"/>
        <color theme="1"/>
        <rFont val="Cambria"/>
        <family val="1"/>
      </rPr>
      <t xml:space="preserve">
1. Compliance with applicable financial regulations, statutory requirements, and regulatory guidelines issued by RBI, MFIN &amp; Avanti Finance Pvt. Ltd.</t>
    </r>
  </si>
  <si>
    <r>
      <rPr>
        <b/>
        <sz val="11"/>
        <color theme="1"/>
        <rFont val="Cambria"/>
        <family val="1"/>
      </rPr>
      <t>Reporting &amp; MIS Compliances;</t>
    </r>
    <r>
      <rPr>
        <sz val="11"/>
        <color theme="1"/>
        <rFont val="Cambria"/>
        <family val="1"/>
      </rPr>
      <t xml:space="preserve">
1. Maintenance of accurate, complete, and up-to-date data in the Management Information System (MIS).</t>
    </r>
  </si>
  <si>
    <r>
      <rPr>
        <b/>
        <sz val="11"/>
        <color theme="1"/>
        <rFont val="Cambria"/>
        <family val="1"/>
      </rPr>
      <t>HR &amp; Staff Compliances</t>
    </r>
    <r>
      <rPr>
        <sz val="11"/>
        <color theme="1"/>
        <rFont val="Cambria"/>
        <family val="1"/>
      </rPr>
      <t xml:space="preserve">
1. Proper recruitment, background verification, appointment documentation, and induction of staff members.
2. Clear definition of roles, responsibilities, reporting structures, and code of conduct for all employees.
3. Mandatory staff training on microfinance operations, client protection principles, ethical lending, compliance, and grievance handling.</t>
    </r>
  </si>
  <si>
    <r>
      <rPr>
        <b/>
        <sz val="11"/>
        <color theme="1"/>
        <rFont val="Cambria"/>
        <family val="1"/>
      </rPr>
      <t>LUCs</t>
    </r>
    <r>
      <rPr>
        <sz val="11"/>
        <color theme="1"/>
        <rFont val="Cambria"/>
        <family val="1"/>
      </rPr>
      <t xml:space="preserve">
1. Verification that the loan amount is utilized for the intended purpose as declared by the borrower at the time of application.
2. Periodic field visits and borrower interactions to assess end-use of funds and business or livelihood activities supported through the loan. 
</t>
    </r>
    <r>
      <rPr>
        <sz val="11"/>
        <color rgb="FFC00000"/>
        <rFont val="Cambria"/>
        <family val="1"/>
      </rPr>
      <t>- This is important to maintain good asset quality (Every month 25% of the total borrower base to be reached out for LUCs)</t>
    </r>
  </si>
  <si>
    <r>
      <rPr>
        <b/>
        <sz val="11"/>
        <color theme="1"/>
        <rFont val="Cambria"/>
        <family val="1"/>
      </rPr>
      <t>Trainings &amp; Review Meetings</t>
    </r>
    <r>
      <rPr>
        <sz val="11"/>
        <color theme="1"/>
        <rFont val="Cambria"/>
        <family val="1"/>
      </rPr>
      <t xml:space="preserve"> - No. of Staff</t>
    </r>
  </si>
  <si>
    <r>
      <rPr>
        <b/>
        <sz val="11"/>
        <color theme="1"/>
        <rFont val="Cambria"/>
        <family val="1"/>
      </rPr>
      <t xml:space="preserve">Recruitment - </t>
    </r>
    <r>
      <rPr>
        <sz val="11"/>
        <color theme="1"/>
        <rFont val="Cambria"/>
        <family val="1"/>
      </rPr>
      <t>No. of Staff to be filled for vacant positions as and when required</t>
    </r>
  </si>
  <si>
    <r>
      <rPr>
        <b/>
        <sz val="11"/>
        <color theme="1"/>
        <rFont val="Cambria"/>
        <family val="1"/>
      </rPr>
      <t>Sausar &amp; Turekela</t>
    </r>
    <r>
      <rPr>
        <sz val="11"/>
        <color theme="1"/>
        <rFont val="Cambria"/>
        <family val="1"/>
      </rPr>
      <t xml:space="preserve"> - FCO operations &amp; support in coordination with Firoz Khan</t>
    </r>
  </si>
  <si>
    <r>
      <rPr>
        <b/>
        <sz val="11"/>
        <color theme="1"/>
        <rFont val="Cambria"/>
        <family val="1"/>
      </rPr>
      <t xml:space="preserve">Sausar &amp; Turekela - </t>
    </r>
    <r>
      <rPr>
        <sz val="11"/>
        <color theme="1"/>
        <rFont val="Cambria"/>
        <family val="1"/>
      </rPr>
      <t>Agronomy related Activities in terms of organic cotton program in coordination with Noushad Parvez</t>
    </r>
  </si>
  <si>
    <r>
      <rPr>
        <b/>
        <sz val="11"/>
        <color theme="1"/>
        <rFont val="Cambria"/>
        <family val="1"/>
      </rPr>
      <t>Executive Assistant to MD</t>
    </r>
    <r>
      <rPr>
        <sz val="11"/>
        <color theme="1"/>
        <rFont val="Cambria"/>
        <family val="1"/>
      </rPr>
      <t xml:space="preserve"> - As and when required</t>
    </r>
  </si>
  <si>
    <t>anish.agnihotri@ploughmanagro.com</t>
  </si>
  <si>
    <t>9074216172</t>
  </si>
  <si>
    <t>Divisional Manager</t>
  </si>
  <si>
    <r>
      <rPr>
        <b/>
        <sz val="11"/>
        <color theme="1"/>
        <rFont val="Cambria"/>
        <family val="1"/>
      </rPr>
      <t>Export Shipment Execution</t>
    </r>
    <r>
      <rPr>
        <sz val="11"/>
        <color theme="1"/>
        <rFont val="Cambria"/>
        <family val="1"/>
      </rPr>
      <t xml:space="preserve"> - Ensure timely execution of export shipments as per customer schedule</t>
    </r>
  </si>
  <si>
    <r>
      <rPr>
        <b/>
        <sz val="11"/>
        <color theme="1"/>
        <rFont val="Cambria"/>
        <family val="1"/>
      </rPr>
      <t>Export Documentation Accuracy</t>
    </r>
    <r>
      <rPr>
        <sz val="11"/>
        <color theme="1"/>
        <rFont val="Cambria"/>
        <family val="1"/>
      </rPr>
      <t xml:space="preserve"> - Ensure error-free export documentation and compliance</t>
    </r>
  </si>
  <si>
    <r>
      <rPr>
        <b/>
        <sz val="11"/>
        <color theme="1"/>
        <rFont val="Cambria"/>
        <family val="1"/>
      </rPr>
      <t xml:space="preserve">LC &amp; Banking Coordination - </t>
    </r>
    <r>
      <rPr>
        <sz val="11"/>
        <color theme="1"/>
        <rFont val="Cambria"/>
        <family val="1"/>
      </rPr>
      <t>Timely handling of LC, amendments,</t>
    </r>
  </si>
  <si>
    <r>
      <rPr>
        <b/>
        <sz val="11"/>
        <color theme="1"/>
        <rFont val="Cambria"/>
        <family val="1"/>
      </rPr>
      <t>Export Documentation Management</t>
    </r>
    <r>
      <rPr>
        <sz val="11"/>
        <color theme="1"/>
        <rFont val="Cambria"/>
        <family val="1"/>
      </rPr>
      <t xml:space="preserve"> - Preparation, verification, and timely submission of all export documents including Invoice, Packing List, BL Draft, COO, Phytosanitary Certificate, Fumigation Certificate, and LC documents</t>
    </r>
  </si>
  <si>
    <r>
      <rPr>
        <b/>
        <sz val="11"/>
        <color theme="1"/>
        <rFont val="Cambria"/>
        <family val="1"/>
      </rPr>
      <t>Cross-Functional Coordination</t>
    </r>
    <r>
      <rPr>
        <sz val="11"/>
        <color theme="1"/>
        <rFont val="Cambria"/>
        <family val="1"/>
      </rPr>
      <t xml:space="preserve"> - Ensure timely collection of required information and documents from all departments for smooth execution of exports and certifications</t>
    </r>
  </si>
  <si>
    <r>
      <rPr>
        <b/>
        <sz val="11"/>
        <color theme="1"/>
        <rFont val="Cambria"/>
        <family val="1"/>
      </rPr>
      <t xml:space="preserve">Export Draft Verification </t>
    </r>
    <r>
      <rPr>
        <sz val="11"/>
        <color theme="1"/>
        <rFont val="Cambria"/>
        <family val="1"/>
      </rPr>
      <t>- Verify Bill of Lading drafts, shipping instructions, certificates, and other export document drafts received from CHA and importers to ensure compliance with LC terms, customer requirements, and shipment details.</t>
    </r>
  </si>
  <si>
    <r>
      <rPr>
        <b/>
        <sz val="11"/>
        <color theme="1"/>
        <rFont val="Cambria"/>
        <family val="1"/>
      </rPr>
      <t xml:space="preserve">Freight Cost Control - </t>
    </r>
    <r>
      <rPr>
        <sz val="11"/>
        <color theme="1"/>
        <rFont val="Cambria"/>
        <family val="1"/>
      </rPr>
      <t>Optimize transportation costs through route planning and rate negotiations</t>
    </r>
  </si>
  <si>
    <t>Talent Acquisition -  Preparing advertisements for various positions &amp; posting in different platforms</t>
  </si>
  <si>
    <t>Talent Acquisition -  Identify panelist- internal &amp; organise interviews</t>
  </si>
  <si>
    <t>Talent Acquisition -  Negotiation on various aspects for Salary, role &amp; position offered</t>
  </si>
  <si>
    <t>Talent Acquisition -  Manage the complete recruitment cycle for sourcing the best talent from diverse sources as per manpower requirements</t>
  </si>
  <si>
    <t>Talent Acquisition -  To manage joining formalities and Company vide orientation and Induction program.</t>
  </si>
  <si>
    <t>Talent Acquisition -  VRP deployment in ICS within TAT</t>
  </si>
  <si>
    <t>Employee Engagement - Take an active involvement in the indoor/outdoor activities.</t>
  </si>
  <si>
    <t>Employee Engagement - Organize employee engagement activities, celebrations, and cultural/festival events.</t>
  </si>
  <si>
    <t>Employee Engagement - Drive initiatives related to organizational values and culture.</t>
  </si>
  <si>
    <t>Employee Engagement - Manage employee suggestion schemes and recognition of innovative ideas.</t>
  </si>
  <si>
    <t>Employee Engagement - Address employee grievances and ensure timely resolution.</t>
  </si>
  <si>
    <t xml:space="preserve">Training &amp; Development -  Refresher training on PAPL Policies, HR Manual &amp; ESS. </t>
  </si>
  <si>
    <t>Training &amp; Development -  Manage for Induction training of newly hired employees.</t>
  </si>
  <si>
    <t>Training &amp; Development -  Identifying training needs based on understanding of skills gaps requirement of departments</t>
  </si>
  <si>
    <t>Performance Appraisal -  Define goals/JD and KRA’s for employees</t>
  </si>
  <si>
    <t>Performance Appraisal -  Querterly PLI evaluation and Final Evaluation coordination.</t>
  </si>
  <si>
    <t>Performance Appraisal -  Driving PMS execution - Periodic Reviews, Final Appraisal, Rating Sharing</t>
  </si>
  <si>
    <t>Performance Appraisal -  Guide managers/Staff on how to run PMS system for their employees</t>
  </si>
  <si>
    <t>Performance Appraisal -  Co-ordination formulation/ implementation of increment, incentive and other remuneration as per policies</t>
  </si>
  <si>
    <t>Performance Appraisal -  Issue letters post-completion of the appraisal sessions to the employees.</t>
  </si>
  <si>
    <t>Performance Appraisal -  Implement performance improvement plans for under performers.</t>
  </si>
  <si>
    <t>HR Policies, Procedures, &amp; Processes -  Manage ESS &amp; HROne software.</t>
  </si>
  <si>
    <t>HR Policies, Procedures, &amp; Processes -  Keep a track of records to the all SOP’s (procedures), processes, formats / forms in line with PAPL goals</t>
  </si>
  <si>
    <t>HR Policies, Procedures, &amp; Processes -  Timely contract renewal/ probation confirmation of employees, Advisors &amp; Consultants</t>
  </si>
  <si>
    <t>Employee relation &amp; CSR -Welfare -  Ensure prompt resolution of employee grievances to maintain cordial management-employee.</t>
  </si>
  <si>
    <t>Employee relation &amp; CSR -Welfare -  Manage PF/ESIC/Gratuity/Insurance Issue</t>
  </si>
  <si>
    <t>Employee relation &amp; CSR -Welfare -  Member of Disciplinary committee to evaluate the risk &amp; frauds and Disciplinary issues.</t>
  </si>
  <si>
    <t>Employee relation &amp; CSR -Welfare -  Attend interpersonal issues arise at work place &amp; initiate self-discipline activities</t>
  </si>
  <si>
    <t>F &amp; F/ Exit Process -  Coordinate &amp; manage the Full &amp; Final Settlement with the help of finance division</t>
  </si>
  <si>
    <t>F &amp; F/ Exit Process -  Issue No-Dues clearance certificate/experience certificate</t>
  </si>
  <si>
    <t>F &amp; F/ Exit Process -  Close file of exiting staff in software &amp; clousure of hard file</t>
  </si>
  <si>
    <t>Salary &amp; Payroll Mgt -  Collect and verify attendance from all the region</t>
  </si>
  <si>
    <t>Salary &amp; Payroll Mgt -  To ensure validation of data to be accurate and truthful </t>
  </si>
  <si>
    <t>Salary &amp; Payroll Mgt -  Verify leave data with concern HODs</t>
  </si>
  <si>
    <t>Salary &amp; Payroll Mgt -  Prepare and download excel sheet from attendance software</t>
  </si>
  <si>
    <t>Salary &amp; Payroll Mgt -  Manage and resolve issues related to payroll</t>
  </si>
  <si>
    <t>Salary &amp; Payroll Mgt -  Oversee processing of payroll changes (e.g. new hires, terminations, raises) and system upgrades</t>
  </si>
  <si>
    <t>Salary &amp; Payroll Mgt -  Maintain HRMIS database</t>
  </si>
  <si>
    <t>Salary &amp; Payroll Mgt -  Ensure compliance with relevant laws and internal policies</t>
  </si>
  <si>
    <t>Feedback from Ground -  Staff must be comfortable and Happy with HR SPOC</t>
  </si>
  <si>
    <t>HR Audit -  Audit to identify the GAP of process and practice of PAPL</t>
  </si>
  <si>
    <t>HR Audit -  To check Compliance, Best practices, Function-specific.</t>
  </si>
  <si>
    <t>HR Audit - Audit of all employment contracts and letters for all designated employees.</t>
  </si>
  <si>
    <t>HR Audit -  Ensure all information in the HR system and databases are always updated and accurate.</t>
  </si>
  <si>
    <t>General Admin &amp; Facility Mgt -  Ensure smooth day-to-day administrative operations across all office premices.</t>
  </si>
  <si>
    <t>General Admin &amp; Facility Mgt -  Maintain office infrastructure, housekeeping, security, and utility services.</t>
  </si>
  <si>
    <t>General Admin &amp; Facility Mgt -  Sustainability &amp; Green Office Initiatives</t>
  </si>
  <si>
    <t>General Admin &amp; Facility Mgt -  Ensure a safe, clean, and productive work environment.</t>
  </si>
  <si>
    <t>Vendor Mgt &amp; Procurement -  Manage procurement of office stationery, consumables, and administrative requirements.</t>
  </si>
  <si>
    <t>Vendor Mgt &amp; Procurement -  Develop and maintain vendor relationships.</t>
  </si>
  <si>
    <t>Vendor Mgt &amp; Procurement -  Ensure cost-effective purchasing and timely availability of resources.</t>
  </si>
  <si>
    <t>Asset Mgt -  Maintain records of office assets, equipment, furniture, and company property.</t>
  </si>
  <si>
    <t>Asset Mgt -  Ensure proper asset allocation, tracking, verification, and disposal.</t>
  </si>
  <si>
    <t>Asset Mgt -  Office Expansion &amp; Infrastructure Projects</t>
  </si>
  <si>
    <t>Asset Mgt -  Conduct periodic asset audits.</t>
  </si>
  <si>
    <t>Contract &amp; AMC Mgt -  Monitor Annual Maintenance Contracts (AMC), lease agreements, and service contracts.</t>
  </si>
  <si>
    <t>Contract &amp; AMC Mgt -  Ensure timely renewals and vendor performance reviews.</t>
  </si>
  <si>
    <t>Contract &amp; AMC Mgt -  Track and clear pending administrative payments.</t>
  </si>
  <si>
    <t>Insurance &amp; Risk Mgt -  Manage health insurance, property insurance, and asset insurance.</t>
  </si>
  <si>
    <t>Insurance &amp; Risk Mgt -  Ensure timely policy renewals and claim settlements.</t>
  </si>
  <si>
    <t>Insurance &amp; Risk Mgt -  Minimize administrative and operational risks.</t>
  </si>
  <si>
    <t>Travel &amp; Logistics Mgt -  Coordinate travel arrangements, accommodation, and transportation for employees and visitors.</t>
  </si>
  <si>
    <t>Travel &amp; Logistics Mgt -  Employee Accommodation &amp; Guest House Management</t>
  </si>
  <si>
    <t>Travel &amp; Logistics Mgt -  Optimize travel costs while ensuring employee convenience.</t>
  </si>
  <si>
    <t>Front Office &amp; Visitor Mgt -  Ensure professional visitor handling and reception management.</t>
  </si>
  <si>
    <t>Front Office &amp; Visitor Mgt -  Monitor visitor access control and parking arrangements.</t>
  </si>
  <si>
    <t>Front Office &amp; Visitor Mgt -  Maintain corporate image through efficient front office operations.</t>
  </si>
  <si>
    <t>Event &amp; Meeting Coordination -  Organize internal meetings, training programs, conferences, and corporate events.</t>
  </si>
  <si>
    <t>Event &amp; Meeting Coordination -  Ensure seamless logistical support for all organizational events.</t>
  </si>
  <si>
    <t>Documentation &amp; Record Mgt -  Maintain administrative records, contracts, licenses, agreements, and confidential documents.</t>
  </si>
  <si>
    <t>Documentation &amp; Record Mgt -  Ensure data confidentiality and proper document control.</t>
  </si>
  <si>
    <t>Stakeholder Coordination -  Coordinate effectively with all departments, vendors, service providers, and external agencies.</t>
  </si>
  <si>
    <t>Stakeholder Coordination -  Support business operations through timely administrative services.</t>
  </si>
  <si>
    <t>Feedback from Ground -  Staff must be comfortable and Happy with ADMIN SPOC</t>
  </si>
  <si>
    <t>Monti Chakranarayan</t>
  </si>
  <si>
    <t>monti.chakranarayan@ploughmanagro.com</t>
  </si>
  <si>
    <t>PAPL032</t>
  </si>
  <si>
    <t>Administration</t>
  </si>
  <si>
    <t>9039922526</t>
  </si>
  <si>
    <t>7723879227</t>
  </si>
  <si>
    <t>Anamika Vishwakarma</t>
  </si>
  <si>
    <t>anamika.v@ploughmanagro.com</t>
  </si>
  <si>
    <t>PAPL126</t>
  </si>
  <si>
    <t>Asst. Manager</t>
  </si>
  <si>
    <t>IT</t>
  </si>
  <si>
    <t>Technical support &amp;  Trouble shooting   OF MIS Application </t>
  </si>
  <si>
    <t>MIS &amp; Web Site Maintenance and Updation etc as required</t>
  </si>
  <si>
    <t>New Report  Format Developed in Current MIS: as required by management</t>
  </si>
  <si>
    <t>Search engine optimization (SEO)   &amp; Analytics</t>
  </si>
  <si>
    <t>MIS Class (short videos related to IT tools like Anydesk, excel formula tricks, PDF/word- converting &amp; compressing for field staff, Outlook Config, Email Backup etc.)</t>
  </si>
  <si>
    <t>Resource person on IT/MIS  induction trainning </t>
  </si>
  <si>
    <t>Coordination with vendor Ingreens for development of PAPL 360 web/app application</t>
  </si>
  <si>
    <t>New web  application  Development</t>
  </si>
  <si>
    <t>Server MIS Backup</t>
  </si>
  <si>
    <t>Desktop and Laptop maintenance -HO, LO, FCO, TO, Sub TO</t>
  </si>
  <si>
    <t>All mis data entry (PDO,VRP ETC.)</t>
  </si>
  <si>
    <t>Data Backup for All HO Desktop and Laptop</t>
  </si>
  <si>
    <t>Google Form and Excel Sheet</t>
  </si>
  <si>
    <t>FPO Website  ONLY DESIGN WORK</t>
  </si>
  <si>
    <t>Staff must be comfortable and Happy with IT SPOC</t>
  </si>
  <si>
    <t>Admin</t>
  </si>
  <si>
    <t>MD's Office -  Correspondance-Dictations, Typing, filing, Mailing, scanning works etc.</t>
  </si>
  <si>
    <t>MD's Office -  Arrange documents for International travel and claims for MD</t>
  </si>
  <si>
    <t>MD's Office -  Handling daily Appointments, Remind for meetings, Tour plans of MD</t>
  </si>
  <si>
    <t>MD's Office -  Settlement of Director's tour claims &amp; other bills</t>
  </si>
  <si>
    <t>MD's Office -  Schedule appointments, draft correspondence, generate reports and other documents, maintain front desk procedures.</t>
  </si>
  <si>
    <t>MD's Office -  Travel arrangement of MD</t>
  </si>
  <si>
    <t xml:space="preserve">MD's Office -  Arrange and co-ordinate meetings and events. Maintaining confidentiality of sensitive and confidential information. </t>
  </si>
  <si>
    <t xml:space="preserve">MD's Office -  Maintains working relationships and communicates with all departments. </t>
  </si>
  <si>
    <t xml:space="preserve">MD's Office -  Handling online meetings. </t>
  </si>
  <si>
    <t xml:space="preserve">HR &amp; Admin Dept -  Maintaining Filing System &amp; registration of files at H.O. </t>
  </si>
  <si>
    <t xml:space="preserve">HR &amp; Admin Dept -  Maintaining PF related work </t>
  </si>
  <si>
    <t xml:space="preserve">HR &amp; Admin Dept -  Managing Gratuity &amp; Leave encashment scheme.   </t>
  </si>
  <si>
    <t>HR &amp; Admin Dept -  Secretarial services to Board Members &amp; guest</t>
  </si>
  <si>
    <t>HR &amp; Admin Dept -  Assisting Operational related work to Mr. Albert Rozario, GM</t>
  </si>
  <si>
    <t>HR &amp; Admin Dept -  Assisting HR related work to Mr. Nishchal, AGM-HR</t>
  </si>
  <si>
    <t>HR &amp; Admin Dept -  Assisting Board meeting related &amp; other work to Mr. Amitabh Ghosh, Sr. Advisor.</t>
  </si>
  <si>
    <t>HR &amp; Admin Dept -  Updation of Tour/Leave Board</t>
  </si>
  <si>
    <t>HR &amp; Admin Dept -  Make travel arrangement for ICS Auditors/Internal Auditors/Staff etc. &amp;  settlement of payment with travel agents</t>
  </si>
  <si>
    <t>HR &amp; Admin Dept -  Make RFPs for official payments.</t>
  </si>
  <si>
    <t>Front Office -  Responsible for Collecting couriers/post and distributing among particular officials &amp; Outward dispatching of letters/parcels.</t>
  </si>
  <si>
    <t>Front Office -  Welcoming visitors, managing phone calls, scheduling appointments etc.</t>
  </si>
  <si>
    <t>Front Office -  Telecalling with Farmers in KRAI software for seed verification.</t>
  </si>
  <si>
    <t>Feedback from Ground Staff must be comfortable and Happy with SPOC</t>
  </si>
  <si>
    <t>pushpa.nair@ploughmanagro.com</t>
  </si>
  <si>
    <t>Pushpa Nair</t>
  </si>
  <si>
    <t>New Approved Farmer List Verification and updation &amp; Upload on KRAI Portal</t>
  </si>
  <si>
    <t xml:space="preserve">AFL Data Verification, manage data, format data </t>
  </si>
  <si>
    <t>TRF Preparation for Lint Cotton &amp; Raw Cotton &amp; Other Commodities</t>
  </si>
  <si>
    <t xml:space="preserve">PDO &amp; RFP Processesing </t>
  </si>
  <si>
    <t xml:space="preserve">Maintain RFP Bill Payments </t>
  </si>
  <si>
    <t>Maintain Test Report Request data and Reports data</t>
  </si>
  <si>
    <t xml:space="preserve">Raw Cotton and other commodities data files uploading on Rudra Portal (Farmer Address, Remove, Add Crop, Area, Inspections, yield Update , harvest Update , Generate Scope preview </t>
  </si>
  <si>
    <t>Updation of TCs &amp; Scopes data on drive</t>
  </si>
  <si>
    <t xml:space="preserve">Audit status Sheet Updation </t>
  </si>
  <si>
    <t>Preparation of Raw Cotton  &amp; Lint TC Document  folder upload on deive (for Submission Lint TC)</t>
  </si>
  <si>
    <t xml:space="preserve">Processing Textile Genesis Inventory &amp; Transfer Points Raw Cotton TC &amp; Lint Cotton TC </t>
  </si>
  <si>
    <t>Lint TC Document Arrangement, Merge &amp; prepare folders  (for Submission Lint TC)</t>
  </si>
  <si>
    <t>Provide relevent data records to generate Scope preview to for CBs</t>
  </si>
  <si>
    <t>Miscellaneous Report Prepartion as and when necessary on daily basis</t>
  </si>
  <si>
    <t>PAPL151</t>
  </si>
  <si>
    <t>Shubham Gour</t>
  </si>
  <si>
    <t>Executive</t>
  </si>
  <si>
    <t>MIS</t>
  </si>
  <si>
    <t>Jagan Mohan</t>
  </si>
  <si>
    <t>mis@ploughmanagro.com</t>
  </si>
  <si>
    <t>Darshan Khandit</t>
  </si>
  <si>
    <t>Data Uploading on TraceNet</t>
  </si>
  <si>
    <t>Audit Coordination and Completion by CB</t>
  </si>
  <si>
    <t>Renewal Application Submission to CB</t>
  </si>
  <si>
    <t>Scope Release / Certification Issuance by CB</t>
  </si>
  <si>
    <t>Training on NPOP Standards and Procedures</t>
  </si>
  <si>
    <t>Training on Documentation and Record Keeping</t>
  </si>
  <si>
    <t xml:space="preserve">% TCs Issued within 15 days of delivey </t>
  </si>
  <si>
    <t>Monitoring and Review of ICS manager, field officer, and Internal Inspectors</t>
  </si>
  <si>
    <t>darshan.khandait@ploughmanagro.com</t>
  </si>
  <si>
    <t>PAPL147</t>
  </si>
  <si>
    <t>Soumen Bagdi</t>
  </si>
  <si>
    <t>PAPL130</t>
  </si>
  <si>
    <t>soumen.papl20@gmail.com</t>
  </si>
  <si>
    <t>7364063491</t>
  </si>
  <si>
    <t>Key result indicators</t>
  </si>
  <si>
    <t>Unit of measurement</t>
  </si>
  <si>
    <t>Annual target</t>
  </si>
  <si>
    <t>APR</t>
  </si>
  <si>
    <t>MAY</t>
  </si>
  <si>
    <t>JUN</t>
  </si>
  <si>
    <t>JUL</t>
  </si>
  <si>
    <t>AUG</t>
  </si>
  <si>
    <t>SEP</t>
  </si>
  <si>
    <t>OCT</t>
  </si>
  <si>
    <t>NOV</t>
  </si>
  <si>
    <t>DEC</t>
  </si>
  <si>
    <t>JAN</t>
  </si>
  <si>
    <t>FEB</t>
  </si>
  <si>
    <t>MAR</t>
  </si>
  <si>
    <t>rehanq.papl20@gmail.com</t>
  </si>
  <si>
    <t>Rehan Qureshi</t>
  </si>
  <si>
    <t>Hemant Shakkarpude</t>
  </si>
  <si>
    <t>hemant.shakkrapude@ploughmanagro.com</t>
  </si>
  <si>
    <t>Villages Coverage &amp; Outreach</t>
  </si>
  <si>
    <t xml:space="preserve">Farmers coverage-Organic farming </t>
  </si>
  <si>
    <t>FLD Trials (Cotton Farm Practices)</t>
  </si>
  <si>
    <t>FLD Trials (Biodiversity Trial Turmeric variety)</t>
  </si>
  <si>
    <t>FLD Varietal Trials (Cotton variety)</t>
  </si>
  <si>
    <t>FFS Sessions</t>
  </si>
  <si>
    <t>Farmers training-Organic Practices/coverage</t>
  </si>
  <si>
    <t>Seed Distribution</t>
  </si>
  <si>
    <t>Documentation and Success stories</t>
  </si>
  <si>
    <t>Meeting  with PRI members</t>
  </si>
  <si>
    <t>External Training to staff</t>
  </si>
  <si>
    <t>External Training to Farmers</t>
  </si>
  <si>
    <t>Organic Visibility Activity Village level branding (wall painting, Iron board, Flax )</t>
  </si>
  <si>
    <t xml:space="preserve">Estabishment of KBK </t>
  </si>
  <si>
    <t>IEC and Training Material development in Sausar</t>
  </si>
  <si>
    <t xml:space="preserve">Exposure visit </t>
  </si>
  <si>
    <t>Nadep/Vermi compost/Bistara Khad</t>
  </si>
  <si>
    <t xml:space="preserve">TOT training </t>
  </si>
  <si>
    <t>Biochar Initiative- Pilot</t>
  </si>
  <si>
    <t>Soil Sampling &amp; Soil Health Card</t>
  </si>
  <si>
    <t xml:space="preserve">Farmers/Staff Training- NPOP, NOP, ROC, Trainings </t>
  </si>
  <si>
    <t>Farmers Training-Decent Work</t>
  </si>
  <si>
    <t xml:space="preserve">Pheromone Trap Installation </t>
  </si>
  <si>
    <t>Maintain OPG register</t>
  </si>
  <si>
    <t>Training Of Lead Farmer</t>
  </si>
  <si>
    <t>CFC Trainings</t>
  </si>
  <si>
    <t>Exposure of Lead farmers</t>
  </si>
  <si>
    <t>Staff review meeting</t>
  </si>
  <si>
    <t>Conduct of village meeting (Concept Seeding On Regarding Meeting )</t>
  </si>
  <si>
    <t>Documentation (New ICS Farmers)</t>
  </si>
  <si>
    <t xml:space="preserve">Preparation of Village Map </t>
  </si>
  <si>
    <t xml:space="preserve">Approved Farmers List (AFL) </t>
  </si>
  <si>
    <t>No. of AFL</t>
  </si>
  <si>
    <t>Mobilization of  OPG group</t>
  </si>
  <si>
    <t>No. of OPGs</t>
  </si>
  <si>
    <t>Conduct of village meeting Concept Seeding New12 ICS (Hinganghat Wardha Maharashtra )</t>
  </si>
  <si>
    <t xml:space="preserve">Meeting </t>
  </si>
  <si>
    <t>Meeting with village leaders/PRI members and verification of secondry data i.e. crops details(New 12 ICS Hinganghat Wardha Maharashtra )</t>
  </si>
  <si>
    <t xml:space="preserve">Enrolment of Organic farmers  </t>
  </si>
  <si>
    <t xml:space="preserve">Farmers </t>
  </si>
  <si>
    <t xml:space="preserve">ICS  Joining Formality I.e. Application Form, Ghoshna Patra, Farmer Agreement, Risk assesment.New 12 ICS ( Hinganghat Wardha Maharashtra ) </t>
  </si>
  <si>
    <t>Signing of AoP for ICS PAN in case of new ICS registration (Hinganghat Wardha Maharashtra)</t>
  </si>
  <si>
    <t>Preperation of Village wise Map New 12 ICS ( Hinganghat Wardha Maharashtra )</t>
  </si>
  <si>
    <t>Prepare Approved Farmers List (AFL) New 12 ICS (Hinganghat Wardha Maharashtra )</t>
  </si>
  <si>
    <t>Farmers/ICS</t>
  </si>
  <si>
    <t>Formation of OPG group New 12 ICS ( Hinganghat Wardha Maharashtra )</t>
  </si>
  <si>
    <t xml:space="preserve">OPG </t>
  </si>
  <si>
    <t>Update AFL in KRAI New 12 ICS (Hinganghat Wardha Maharashtra )</t>
  </si>
  <si>
    <t xml:space="preserve"> FFB Documentation</t>
  </si>
  <si>
    <t xml:space="preserve"> Internal Inspection &amp; Documentation</t>
  </si>
  <si>
    <t xml:space="preserve"> Pre audit documentation of ICS</t>
  </si>
  <si>
    <t xml:space="preserve"> Renewal Audit of ICS</t>
  </si>
  <si>
    <t xml:space="preserve"> Attend Monthly  Meeting(Agri./Horti Department &amp; Line Department)</t>
  </si>
  <si>
    <t xml:space="preserve"> APEDA Verified Farmer</t>
  </si>
  <si>
    <t xml:space="preserve"> Residential Training of farmers</t>
  </si>
  <si>
    <t xml:space="preserve"> Existing FPOs </t>
  </si>
  <si>
    <t xml:space="preserve"> Addl. Shareholders </t>
  </si>
  <si>
    <t xml:space="preserve"> Addl. Share capital </t>
  </si>
  <si>
    <t>INR (Lakh)</t>
  </si>
  <si>
    <t xml:space="preserve"> TC document Preparation</t>
  </si>
  <si>
    <t xml:space="preserve"> Monthly Board meeting</t>
  </si>
  <si>
    <t xml:space="preserve"> Annual General Meetings</t>
  </si>
  <si>
    <t xml:space="preserve"> Sold commodity to FPOs directly Organic (Wheat &amp;Pigeon Pea)</t>
  </si>
  <si>
    <t xml:space="preserve"> Development  of Procurement Hub on Rate , Premium, mode of Payment, FAQ with ICS farmers </t>
  </si>
  <si>
    <t xml:space="preserve"> Cotton Procurement  of Quality Material </t>
  </si>
  <si>
    <t xml:space="preserve"> No. of ICS farmers  selling Produce to FPO</t>
  </si>
  <si>
    <t xml:space="preserve"> No. of Farmers  accepting Digital payment </t>
  </si>
  <si>
    <t xml:space="preserve"> Av. annual turnover </t>
  </si>
  <si>
    <t>INR (Cr.)</t>
  </si>
  <si>
    <t>Convergence WADI / Horti.Plantation area</t>
  </si>
  <si>
    <t>Ha.</t>
  </si>
  <si>
    <t xml:space="preserve">Convergence Vegetable Plots Govt. Schemes Horti department (convergence) </t>
  </si>
  <si>
    <t xml:space="preserve">Convergence Farmers linked with Govt. Schemes (convergence) </t>
  </si>
  <si>
    <t>Convergence Promotion of  Nutrigarden</t>
  </si>
  <si>
    <t>Convergence Agri.dept.(Seed distribution For demonstrations Kharif &amp; Rabi)</t>
  </si>
  <si>
    <t>Convergence Line Department Village level meeting through Connect Beneficiary with the Govt. Schemes</t>
  </si>
  <si>
    <t>Convergence Medical Health Camp(ROC)</t>
  </si>
  <si>
    <t>Demo plot (Variety)</t>
  </si>
  <si>
    <t xml:space="preserve">PVSP Trials </t>
  </si>
  <si>
    <t>PVSP (Seeds Sustainability)</t>
  </si>
  <si>
    <t>FFS be conducted</t>
  </si>
  <si>
    <t>Farmers Training</t>
  </si>
  <si>
    <t>Seeds Distribution</t>
  </si>
  <si>
    <t>Success Story</t>
  </si>
  <si>
    <t>Area covered under individual Plantation</t>
  </si>
  <si>
    <t>Meeting with PRI members</t>
  </si>
  <si>
    <t>Training by External Trainer to staff</t>
  </si>
  <si>
    <t>Training by External Trainer to Farmers</t>
  </si>
  <si>
    <t>Village Branding</t>
  </si>
  <si>
    <t>Establishment of KBK</t>
  </si>
  <si>
    <t>IEC and training material development in Odia</t>
  </si>
  <si>
    <t>Paddy Seeds Variety Trials</t>
  </si>
  <si>
    <t>HA</t>
  </si>
  <si>
    <t>rabindra.das@ploughmanagro.com</t>
  </si>
  <si>
    <t>Rabindra Das</t>
  </si>
  <si>
    <t>FPO - Accountant</t>
  </si>
  <si>
    <t>Accounts</t>
  </si>
  <si>
    <t>PAPL073</t>
  </si>
  <si>
    <t>PAPL023</t>
  </si>
  <si>
    <t>mahendra.soni@ploughmanagro.com</t>
  </si>
  <si>
    <t>Mahendra Soni</t>
  </si>
  <si>
    <t>Procurement software&amp; Activity -  Regularise the Procurement software at FPC level.</t>
  </si>
  <si>
    <t>Procurement software&amp; Activity -  System Development &amp;  Protocol develepoment for Procurement</t>
  </si>
  <si>
    <t>Procurement software&amp; Activity -  Support for completion of MIS, Accounting solution, Stock &amp; Inventory management, etc. at all FPC level.</t>
  </si>
  <si>
    <t>Procurement software&amp; Activity -  Regular Training online &amp; offline support.</t>
  </si>
  <si>
    <t>Procurement software&amp; Activity -  Compilation of MPR</t>
  </si>
  <si>
    <t>Procurement software&amp; Activity -  Support to FPC Activity- purchse &amp; Trading agri inputs</t>
  </si>
  <si>
    <t>FPO -  Statutory Compliance through CA /CS ( As per list attached )</t>
  </si>
  <si>
    <t>FPO -  BOD Training &amp; Regular Meeting-make sure the BOD themselves speaks and discuss financial and other matters</t>
  </si>
  <si>
    <t>FPO -  Maintaining registers &amp; making entry in registers-Shareholder Register, BOD Register, Register of Charges etc</t>
  </si>
  <si>
    <t>FPO -  Issuing Share Certifiacates to the shareholders</t>
  </si>
  <si>
    <t>As and when required</t>
  </si>
  <si>
    <t>FPO -  Keeping all documents in file related to ROC matters eg. Challans, E-forms, Minutes, Resolutions</t>
  </si>
  <si>
    <t>FPO -  Taking record of DSC of BOD, checking their validity</t>
  </si>
  <si>
    <t>FPO -  FPO Accounting, Voucher prepration, Filing auditing &amp; IT Returns /GST / TDS/PT</t>
  </si>
  <si>
    <t>FPO -  Completion of Statutory Audit Compliences - FPO</t>
  </si>
  <si>
    <t xml:space="preserve">FPO -  Completion of Internal Audit Compliences </t>
  </si>
  <si>
    <t xml:space="preserve">FPO -  Support to internal Audit team for checking books of accounts, Physical verification of stock, Cash and fixed assets </t>
  </si>
  <si>
    <t>Training &amp; Capecity Building -  Training Organised for BoDs &amp; FPC staff</t>
  </si>
  <si>
    <t>Training &amp; Capecity Building -  Training Organised for Hub coordinator &amp; CEOs</t>
  </si>
  <si>
    <t>As per schedule</t>
  </si>
  <si>
    <t xml:space="preserve">Training &amp; Capecity Building -  Monthly &amp; Quatarly GST &amp; TDS Challan -Return </t>
  </si>
  <si>
    <t xml:space="preserve">MIS &amp; Documentation -  MIS Upadate on daily basis - all Accounting aspects </t>
  </si>
  <si>
    <t xml:space="preserve">MIS &amp; Documentation -  Voucher printount by Tally &amp; Filling </t>
  </si>
  <si>
    <t xml:space="preserve">MIS &amp; Documentation -  Maintenance of Records Stock Register, Cheque Issue Register, visitor, BOD meeting Register AGM, Notic </t>
  </si>
  <si>
    <t xml:space="preserve">MIS &amp; Documentation -  Mondi work- Documentation, Return, Anugya and Compliances </t>
  </si>
  <si>
    <t>Other Administration work -  Making PDO, RFP</t>
  </si>
  <si>
    <t>Other Administration work -  Letters for banking and other correspondence.</t>
  </si>
  <si>
    <t>Other Administration work -  Work assigned by mangement.</t>
  </si>
  <si>
    <t>Other Administration work -  Tally Backup and System Backups</t>
  </si>
  <si>
    <t xml:space="preserve">Centralised Accounting -  Daily Transaction details with Scan Documents send to HO </t>
  </si>
  <si>
    <t>Centralised Accounting -  Bank Reconliation and Party Reconciliation</t>
  </si>
  <si>
    <t xml:space="preserve">Centralised Accounting -  Filing System and registraion </t>
  </si>
  <si>
    <t>Centralised Accounting -  Field Visit and verification of payment and receipts with farmers</t>
  </si>
  <si>
    <t>Jagan Mohan Raju</t>
  </si>
  <si>
    <t>jagan.mohan@ploughmanagro.com</t>
  </si>
  <si>
    <t>Select Testing Laboratories and Empanelment</t>
  </si>
  <si>
    <t>Recieve all the payment vouchers and invoices from the CB &amp; TPA related to certification as per contract.</t>
  </si>
  <si>
    <t>Maintain Tracker related to Payment to different CBs &amp; TPA and ledger reconciliation with finance department.</t>
  </si>
  <si>
    <t>Apply and receive testing report (GMO-PR) as per the certification requirement</t>
  </si>
  <si>
    <t>Numbers</t>
  </si>
  <si>
    <t>Share the final Lint TC with buyer</t>
  </si>
  <si>
    <t>Prepare and record keeping all certification documents at PAPL Level.</t>
  </si>
  <si>
    <t>Handling queries related to TC</t>
  </si>
  <si>
    <t>Biswa Bhusan Sethi</t>
  </si>
  <si>
    <t>biswabhusan.papl20@gmail.com</t>
  </si>
  <si>
    <t>Kesinga</t>
  </si>
  <si>
    <t>Area-level Farmer Coverage</t>
  </si>
  <si>
    <t>Achievement of Area Annual Operational Plan (programme activities across all Clusters / SMS units)</t>
  </si>
  <si>
    <t>Category-wise ICS Compliance &amp; Audit Success across Area (Organic / ROC)</t>
  </si>
  <si>
    <t>Strategic &amp; Annual Operational Planning for the Area (incl. resource allocation across SMS units)</t>
  </si>
  <si>
    <t>Team Management &amp; Capacity Building of SMS-Agri (training calendar, mentoring, skill-development plans)</t>
  </si>
  <si>
    <t>Review Meetings with SMS-Agri Team (Performance, MIS, Course-correction)</t>
  </si>
  <si>
    <t>Field Monitoring Visits to SMS Units / Clusters (Minimum 1 visit per SMS unit per month)</t>
  </si>
  <si>
    <t>Quality Assurance &amp; Programme Standards Compliance across Area (systems, protocols, ICS integrity)</t>
  </si>
  <si>
    <t>Timely &amp; accurate reporting - VRP-Portal / KRAI reports consolidated at Area level</t>
  </si>
  <si>
    <t>Budget Planning, Fund Utilisation Tracking &amp; Financial Compliance for Training Programme</t>
  </si>
  <si>
    <t>Achievement of Convergence &amp; Government Liaison Targets at Area level (Rs. mobilised)</t>
  </si>
  <si>
    <t>Stakeholder Engagement - Agriculture/Government Departments, FPOs / FPO Federations, Community Institutions</t>
  </si>
  <si>
    <t>Human Resource Management - performance appraisal, hiring support &amp; retention of SMS / CC teams</t>
  </si>
  <si>
    <t>Programme Scaling &amp; Replication Support (e.g. KBK model extension to new geographies)</t>
  </si>
  <si>
    <t>Risk Identification, Mitigation &amp; Compliance Oversight at Area level (programmatic, financial, external)</t>
  </si>
  <si>
    <t>Documentation, Case Studies &amp; Knowledge Management for the Area Programme</t>
  </si>
  <si>
    <t>External Representation - Workshop, donor visits, government forums &amp; institutional meetings at Area, Regional and National level</t>
  </si>
  <si>
    <t xml:space="preserve">Nos </t>
  </si>
  <si>
    <t xml:space="preserve">Sustainable Agriculture </t>
  </si>
  <si>
    <t>noushad.parvez@ploughmanagro.com</t>
  </si>
  <si>
    <t>9426033444</t>
  </si>
  <si>
    <t>Dr. Noushad Parvez</t>
  </si>
  <si>
    <t>Rajkumar Pradhan</t>
  </si>
  <si>
    <t>rajkumar.pradhan@ploughmanagro.com</t>
  </si>
  <si>
    <t>Agronomist</t>
  </si>
  <si>
    <t>Sutainable Agriculture</t>
  </si>
  <si>
    <t>Training CC on organic systems as per Training module and protocol</t>
  </si>
  <si>
    <t xml:space="preserve">Effective implementation CC's Action Plan / KRA </t>
  </si>
  <si>
    <t xml:space="preserve">Adoption of organic / Regenerative practices by farmers </t>
  </si>
  <si>
    <t>ICS Successful in External Audit</t>
  </si>
  <si>
    <t xml:space="preserve">Acheivemenet of Project Activities in assigned Cluster </t>
  </si>
  <si>
    <t xml:space="preserve">Achievment of Convergence activities In Rs. </t>
  </si>
  <si>
    <t xml:space="preserve">Timely  reporting  in MIS / Portal/ KRAI by 5th of next month </t>
  </si>
  <si>
    <t xml:space="preserve">Establishment of KBK as per SOP </t>
  </si>
  <si>
    <t xml:space="preserve">Conduct exposure visit of farmers to KBK </t>
  </si>
  <si>
    <t xml:space="preserve">Liason &amp; coordination with government department (Agri. &amp; Allied) </t>
  </si>
  <si>
    <t>Trial and Demo Plot and FFS (Variety &amp; Seeds sustainability)</t>
  </si>
  <si>
    <t>127</t>
  </si>
  <si>
    <t>Farmers Registration in ASA 360</t>
  </si>
  <si>
    <t>Training all VRP on organic system protocol</t>
  </si>
  <si>
    <t xml:space="preserve">Training On -  Land Preperation </t>
  </si>
  <si>
    <t xml:space="preserve">Training On -  Sowing method </t>
  </si>
  <si>
    <t>Training On -  Vegetative Growth - (INM, Input Preperation-Nutrition, Weeding)</t>
  </si>
  <si>
    <t>Training On -  Vegetative Growth - (Input Preperation- Insect Pest &amp; Disease Control)</t>
  </si>
  <si>
    <t xml:space="preserve">Training On -  Flowering - Detopping &amp; Pruning </t>
  </si>
  <si>
    <t xml:space="preserve">Training On -  Boll Development- CFC Cooridnation &amp; Procurement planning </t>
  </si>
  <si>
    <t>Training On -  Pre-harvest- CFC- Procurement</t>
  </si>
  <si>
    <t xml:space="preserve">Training On -  Picking- CFC Procurement </t>
  </si>
  <si>
    <t xml:space="preserve">Training On -  Post Harvest- Final Picking </t>
  </si>
  <si>
    <t xml:space="preserve">Training On -  Post harvest- Rabi Crop support &amp; Decent work </t>
  </si>
  <si>
    <t xml:space="preserve">Training On -  Soil Testing - Next Crop planing </t>
  </si>
  <si>
    <t xml:space="preserve"> Farmers' Training on NPOP/NOP Standards</t>
  </si>
  <si>
    <t xml:space="preserve"> Seed  Distribution</t>
  </si>
  <si>
    <t xml:space="preserve"> Internal Audit -1 of ICS </t>
  </si>
  <si>
    <t xml:space="preserve"> Internal Audit -2 of ICS </t>
  </si>
  <si>
    <t xml:space="preserve"> No of ICS Successful in External Audit</t>
  </si>
  <si>
    <t xml:space="preserve"> Acheivemenet of Project activities in assigend Cluster </t>
  </si>
  <si>
    <t xml:space="preserve"> Timely  reporting  in MIS / Portal/ KRAI by 5th of next month </t>
  </si>
  <si>
    <t xml:space="preserve"> Visit to KBK/ Farmers' Farms / Demonstrations</t>
  </si>
  <si>
    <t xml:space="preserve"> Meeting with FPO's BOD</t>
  </si>
  <si>
    <t xml:space="preserve"> Demo &amp; Trail</t>
  </si>
  <si>
    <t xml:space="preserve"> FFS</t>
  </si>
  <si>
    <t xml:space="preserve"> PRI Mobilizing Meetings members</t>
  </si>
  <si>
    <t xml:space="preserve"> ToT by External Trainer</t>
  </si>
  <si>
    <t xml:space="preserve"> Training by External Trainer to Farmers</t>
  </si>
  <si>
    <t xml:space="preserve"> Village Branding Activities</t>
  </si>
  <si>
    <t xml:space="preserve"> Any other  task assingned ( specify )</t>
  </si>
  <si>
    <t xml:space="preserve">No. </t>
  </si>
  <si>
    <t>Jagadish Putel</t>
  </si>
  <si>
    <t>Cluster Coordinator</t>
  </si>
  <si>
    <t>Bangomunda</t>
  </si>
  <si>
    <t>Project</t>
  </si>
  <si>
    <t>PAPL057</t>
  </si>
  <si>
    <t>jagadish.papl20@gmail.com</t>
  </si>
  <si>
    <t>Jogendra  Meher</t>
  </si>
  <si>
    <t>jogendram.papl20@gmail.com</t>
  </si>
  <si>
    <t>PAPL036</t>
  </si>
  <si>
    <t>PAPL038</t>
  </si>
  <si>
    <t>Ugresan Sagria</t>
  </si>
  <si>
    <t>ugresan.papl20@gmail.com</t>
  </si>
  <si>
    <t>lilabati.papl20@gmail.com</t>
  </si>
  <si>
    <t>PAPL041</t>
  </si>
  <si>
    <t>Muribahal</t>
  </si>
  <si>
    <t>Lilabati Bhoi</t>
  </si>
  <si>
    <t>jogendraputel.papl20@gmail.com</t>
  </si>
  <si>
    <t>Jogendra Putel</t>
  </si>
  <si>
    <r>
      <rPr>
        <b/>
        <sz val="11"/>
        <color rgb="FF000000"/>
        <rFont val="Cambria"/>
        <family val="1"/>
      </rPr>
      <t>Gin</t>
    </r>
    <r>
      <rPr>
        <sz val="11"/>
        <color rgb="FF000000"/>
        <rFont val="Cambria"/>
        <family val="1"/>
      </rPr>
      <t xml:space="preserve"> -  Ensure finalise gin - rate, T&amp;Cs in consultation with MD </t>
    </r>
  </si>
  <si>
    <r>
      <rPr>
        <b/>
        <sz val="11"/>
        <color rgb="FF000000"/>
        <rFont val="Cambria"/>
        <family val="1"/>
      </rPr>
      <t>Gin</t>
    </r>
    <r>
      <rPr>
        <sz val="11"/>
        <color rgb="FF000000"/>
        <rFont val="Cambria"/>
        <family val="1"/>
      </rPr>
      <t xml:space="preserve"> -  Ensure deploy staff, conduct training on Gin SOP </t>
    </r>
  </si>
  <si>
    <r>
      <rPr>
        <b/>
        <sz val="11"/>
        <color rgb="FF000000"/>
        <rFont val="Cambria"/>
        <family val="1"/>
      </rPr>
      <t>Certification</t>
    </r>
    <r>
      <rPr>
        <sz val="11"/>
        <color rgb="FF000000"/>
        <rFont val="Cambria"/>
        <family val="1"/>
      </rPr>
      <t xml:space="preserve"> - Ensure Gin is compliant with all regulations required by Law and by the checklist of GOTS, OCS and Brands </t>
    </r>
  </si>
  <si>
    <r>
      <rPr>
        <b/>
        <sz val="11"/>
        <color rgb="FF000000"/>
        <rFont val="Cambria"/>
        <family val="1"/>
      </rPr>
      <t>Lint TC</t>
    </r>
    <r>
      <rPr>
        <sz val="11"/>
        <color rgb="FF000000"/>
        <rFont val="Cambria"/>
        <family val="1"/>
      </rPr>
      <t xml:space="preserve"> -  Mapping Raw cotton TCs as per the plan with Lint TCs.</t>
    </r>
  </si>
  <si>
    <r>
      <rPr>
        <b/>
        <sz val="11"/>
        <color rgb="FF000000"/>
        <rFont val="Cambria"/>
        <family val="1"/>
      </rPr>
      <t>Lint TC</t>
    </r>
    <r>
      <rPr>
        <sz val="11"/>
        <color rgb="FF000000"/>
        <rFont val="Cambria"/>
        <family val="1"/>
      </rPr>
      <t xml:space="preserve"> -  Ensure timely application of Lint TCs.</t>
    </r>
  </si>
  <si>
    <r>
      <rPr>
        <b/>
        <sz val="11"/>
        <color rgb="FF000000"/>
        <rFont val="Cambria"/>
        <family val="1"/>
      </rPr>
      <t xml:space="preserve">Lint TC </t>
    </r>
    <r>
      <rPr>
        <sz val="11"/>
        <color rgb="FF000000"/>
        <rFont val="Cambria"/>
        <family val="1"/>
      </rPr>
      <t xml:space="preserve">-  Ensure proper production recored to be maintained </t>
    </r>
  </si>
  <si>
    <r>
      <rPr>
        <b/>
        <sz val="11"/>
        <color rgb="FF000000"/>
        <rFont val="Cambria"/>
        <family val="1"/>
      </rPr>
      <t xml:space="preserve">Lint TC </t>
    </r>
    <r>
      <rPr>
        <sz val="11"/>
        <color rgb="FF000000"/>
        <rFont val="Cambria"/>
        <family val="1"/>
      </rPr>
      <t xml:space="preserve">-  Ensure Correct volume reconciliation </t>
    </r>
  </si>
  <si>
    <r>
      <rPr>
        <b/>
        <sz val="11"/>
        <color rgb="FF000000"/>
        <rFont val="Cambria"/>
        <family val="1"/>
      </rPr>
      <t>ICS at Maharashtra</t>
    </r>
    <r>
      <rPr>
        <sz val="11"/>
        <color rgb="FF000000"/>
        <rFont val="Cambria"/>
        <family val="1"/>
      </rPr>
      <t xml:space="preserve"> -  Ensure Timely data collection and registration of 6 New ICS in first trench and 6 in second trench </t>
    </r>
  </si>
  <si>
    <r>
      <rPr>
        <b/>
        <sz val="11"/>
        <color rgb="FF000000"/>
        <rFont val="Cambria"/>
        <family val="1"/>
      </rPr>
      <t>Sausar</t>
    </r>
    <r>
      <rPr>
        <sz val="11"/>
        <color rgb="FF000000"/>
        <rFont val="Cambria"/>
        <family val="1"/>
      </rPr>
      <t xml:space="preserve"> -  Day to day coordination for admin purpose</t>
    </r>
  </si>
  <si>
    <r>
      <rPr>
        <b/>
        <sz val="11"/>
        <color rgb="FF000000"/>
        <rFont val="Cambria"/>
        <family val="1"/>
      </rPr>
      <t xml:space="preserve">Sausar </t>
    </r>
    <r>
      <rPr>
        <sz val="11"/>
        <color rgb="FF000000"/>
        <rFont val="Cambria"/>
        <family val="1"/>
      </rPr>
      <t xml:space="preserve">-  Preodic review of team progress as per plan </t>
    </r>
  </si>
  <si>
    <r>
      <rPr>
        <b/>
        <sz val="11"/>
        <color rgb="FF000000"/>
        <rFont val="Cambria"/>
        <family val="1"/>
      </rPr>
      <t>Sausar</t>
    </r>
    <r>
      <rPr>
        <sz val="11"/>
        <color rgb="FF000000"/>
        <rFont val="Cambria"/>
        <family val="1"/>
      </rPr>
      <t xml:space="preserve"> -  Review and approval of P&amp;B </t>
    </r>
  </si>
  <si>
    <r>
      <rPr>
        <b/>
        <sz val="11"/>
        <color rgb="FF000000"/>
        <rFont val="Cambria"/>
        <family val="1"/>
      </rPr>
      <t xml:space="preserve">Sausar </t>
    </r>
    <r>
      <rPr>
        <sz val="11"/>
        <color rgb="FF000000"/>
        <rFont val="Cambria"/>
        <family val="1"/>
      </rPr>
      <t>-  Ensure timely certification audit of ICS</t>
    </r>
  </si>
  <si>
    <r>
      <rPr>
        <b/>
        <sz val="11"/>
        <color rgb="FF000000"/>
        <rFont val="Cambria"/>
        <family val="1"/>
      </rPr>
      <t xml:space="preserve">Sausar </t>
    </r>
    <r>
      <rPr>
        <sz val="11"/>
        <color rgb="FF000000"/>
        <rFont val="Cambria"/>
        <family val="1"/>
      </rPr>
      <t>-  Ensure Cotton procurement as per ICS scope</t>
    </r>
  </si>
  <si>
    <r>
      <rPr>
        <b/>
        <sz val="11"/>
        <color rgb="FF000000"/>
        <rFont val="Cambria"/>
        <family val="1"/>
      </rPr>
      <t xml:space="preserve">Turikela </t>
    </r>
    <r>
      <rPr>
        <sz val="11"/>
        <color rgb="FF000000"/>
        <rFont val="Cambria"/>
        <family val="1"/>
      </rPr>
      <t>-  Day to day coordination for admin purpose</t>
    </r>
  </si>
  <si>
    <r>
      <rPr>
        <b/>
        <sz val="11"/>
        <color rgb="FF000000"/>
        <rFont val="Cambria"/>
        <family val="1"/>
      </rPr>
      <t>Turikela</t>
    </r>
    <r>
      <rPr>
        <sz val="11"/>
        <color rgb="FF000000"/>
        <rFont val="Cambria"/>
        <family val="1"/>
      </rPr>
      <t xml:space="preserve"> -  Preodic review of team progress as per plan </t>
    </r>
  </si>
  <si>
    <r>
      <rPr>
        <b/>
        <sz val="11"/>
        <color rgb="FF000000"/>
        <rFont val="Cambria"/>
        <family val="1"/>
      </rPr>
      <t>Turikela</t>
    </r>
    <r>
      <rPr>
        <sz val="11"/>
        <color rgb="FF000000"/>
        <rFont val="Cambria"/>
        <family val="1"/>
      </rPr>
      <t xml:space="preserve"> -  Review and approval of P&amp;B </t>
    </r>
  </si>
  <si>
    <r>
      <rPr>
        <b/>
        <sz val="11"/>
        <color rgb="FF000000"/>
        <rFont val="Cambria"/>
        <family val="1"/>
      </rPr>
      <t xml:space="preserve">Turikela </t>
    </r>
    <r>
      <rPr>
        <sz val="11"/>
        <color rgb="FF000000"/>
        <rFont val="Cambria"/>
        <family val="1"/>
      </rPr>
      <t>-  Ensure timely certification audit of ICS</t>
    </r>
  </si>
  <si>
    <r>
      <rPr>
        <b/>
        <sz val="11"/>
        <color rgb="FF000000"/>
        <rFont val="Cambria"/>
        <family val="1"/>
      </rPr>
      <t>Turikela</t>
    </r>
    <r>
      <rPr>
        <sz val="11"/>
        <color rgb="FF000000"/>
        <rFont val="Cambria"/>
        <family val="1"/>
      </rPr>
      <t xml:space="preserve"> -  Ensure Cotton procurement as per ICS scope</t>
    </r>
  </si>
  <si>
    <r>
      <rPr>
        <b/>
        <sz val="11"/>
        <color rgb="FF000000"/>
        <rFont val="Cambria"/>
        <family val="1"/>
      </rPr>
      <t>Collect Lint TC Application supporting Documents &amp; Apply for Lint TC (Last Season) -</t>
    </r>
    <r>
      <rPr>
        <sz val="11"/>
        <color rgb="FF000000"/>
        <rFont val="Cambria"/>
        <family val="1"/>
      </rPr>
      <t xml:space="preserve">  Support in Lint TC application.</t>
    </r>
  </si>
  <si>
    <r>
      <rPr>
        <b/>
        <sz val="11"/>
        <color rgb="FF000000"/>
        <rFont val="Cambria"/>
        <family val="1"/>
      </rPr>
      <t>Collect Lint TC Application supporting Documents &amp; Apply for Lint TC (Last Season)</t>
    </r>
    <r>
      <rPr>
        <sz val="11"/>
        <color rgb="FF000000"/>
        <rFont val="Cambria"/>
        <family val="1"/>
      </rPr>
      <t xml:space="preserve"> -  Last season's Bales dispatch</t>
    </r>
  </si>
  <si>
    <t>Coordination with Auditors (Internal &amp; Statutory) -  Audit planning, closure of audit observations, compliance tracking and strengthening internal controls</t>
  </si>
  <si>
    <t>Reconciliation FPO Vs PAPL Ledgers -  Identify gaps, resolve mismatches and ensure accurate financial reporting</t>
  </si>
  <si>
    <t>Bank &amp; FI Borrowing Compliance Management -  Prepare utilization certificates for Bank &amp; FI borrowings, ensure accuracy of supporting details, and coordinate for timely submission.</t>
  </si>
  <si>
    <t>Sales Contract &amp; Purchase Order Management -  Prepare cotton sales contracts and purchase orders.Ensure contract tracking, terms compliance and documentation control</t>
  </si>
  <si>
    <t>Cotton Sales Invoices -  Ensure invoice accuracy, compliance and timely billing process</t>
  </si>
  <si>
    <t>Cotton MIS Monitoring -  Review and validate Cotton MIS reports, ensure accuracy of data and timely updates.</t>
  </si>
  <si>
    <t>Coordinate with Gin managers for cotton process reports -  Reconcile production/process data with inventory and accounts</t>
  </si>
  <si>
    <t>Cotton Purchase Accounting -  Check purchase invoices in KRAI and related entries are recorded in Tally on a timely basis with proper verification.</t>
  </si>
  <si>
    <t>KRAI-Invoice &amp; Payment Management -  Review and approve KRAI invoices, ensure proper verification and supporting documents before payment processing.</t>
  </si>
  <si>
    <t>KRAI-Payment Process Management -  Monitor payment workflow, coordinate with concerned teams, and ensure timely processing of approved payments.</t>
  </si>
  <si>
    <t>Prepare Cotton outstanding MIS and follow-up -  Prepare Cotton outstanding MIS, monitor balances, payment follow-up, ledger reconciliation and manage debit/credit notes with proper accounting.</t>
  </si>
  <si>
    <t>FCA Agreement Management &amp; Invoicing -  Maintain FCA agreements, track validity and status, and ensure timely invoicing with proper documentation and coordination.</t>
  </si>
  <si>
    <t>Check purchase and accounting of cotton seed (NON GMO) -  Ensure vendor compliance, documentation and inventory accuracy</t>
  </si>
  <si>
    <t>KRAI Software Improvement &amp; MIS Support -  Coordinate with Sharad for KRAI software suggestions, process improvements, required updates, and enhancements. Support in identifying system requirements, testing changes, and ensuring smooth implementation for better data accuracy and reporting.</t>
  </si>
  <si>
    <t>Export Documentation &amp; LC Payment Management -  Prepare export invoices, related documentation, and LC payment documents with proper verification and timely processing.</t>
  </si>
  <si>
    <t>SAP Implementation Support -  Support SAP implementation by managing master data preparation, validation, and providing regular data requirements to ensure smooth system implementation.</t>
  </si>
  <si>
    <t>SAP- Department Coordination &amp; Data Management -  Coordinate with relevant departments for data collection, accuracy checks, and timely updates required for SAP migration and operational processes.</t>
  </si>
  <si>
    <t>Accounts Team Management &amp; Process Improvement -  Guide accounts team, improve processes, and ensure timely completion of financial activities.</t>
  </si>
  <si>
    <t>Financial Planning &amp; Management Support -  Support CFO &amp; Management in strategic financial planning and business decisions.</t>
  </si>
  <si>
    <t xml:space="preserve">Overall Incharge of PGPL Finance operations -  Check &amp; Authorise all Journal/Payment vouchers of PGPL, Ensure accurate booking of expenses, proper documentation, Accurate cost centre selection etc.  </t>
  </si>
  <si>
    <t>Statutory Compliances of PGPL -  Ensure Timely and Accurate all statutory compliances of PGPL</t>
  </si>
  <si>
    <t xml:space="preserve">Financial Reporting of PGPL -  Responsible for preparation, review &amp; submission of all financial reports related to PGPL such as monthly Budget V/s Actual Exp, Quarterly &amp; Yearly Financial statements, Management MIS, etc. </t>
  </si>
  <si>
    <t>PGPL- Internal Controls &amp; Process Strengthening -  Review and strengthen internal financial controls and accounting processes for PGPL.</t>
  </si>
  <si>
    <t>Accounting, MIS &amp; Compliance Incharge – PGPL -  Responsible for accounting, MIS, compliance, financial management &amp; Regular ledger scrutiny of PGPL.</t>
  </si>
  <si>
    <t>End-to-End Accounting Operations &amp; MIS Review – PGPL -  Lead end-to-end accounting operations and review MIS for PGPL Including Visit to field offices on regular intervals.</t>
  </si>
  <si>
    <t>Managing the Audit Functions of PGPL -  Coordination with Internal, Concurrent &amp; Statutory Auditors for Timely Audit, Data requirements, Closure of Audit queries, Report submissions etc.</t>
  </si>
  <si>
    <t xml:space="preserve">SAP Implementation &amp; Migration of PGPL -  Lead the SAP Implementation, data requirements &amp; Migration of Accounting operations of PGPL to SAP </t>
  </si>
  <si>
    <t>Management Assigned Tasks -  Handle additional responsibilities and tasks assigned by CFO &amp; Management.</t>
  </si>
  <si>
    <t>Archana Dubey</t>
  </si>
  <si>
    <t>archana.dubey@ploughmanagro.com</t>
  </si>
  <si>
    <t>PAPL003</t>
  </si>
  <si>
    <t>Approving of RFP and PDO on company software. Verification &amp; scrutiny of all expense vouchers and giving them for entry in books of accounts</t>
  </si>
  <si>
    <t>Checking and approving Travel Claims and Local Mileage Claims of all employees as per TA/DA Rules</t>
  </si>
  <si>
    <t>Monthly TDS working and payment of challans, Quaterly Working for TDS Return</t>
  </si>
  <si>
    <t>Monthly GSTR-1 working and filing of return by the due date</t>
  </si>
  <si>
    <t>Monthly GSTR-3B working and filing of return by the due date and payment of challan</t>
  </si>
  <si>
    <t xml:space="preserve">Prepare &amp; Maintain GST ITC Reconciliation on monthly basis </t>
  </si>
  <si>
    <t>Assist in GSTR-9 and 9C Annual Return and related reconciliations of GST</t>
  </si>
  <si>
    <t>Assist in Data requirements, solving audit queries, prepare management response for Statutory, Tax, Internal &amp; Concurrent Audits</t>
  </si>
  <si>
    <t>Drafting of Quarterly/Yearly Financial Statements of Company, Consolidated Financial statements,  Audit Reports and related workings</t>
  </si>
  <si>
    <t>Payments and bank related work in absence of Ms. Nikita Kale</t>
  </si>
  <si>
    <t>TDS and Form 16 working of company employees</t>
  </si>
  <si>
    <t>Stock Statement preparation for CC limit from banks</t>
  </si>
  <si>
    <t>Ensuring insurance of all ginning units, warehouses &amp; MIS of Marine Insurance</t>
  </si>
  <si>
    <t>Filing of PT return quaterly before due date</t>
  </si>
  <si>
    <t>Preparing all analytical &amp; financial data required by CFO for Board meetings, Banks etc.</t>
  </si>
  <si>
    <t xml:space="preserve">Monthly Financial MIS Preparation for Management </t>
  </si>
  <si>
    <t xml:space="preserve">Any other tasks as assigned by the reporting manager &amp; management </t>
  </si>
  <si>
    <t>Maintainance of physical files  related to all work mentioned above</t>
  </si>
  <si>
    <t>Update daily receipts and maintain accurate records.</t>
  </si>
  <si>
    <t>Perform daily bank reconciliations for all bank accounts.</t>
  </si>
  <si>
    <t>Prepare online payment advices and process payment vouchers for miscellaneous expenses and vendor payments.</t>
  </si>
  <si>
    <t>Process farmer payments for cotton and commodities through the KRAI portal.</t>
  </si>
  <si>
    <t>Manage corporate internet banking transactions for Axis Bank, ICICI Bank, and HSBC Bank.</t>
  </si>
  <si>
    <t>Handle foreign remittances, including preparation and filing of Form 15CA/15CB and all supporting documentation.</t>
  </si>
  <si>
    <t>Coordinate with banks for opening and managing Fixed Deposits (FDs), both online and offline.</t>
  </si>
  <si>
    <t>Manage cheque handling for all bank accounts and Cases to seeds and commodities.</t>
  </si>
  <si>
    <t>Prepare loan-related documentation and coordinate with Banks for All data, Annual review  &amp; due diligence requirements.</t>
  </si>
  <si>
    <t>Process monthly payroll using HR One software and verify salary components, statutory deductions, Advances and Other.</t>
  </si>
  <si>
    <t>Review and verify Full &amp; Final (F&amp;F) settlement calculations.</t>
  </si>
  <si>
    <t>Ensure timely statutory compliance by preparing and filing challans for PF, ESIC, Professional Tax, and support GST/TDS-related activities whenever required.</t>
  </si>
  <si>
    <t>Book accounting entries for travel expenses, certification expenses, rent, and other operational expenses whenever required.</t>
  </si>
  <si>
    <t>Prepare and maintain warehouse agreements for cotton bales &amp; commodity storage.</t>
  </si>
  <si>
    <t>Maintain stock statements of SR Cotton Bales pledged against Axis Bank loans and calculate applicable interest.</t>
  </si>
  <si>
    <t>Prepare sales invoices related to Financial Inclusion.</t>
  </si>
  <si>
    <t>Perform vendor reconciliations, ledger scrutiny, and verification of FD interest, TDS, and other account balances.</t>
  </si>
  <si>
    <t>Coordinate with statutory and internal auditors by providing required data, reconciliations, and supporting documents.</t>
  </si>
  <si>
    <t>Maintain systematic filing of payment vouchers, loan documents, FD records, bank reconciliations, statutory challans (PF, ESIC, PT, ROC/BR), export packing documents, foreign remittance files, warehouse agreements, and other finance records.</t>
  </si>
  <si>
    <t>Maintain &amp; update all secretarial records like Registers, Board/AGM resolutions, Minutes, Forms etc.</t>
  </si>
  <si>
    <t xml:space="preserve">Check &amp; process monthly VRP payments </t>
  </si>
  <si>
    <t>Perform additional finance and accounting responsibilities as assigned by the Reporting Manager.</t>
  </si>
  <si>
    <t>Prepare commodity sales invoices accurately and ensure timely invoice generation.</t>
  </si>
  <si>
    <t>Verify, Record and maintain purchase Invoices of all commodities along with entry in accounting software</t>
  </si>
  <si>
    <t>Follow up with customers for pending payments and ensure timely collections.</t>
  </si>
  <si>
    <t>Verify &amp; approve all commodity purchase invoices in KRAI Software along with entry in accounting software</t>
  </si>
  <si>
    <t>Coordinate and follow up with FPOs regarding payment processing, ledger reconciliation and clearance.</t>
  </si>
  <si>
    <t>Participate in the daily Commodity Team meeting to review work progress, priorities, and daily activities.</t>
  </si>
  <si>
    <t>Update and maintain MIS reports for both sales and purchase transactions on a regular basis.</t>
  </si>
  <si>
    <t xml:space="preserve">Maintain &amp; reconcile day-wise stock records of all commodities and ensure stock data is accurate and up to date with accounting records </t>
  </si>
  <si>
    <t>Reconcile FPO ledgers by coordinating with FPO accountants to ensure accurate financial records and resolve discrepancies.</t>
  </si>
  <si>
    <t>Verify &amp; approve all seed purchase invoices in KRAI Software as per purchase orders along with entry in accounting software</t>
  </si>
  <si>
    <t>Generate &amp; Issue all seed sales Invoices as per sales contracts.</t>
  </si>
  <si>
    <t>Debtors &amp; Creditors reconciliation, follow up &amp; MIS preparation related to seed &amp; commodity</t>
  </si>
  <si>
    <t xml:space="preserve">Maintain &amp; reconcile location wise stock records for seed business on regular intervals </t>
  </si>
  <si>
    <t>Preparing Kakda sales contracts, sale Invoices &amp; MIS reporting during cotton season</t>
  </si>
  <si>
    <t>Kakda Stock reconciliation &amp; Follow up for outstanding payments</t>
  </si>
  <si>
    <t>Coordinate with the Accounts team and Commodity Managers to ensure timely payments to farmers and proactively resolve any payment-related issues.</t>
  </si>
  <si>
    <t>Maintain and file purchase and sales vouchers for all assigned work in a timely and organized manner to ensure proper documentation and easy record retrieval.</t>
  </si>
  <si>
    <t>Perform additional tasks and responsibilities assigned by the reporting manager</t>
  </si>
  <si>
    <t>All journal/purchase voucher entries are recorded accurately, including expenses and other purchase-related transactions.</t>
  </si>
  <si>
    <t>Cotton Purchase Invoice entries in accounting software during peak cotton season, whenever required</t>
  </si>
  <si>
    <t>Perform all tasks related to commodity business only in absence of Hakimuddin Saify</t>
  </si>
  <si>
    <t>Verify and approve bank accounts in KRAI software to ensure timely payments to farmers.</t>
  </si>
  <si>
    <t xml:space="preserve">Prepare &amp; Issue all Payment advices to vendors on daily basis </t>
  </si>
  <si>
    <t>Verify and approve cotton seed-related photo submissions as per the required process, ensuring timely verification of a high volume of requests.</t>
  </si>
  <si>
    <t>Maintain and organize all Journal/Purchase voucher files and ensure proper documentation of records.</t>
  </si>
  <si>
    <t>Support all accounts staff in documentation &amp; file management work as &amp; when required</t>
  </si>
  <si>
    <t>Handle additional assignments and responsibilities as assigned by reporting manager</t>
  </si>
  <si>
    <t>Manage Logistics and travel of Auditor and inform to the concerned certification officer for smooth coordination.</t>
  </si>
  <si>
    <t>Ensure payment to the concerned CB &amp; TPA.</t>
  </si>
  <si>
    <t>Record keeping of all Test reports and share with certification as and where needed.</t>
  </si>
  <si>
    <t>Receive the Raw TC from Raw Cotton team and proceed further for Lint TC application as per mapping.</t>
  </si>
  <si>
    <t>Collect and record keeping of the lint dispatch record for TC application</t>
  </si>
  <si>
    <t>Prepare application for lint TC and submit to the Certification Agnecy</t>
  </si>
  <si>
    <t>Draft TC confirmation from CB and Buyer.</t>
  </si>
  <si>
    <t xml:space="preserve">Followup and obtain final Lint TC &amp; upload in the system. </t>
  </si>
  <si>
    <t>Faclitate the PAPL level audit and 4 Processing Units.</t>
  </si>
  <si>
    <t>hakimuddin.saify@ploughmanagro.com</t>
  </si>
  <si>
    <t>Hakimuddin Saify</t>
  </si>
  <si>
    <t>PAPL026</t>
  </si>
  <si>
    <t>Sr.Executive</t>
  </si>
  <si>
    <t>nikita.kale@ploughmanagro.com</t>
  </si>
  <si>
    <t>PAPL069</t>
  </si>
  <si>
    <t>Nikita Kale</t>
  </si>
  <si>
    <t>nidhi.saini@ploughmanagro.com</t>
  </si>
  <si>
    <t>Nidhi Saini</t>
  </si>
  <si>
    <t>Chrishmita Rout</t>
  </si>
  <si>
    <t>chrishmita.papl20@gmail.com</t>
  </si>
  <si>
    <t>PAPL143</t>
  </si>
  <si>
    <t>Disbursements - Value (INR)</t>
  </si>
  <si>
    <t>Collection Efficiency % 
On-time Repayment Rate (OTRR)</t>
  </si>
  <si>
    <t>Recruitments in FI program -  No. of Staff to be filled for vacant positions as and when required</t>
  </si>
  <si>
    <t>Auditing of Branch Portfolio -  Monthly audit of branches as per audit checklist and template - Per month 2 branches to be audited</t>
  </si>
  <si>
    <t>New Partnership Exploration -  Identify, evaluate, and develop new business partnerships with Banks, NBFCs, and other financial institutions to expand the organization's Business Correspondent (BC) network.</t>
  </si>
  <si>
    <t>Mohit Namdeo</t>
  </si>
  <si>
    <t>mohit.namdeo@ploughmanagro.com</t>
  </si>
  <si>
    <t xml:space="preserve">Regional Manager </t>
  </si>
  <si>
    <t>PAPL165</t>
  </si>
  <si>
    <t>tilok.papl20@gmail.com</t>
  </si>
  <si>
    <t>PAPL140</t>
  </si>
  <si>
    <t>Tilok Singh Solanki</t>
  </si>
  <si>
    <t>Assistant Manager</t>
  </si>
  <si>
    <t>SCM</t>
  </si>
  <si>
    <t>Indore</t>
  </si>
  <si>
    <t xml:space="preserve">Procurment -  Organic </t>
  </si>
  <si>
    <t>Procurment -  Conventional</t>
  </si>
  <si>
    <t>Procurment -  Organic Cotton</t>
  </si>
  <si>
    <t>Network development -  AF Identification &amp; Onboarding</t>
  </si>
  <si>
    <t>Capacity Building -  BoDs &amp; Staff Training (SOP)</t>
  </si>
  <si>
    <t>Capacity Building -  AF Tranining (SOP)</t>
  </si>
  <si>
    <t>Capacity Building -  Conducting Monthly Reviews</t>
  </si>
  <si>
    <t>Capacity Building -  Conducting Quaterly Reviews</t>
  </si>
  <si>
    <t>Capacity Building -  Conducting Halfyearly 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</si>
</sst>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0_);_(* \(#,##0\);_(* &quot;-&quot;??_);_(@_)"/>
    <numFmt numFmtId="165" formatCode="0.0"/>
    <numFmt numFmtId="166" formatCode="_(* #,##0.00_);_(* \(#,##0.00\);_(* &quot;-&quot;??_);_(@_)"/>
    <numFmt numFmtId="167" formatCode="0;[Red]0"/>
  </numFmts>
  <fonts count="39" x14ac:knownFonts="1">
    <font>
      <sz val="10"/>
      <name val="Arial"/>
      <family val="2"/>
      <charset val="1"/>
    </font>
    <font>
      <sz val="10"/>
      <name val="Arial"/>
      <family val="2"/>
    </font>
    <font>
      <sz val="11"/>
      <name val="Arial"/>
      <family val="1"/>
      <charset val="1"/>
    </font>
    <font>
      <b/>
      <sz val="11"/>
      <color rgb="FFFFFFFF"/>
      <name val="Arial"/>
      <family val="1"/>
      <charset val="1"/>
    </font>
    <font>
      <sz val="10"/>
      <color rgb="FF2D2D2D"/>
      <name val="Times New Roman"/>
      <family val="1"/>
      <charset val="1"/>
    </font>
    <font>
      <sz val="10"/>
      <name val="Times New Roman"/>
      <family val="1"/>
      <charset val="1"/>
    </font>
    <font>
      <sz val="10"/>
      <name val="Times New Roman"/>
      <family val="1"/>
    </font>
    <font>
      <sz val="11"/>
      <color theme="1"/>
      <name val="Times New Roman"/>
      <family val="1"/>
      <charset val="1"/>
    </font>
    <font>
      <sz val="12"/>
      <color theme="1"/>
      <name val="Times New Roman"/>
      <family val="1"/>
    </font>
    <font>
      <b/>
      <sz val="9"/>
      <color theme="1"/>
      <name val="Times New Roman"/>
      <family val="1"/>
    </font>
    <font>
      <sz val="9"/>
      <color theme="1"/>
      <name val="Times New Roman"/>
      <family val="1"/>
    </font>
    <font>
      <u/>
      <sz val="10"/>
      <color theme="10"/>
      <name val="Arial"/>
      <family val="2"/>
      <charset val="1"/>
    </font>
    <font>
      <sz val="11"/>
      <color theme="1"/>
      <name val="Cambria"/>
      <family val="1"/>
    </font>
    <font>
      <b/>
      <sz val="11"/>
      <color theme="1"/>
      <name val="Cambria"/>
      <family val="1"/>
    </font>
    <font>
      <sz val="11"/>
      <color theme="1"/>
      <name val="Arial"/>
      <family val="1"/>
      <scheme val="major"/>
    </font>
    <font>
      <sz val="12"/>
      <color theme="1"/>
      <name val="Cambria"/>
      <family val="1"/>
    </font>
    <font>
      <sz val="10"/>
      <color theme="1"/>
      <name val="Times New Roman"/>
      <family val="1"/>
    </font>
    <font>
      <b/>
      <sz val="11"/>
      <color theme="1"/>
      <name val="Times New Roman"/>
      <family val="1"/>
    </font>
    <font>
      <sz val="11"/>
      <color theme="1"/>
      <name val="Times New Roman"/>
      <family val="1"/>
    </font>
    <font>
      <sz val="12"/>
      <color theme="1"/>
      <name val="Arial"/>
      <family val="2"/>
    </font>
    <font>
      <b/>
      <sz val="9"/>
      <color theme="1"/>
      <name val="Arial"/>
      <family val="2"/>
    </font>
    <font>
      <sz val="10"/>
      <color theme="1"/>
      <name val="Arial"/>
      <family val="2"/>
    </font>
    <font>
      <u/>
      <sz val="11"/>
      <color theme="10"/>
      <name val="Arial"/>
      <family val="1"/>
      <scheme val="major"/>
    </font>
    <font>
      <sz val="8"/>
      <name val="Arial"/>
      <family val="2"/>
      <charset val="1"/>
    </font>
    <font>
      <sz val="10"/>
      <color theme="1"/>
      <name val="Cambria"/>
      <family val="1"/>
    </font>
    <font>
      <b/>
      <sz val="10"/>
      <color rgb="FFFFFFFF"/>
      <name val="Cambria"/>
      <family val="1"/>
    </font>
    <font>
      <u/>
      <sz val="10"/>
      <color theme="10"/>
      <name val="Cambria"/>
      <family val="1"/>
    </font>
    <font>
      <b/>
      <sz val="11"/>
      <color rgb="FFFFFFFF"/>
      <name val="Cambria"/>
      <family val="1"/>
    </font>
    <font>
      <sz val="11"/>
      <name val="Cambria"/>
      <family val="1"/>
    </font>
    <font>
      <sz val="11"/>
      <color rgb="FF000000"/>
      <name val="Cambria"/>
      <family val="1"/>
    </font>
    <font>
      <sz val="11"/>
      <name val="Times New Roman"/>
      <family val="1"/>
    </font>
    <font>
      <u/>
      <sz val="11"/>
      <color theme="10"/>
      <name val="Cambria"/>
      <family val="1"/>
    </font>
    <font>
      <sz val="11"/>
      <color rgb="FFFF0000"/>
      <name val="Cambria"/>
      <family val="1"/>
    </font>
    <font>
      <u/>
      <sz val="11"/>
      <name val="Cambria"/>
      <family val="1"/>
    </font>
    <font>
      <sz val="10"/>
      <name val="Cambria"/>
      <family val="1"/>
    </font>
    <font>
      <sz val="11"/>
      <color rgb="FFC00000"/>
      <name val="Cambria"/>
      <family val="1"/>
    </font>
    <font>
      <sz val="11"/>
      <color rgb="FF222222"/>
      <name val="Cambria"/>
      <family val="1"/>
    </font>
    <font>
      <b/>
      <sz val="11"/>
      <color rgb="FF000000"/>
      <name val="Cambria"/>
      <family val="1"/>
    </font>
    <font>
      <sz val="11"/>
      <color rgb="FF2D2D2D"/>
      <name val="Cambria"/>
      <family val="1"/>
    </font>
  </fonts>
  <fills count="7">
    <fill>
      <patternFill patternType="none"/>
    </fill>
    <fill>
      <patternFill patternType="gray125"/>
    </fill>
    <fill>
      <patternFill patternType="solid">
        <fgColor rgb="FF6C757D"/>
        <bgColor rgb="FF666699"/>
      </patternFill>
    </fill>
    <fill>
      <patternFill patternType="solid">
        <fgColor theme="0"/>
        <bgColor indexed="64"/>
      </patternFill>
    </fill>
    <fill>
      <patternFill patternType="solid">
        <fgColor theme="6" tint="0.79998168889431442"/>
        <bgColor indexed="64"/>
      </patternFill>
    </fill>
    <fill>
      <patternFill patternType="solid">
        <fgColor theme="0"/>
        <bgColor rgb="FFFFFFCC"/>
      </patternFill>
    </fill>
    <fill>
      <patternFill patternType="solid">
        <fgColor rgb="FFFFFFFF"/>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style="thin">
        <color rgb="FFBBBBBB"/>
      </bottom>
      <diagonal/>
    </border>
    <border>
      <left style="thin">
        <color rgb="FFBBBBBB"/>
      </left>
      <right/>
      <top/>
      <bottom style="thin">
        <color rgb="FFBBBBBB"/>
      </bottom>
      <diagonal/>
    </border>
    <border>
      <left/>
      <right style="thin">
        <color rgb="FFBBBBBB"/>
      </right>
      <top style="thin">
        <color rgb="FFBBBBBB"/>
      </top>
      <bottom/>
      <diagonal/>
    </border>
    <border>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s>
  <cellStyleXfs count="6">
    <xf numFmtId="0" fontId="0" fillId="0" borderId="0"/>
    <xf numFmtId="43" fontId="1" fillId="0" borderId="0" applyBorder="0" applyAlignment="0" applyProtection="0"/>
    <xf numFmtId="0" fontId="2" fillId="0" borderId="0"/>
    <xf numFmtId="0" fontId="11" fillId="0" borderId="0" applyNumberFormat="0" applyFill="0" applyBorder="0" applyAlignment="0" applyProtection="0"/>
    <xf numFmtId="0" fontId="1" fillId="0" borderId="0"/>
    <xf numFmtId="166" fontId="1" fillId="0" borderId="0" applyFont="0" applyFill="0" applyBorder="0" applyAlignment="0" applyProtection="0"/>
  </cellStyleXfs>
  <cellXfs count="160">
    <xf numFmtId="0" fontId="0" fillId="0" borderId="0" xfId="0"/>
    <xf numFmtId="0" fontId="3" fillId="2" borderId="0" xfId="2" applyFont="1" applyFill="1" applyAlignment="1">
      <alignment horizontal="center" vertical="center"/>
    </xf>
    <xf numFmtId="0" fontId="2" fillId="0" borderId="0" xfId="2"/>
    <xf numFmtId="0" fontId="4" fillId="0" borderId="0" xfId="2" applyFont="1"/>
    <xf numFmtId="0" fontId="5" fillId="0" borderId="0" xfId="2" applyFont="1"/>
    <xf numFmtId="0" fontId="6" fillId="0" borderId="0" xfId="2" applyFont="1"/>
    <xf numFmtId="0" fontId="7" fillId="0" borderId="1" xfId="0" applyFont="1" applyBorder="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vertical="center"/>
    </xf>
    <xf numFmtId="49" fontId="11" fillId="0" borderId="1" xfId="3" applyNumberFormat="1" applyFill="1" applyBorder="1" applyAlignment="1" applyProtection="1">
      <alignment horizontal="center" vertical="center"/>
    </xf>
    <xf numFmtId="9" fontId="12" fillId="0" borderId="1" xfId="0" applyNumberFormat="1"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left" vertical="center" wrapText="1"/>
    </xf>
    <xf numFmtId="0" fontId="8" fillId="0" borderId="0" xfId="0" applyFont="1" applyAlignment="1">
      <alignment horizontal="left" vertical="center" wrapText="1"/>
    </xf>
    <xf numFmtId="0" fontId="16" fillId="0" borderId="3" xfId="0" applyFont="1" applyBorder="1" applyAlignment="1">
      <alignment horizontal="center" vertical="center"/>
    </xf>
    <xf numFmtId="0" fontId="19" fillId="0" borderId="0" xfId="0" applyFont="1" applyAlignment="1">
      <alignment horizontal="center" vertical="center"/>
    </xf>
    <xf numFmtId="0" fontId="20" fillId="0" borderId="0" xfId="0" applyFont="1" applyAlignment="1">
      <alignment horizontal="center" vertical="center"/>
    </xf>
    <xf numFmtId="0" fontId="21" fillId="0" borderId="0" xfId="0" applyFont="1" applyAlignment="1">
      <alignment horizontal="center" vertical="center"/>
    </xf>
    <xf numFmtId="49" fontId="22" fillId="0" borderId="1" xfId="3" applyNumberFormat="1" applyFont="1" applyFill="1" applyBorder="1" applyAlignment="1" applyProtection="1">
      <alignment horizontal="center" vertical="center"/>
    </xf>
    <xf numFmtId="0" fontId="21" fillId="0" borderId="1" xfId="0" applyFont="1" applyBorder="1" applyAlignment="1">
      <alignment horizontal="center" vertical="center"/>
    </xf>
    <xf numFmtId="0" fontId="8" fillId="0" borderId="0" xfId="0" applyFont="1" applyAlignment="1">
      <alignment horizontal="left" vertical="center"/>
    </xf>
    <xf numFmtId="0" fontId="18" fillId="0" borderId="0" xfId="0" applyFont="1" applyAlignment="1">
      <alignment horizontal="left" vertical="center"/>
    </xf>
    <xf numFmtId="0" fontId="18" fillId="0" borderId="0" xfId="0" applyFont="1" applyAlignment="1">
      <alignment vertical="center"/>
    </xf>
    <xf numFmtId="0" fontId="14" fillId="0" borderId="1" xfId="0" applyFont="1" applyBorder="1" applyAlignment="1">
      <alignment horizontal="center" vertical="center" wrapText="1"/>
    </xf>
    <xf numFmtId="0" fontId="10" fillId="0" borderId="3" xfId="0" applyFont="1" applyBorder="1" applyAlignment="1">
      <alignment horizontal="center" vertical="center" wrapText="1"/>
    </xf>
    <xf numFmtId="0" fontId="24" fillId="0" borderId="1" xfId="0" applyFont="1" applyBorder="1" applyAlignment="1">
      <alignment horizontal="center" vertical="center"/>
    </xf>
    <xf numFmtId="0" fontId="24" fillId="0" borderId="1" xfId="0" applyFont="1" applyBorder="1" applyAlignment="1">
      <alignment horizontal="center" vertical="center" wrapText="1"/>
    </xf>
    <xf numFmtId="0" fontId="25" fillId="2" borderId="1" xfId="2" applyFont="1" applyFill="1" applyBorder="1" applyAlignment="1">
      <alignment horizontal="center" vertical="center"/>
    </xf>
    <xf numFmtId="49" fontId="26" fillId="0" borderId="1" xfId="3" applyNumberFormat="1" applyFont="1" applyFill="1" applyBorder="1" applyAlignment="1" applyProtection="1">
      <alignment horizontal="center" vertical="center"/>
    </xf>
    <xf numFmtId="0" fontId="25" fillId="2" borderId="1" xfId="2" applyFont="1" applyFill="1" applyBorder="1" applyAlignment="1">
      <alignment horizontal="center" vertical="center" wrapText="1"/>
    </xf>
    <xf numFmtId="0" fontId="16" fillId="0" borderId="4" xfId="0" applyFont="1" applyBorder="1" applyAlignment="1">
      <alignment horizontal="left" vertical="center" wrapText="1"/>
    </xf>
    <xf numFmtId="0" fontId="18" fillId="0" borderId="0" xfId="0" applyFont="1" applyAlignment="1">
      <alignment horizontal="center" vertical="center"/>
    </xf>
    <xf numFmtId="0" fontId="17" fillId="0" borderId="0" xfId="0" applyFont="1" applyAlignment="1">
      <alignment horizontal="center" vertical="center"/>
    </xf>
    <xf numFmtId="0" fontId="18" fillId="0" borderId="0" xfId="0" applyFont="1" applyAlignment="1">
      <alignment horizontal="left" vertical="top"/>
    </xf>
    <xf numFmtId="0" fontId="27" fillId="2" borderId="1" xfId="2" applyFont="1" applyFill="1" applyBorder="1" applyAlignment="1">
      <alignment horizontal="center" vertical="center"/>
    </xf>
    <xf numFmtId="49" fontId="28" fillId="0" borderId="1" xfId="0" applyNumberFormat="1" applyFont="1" applyBorder="1" applyAlignment="1">
      <alignment horizontal="center" vertical="center"/>
    </xf>
    <xf numFmtId="0" fontId="28" fillId="0" borderId="1" xfId="2" applyFont="1" applyBorder="1" applyAlignment="1">
      <alignment horizontal="center" vertical="center"/>
    </xf>
    <xf numFmtId="0" fontId="12" fillId="0" borderId="1" xfId="0" applyFont="1" applyBorder="1" applyAlignment="1">
      <alignment horizontal="center" vertical="center" wrapText="1"/>
    </xf>
    <xf numFmtId="0" fontId="29" fillId="0" borderId="1" xfId="4" applyFont="1" applyBorder="1" applyAlignment="1">
      <alignment horizontal="center" vertical="center" wrapText="1"/>
    </xf>
    <xf numFmtId="0" fontId="15" fillId="0" borderId="1" xfId="0" applyFont="1" applyBorder="1" applyAlignment="1">
      <alignment horizontal="center" vertical="center"/>
    </xf>
    <xf numFmtId="0" fontId="30" fillId="0" borderId="0" xfId="0" applyFont="1" applyAlignment="1">
      <alignment horizontal="left" vertical="top"/>
    </xf>
    <xf numFmtId="0" fontId="18" fillId="0" borderId="0" xfId="0" applyFont="1" applyAlignment="1">
      <alignment horizontal="left" vertical="center" wrapText="1"/>
    </xf>
    <xf numFmtId="49" fontId="31" fillId="0" borderId="1" xfId="3" applyNumberFormat="1" applyFont="1" applyFill="1" applyBorder="1" applyAlignment="1" applyProtection="1">
      <alignment horizontal="center" vertical="center"/>
    </xf>
    <xf numFmtId="0" fontId="12" fillId="0" borderId="1" xfId="0" applyFont="1" applyBorder="1" applyAlignment="1">
      <alignment horizontal="left" vertical="center"/>
    </xf>
    <xf numFmtId="0" fontId="32" fillId="0" borderId="1" xfId="0" applyFont="1" applyBorder="1" applyAlignment="1">
      <alignment horizontal="left" vertical="center" wrapText="1"/>
    </xf>
    <xf numFmtId="0" fontId="32" fillId="0" borderId="1" xfId="0" applyFont="1" applyBorder="1" applyAlignment="1">
      <alignment horizontal="left" vertical="center"/>
    </xf>
    <xf numFmtId="9" fontId="12" fillId="0" borderId="1" xfId="0" applyNumberFormat="1" applyFont="1" applyBorder="1" applyAlignment="1">
      <alignment horizontal="left" vertical="center" wrapText="1"/>
    </xf>
    <xf numFmtId="1" fontId="12" fillId="0" borderId="1" xfId="0" applyNumberFormat="1" applyFont="1" applyBorder="1" applyAlignment="1">
      <alignment horizontal="left" vertical="center"/>
    </xf>
    <xf numFmtId="9" fontId="12" fillId="0" borderId="1" xfId="0" applyNumberFormat="1" applyFont="1" applyBorder="1" applyAlignment="1">
      <alignment horizontal="left" vertical="center"/>
    </xf>
    <xf numFmtId="2" fontId="12" fillId="0" borderId="1" xfId="0" applyNumberFormat="1" applyFont="1" applyBorder="1" applyAlignment="1">
      <alignment horizontal="left" vertical="center"/>
    </xf>
    <xf numFmtId="0" fontId="28" fillId="0" borderId="1" xfId="4" applyFont="1" applyBorder="1" applyAlignment="1">
      <alignment horizontal="left" vertical="top" wrapText="1"/>
    </xf>
    <xf numFmtId="0" fontId="28" fillId="0" borderId="1" xfId="0" applyFont="1" applyBorder="1" applyAlignment="1">
      <alignment horizontal="left" vertical="top"/>
    </xf>
    <xf numFmtId="0" fontId="17" fillId="0" borderId="0" xfId="0" applyFont="1" applyAlignment="1">
      <alignment horizontal="center" vertical="top"/>
    </xf>
    <xf numFmtId="49" fontId="12" fillId="0" borderId="1" xfId="0" applyNumberFormat="1" applyFont="1" applyBorder="1" applyAlignment="1">
      <alignment horizontal="center" vertical="center"/>
    </xf>
    <xf numFmtId="0" fontId="28" fillId="0" borderId="1" xfId="0" applyFont="1" applyBorder="1" applyAlignment="1">
      <alignment horizontal="center" vertical="center" wrapText="1"/>
    </xf>
    <xf numFmtId="0" fontId="28" fillId="0" borderId="1" xfId="0" applyFont="1" applyBorder="1" applyAlignment="1">
      <alignment horizontal="center" vertical="center"/>
    </xf>
    <xf numFmtId="49" fontId="33" fillId="0" borderId="1" xfId="3" applyNumberFormat="1" applyFont="1" applyFill="1" applyBorder="1" applyAlignment="1" applyProtection="1">
      <alignment horizontal="center" vertical="center"/>
    </xf>
    <xf numFmtId="0" fontId="27" fillId="2" borderId="1" xfId="2" applyFont="1" applyFill="1" applyBorder="1" applyAlignment="1">
      <alignment horizontal="center" vertical="center" wrapText="1"/>
    </xf>
    <xf numFmtId="0" fontId="27" fillId="2" borderId="9" xfId="2" applyFont="1" applyFill="1" applyBorder="1" applyAlignment="1">
      <alignment horizontal="center" vertical="center"/>
    </xf>
    <xf numFmtId="0" fontId="27" fillId="2" borderId="9" xfId="2" applyFont="1" applyFill="1" applyBorder="1" applyAlignment="1">
      <alignment horizontal="center" vertical="center" wrapText="1"/>
    </xf>
    <xf numFmtId="0" fontId="29" fillId="0" borderId="1" xfId="4" applyFont="1" applyBorder="1" applyAlignment="1">
      <alignment horizontal="left" vertical="center" wrapText="1"/>
    </xf>
    <xf numFmtId="0" fontId="25" fillId="2" borderId="9" xfId="2" applyFont="1" applyFill="1" applyBorder="1" applyAlignment="1">
      <alignment horizontal="center" vertical="center"/>
    </xf>
    <xf numFmtId="0" fontId="25" fillId="2" borderId="9" xfId="2" applyFont="1" applyFill="1" applyBorder="1" applyAlignment="1">
      <alignment horizontal="center" vertical="center" wrapText="1"/>
    </xf>
    <xf numFmtId="0" fontId="28" fillId="0" borderId="1" xfId="0" applyFont="1" applyBorder="1" applyAlignment="1">
      <alignment horizontal="left" vertical="center"/>
    </xf>
    <xf numFmtId="0" fontId="29" fillId="0" borderId="1" xfId="4" applyFont="1" applyBorder="1" applyAlignment="1">
      <alignment horizontal="center" vertical="top" wrapText="1"/>
    </xf>
    <xf numFmtId="0" fontId="0" fillId="0" borderId="0" xfId="0" applyAlignment="1">
      <alignment horizontal="left"/>
    </xf>
    <xf numFmtId="0" fontId="34" fillId="0" borderId="0" xfId="0" applyFont="1"/>
    <xf numFmtId="0" fontId="31" fillId="0" borderId="1" xfId="3" applyFont="1" applyBorder="1" applyAlignment="1" applyProtection="1">
      <alignment horizontal="center" vertical="center" wrapText="1"/>
    </xf>
    <xf numFmtId="0" fontId="12" fillId="0" borderId="2" xfId="0" applyFont="1" applyBorder="1" applyAlignment="1">
      <alignment horizontal="center" vertical="center"/>
    </xf>
    <xf numFmtId="0" fontId="26" fillId="0" borderId="1" xfId="3" applyFont="1" applyFill="1" applyBorder="1" applyAlignment="1" applyProtection="1">
      <alignment horizontal="center" vertical="center" wrapText="1"/>
    </xf>
    <xf numFmtId="0" fontId="12" fillId="0" borderId="1" xfId="0" applyFont="1" applyBorder="1" applyAlignment="1">
      <alignment vertical="top" wrapText="1"/>
    </xf>
    <xf numFmtId="0" fontId="12" fillId="0" borderId="7" xfId="0" applyFont="1" applyBorder="1" applyAlignment="1">
      <alignment horizontal="center" vertical="center" wrapText="1"/>
    </xf>
    <xf numFmtId="0" fontId="12" fillId="0" borderId="1" xfId="0" applyFont="1" applyBorder="1" applyAlignment="1">
      <alignment horizontal="center" vertical="top"/>
    </xf>
    <xf numFmtId="1" fontId="21" fillId="0" borderId="1" xfId="0" applyNumberFormat="1" applyFont="1" applyBorder="1" applyAlignment="1">
      <alignment horizontal="center" vertical="center" wrapText="1"/>
    </xf>
    <xf numFmtId="0" fontId="21" fillId="0" borderId="1" xfId="0" applyFont="1" applyBorder="1" applyAlignment="1">
      <alignment horizontal="center" vertical="center" wrapText="1"/>
    </xf>
    <xf numFmtId="165" fontId="21" fillId="0" borderId="1" xfId="0" applyNumberFormat="1" applyFont="1" applyBorder="1" applyAlignment="1">
      <alignment horizontal="center" vertical="center" wrapText="1"/>
    </xf>
    <xf numFmtId="0" fontId="21" fillId="3" borderId="1" xfId="0" applyFont="1" applyFill="1" applyBorder="1" applyAlignment="1">
      <alignment horizontal="center" vertical="center"/>
    </xf>
    <xf numFmtId="0" fontId="24" fillId="3" borderId="1" xfId="0" applyFont="1" applyFill="1" applyBorder="1" applyAlignment="1">
      <alignment horizontal="center" vertical="center"/>
    </xf>
    <xf numFmtId="1" fontId="24" fillId="0" borderId="1" xfId="0" applyNumberFormat="1" applyFont="1" applyBorder="1" applyAlignment="1">
      <alignment horizontal="center" vertical="center" wrapText="1"/>
    </xf>
    <xf numFmtId="165" fontId="24" fillId="0" borderId="1" xfId="0" applyNumberFormat="1" applyFont="1" applyBorder="1" applyAlignment="1">
      <alignment horizontal="center" vertical="center" wrapText="1"/>
    </xf>
    <xf numFmtId="0" fontId="12" fillId="3" borderId="1" xfId="0" applyFont="1" applyFill="1" applyBorder="1" applyAlignment="1">
      <alignment horizontal="center" vertical="center"/>
    </xf>
    <xf numFmtId="1" fontId="12" fillId="0" borderId="1" xfId="0" applyNumberFormat="1" applyFont="1" applyBorder="1" applyAlignment="1">
      <alignment horizontal="center" vertical="center" wrapText="1"/>
    </xf>
    <xf numFmtId="1" fontId="12" fillId="0" borderId="1" xfId="0" applyNumberFormat="1" applyFont="1" applyBorder="1" applyAlignment="1">
      <alignment horizontal="center" vertical="center"/>
    </xf>
    <xf numFmtId="165" fontId="12" fillId="0" borderId="1" xfId="0" applyNumberFormat="1" applyFont="1" applyBorder="1" applyAlignment="1">
      <alignment horizontal="center" vertical="center" wrapText="1"/>
    </xf>
    <xf numFmtId="0" fontId="12" fillId="3" borderId="1" xfId="0" applyFont="1" applyFill="1" applyBorder="1" applyAlignment="1">
      <alignment horizontal="left" vertical="center"/>
    </xf>
    <xf numFmtId="0" fontId="12" fillId="3" borderId="1" xfId="0" applyFont="1" applyFill="1" applyBorder="1" applyAlignment="1">
      <alignment vertical="center"/>
    </xf>
    <xf numFmtId="0" fontId="24" fillId="3" borderId="7" xfId="0" applyFont="1" applyFill="1" applyBorder="1" applyAlignment="1">
      <alignment horizontal="center" vertical="center"/>
    </xf>
    <xf numFmtId="0" fontId="12" fillId="0" borderId="1" xfId="0" quotePrefix="1" applyFont="1" applyBorder="1" applyAlignment="1">
      <alignment horizontal="center" vertical="center" wrapText="1"/>
    </xf>
    <xf numFmtId="2" fontId="21" fillId="0" borderId="1" xfId="0" applyNumberFormat="1" applyFont="1" applyBorder="1" applyAlignment="1">
      <alignment horizontal="center" vertical="center" wrapText="1"/>
    </xf>
    <xf numFmtId="0" fontId="12" fillId="3" borderId="7" xfId="0" applyFont="1" applyFill="1" applyBorder="1" applyAlignment="1">
      <alignment horizontal="center" vertical="center"/>
    </xf>
    <xf numFmtId="2" fontId="12" fillId="0" borderId="2" xfId="0" applyNumberFormat="1" applyFont="1" applyBorder="1" applyAlignment="1">
      <alignment horizontal="center" vertical="center" wrapText="1"/>
    </xf>
    <xf numFmtId="165" fontId="12" fillId="0" borderId="2" xfId="0" applyNumberFormat="1" applyFont="1" applyBorder="1" applyAlignment="1">
      <alignment horizontal="center" vertical="center" wrapText="1"/>
    </xf>
    <xf numFmtId="0" fontId="12" fillId="0" borderId="2" xfId="0" applyFont="1" applyBorder="1" applyAlignment="1">
      <alignment horizontal="center" vertical="center" wrapText="1"/>
    </xf>
    <xf numFmtId="1" fontId="12" fillId="0" borderId="2" xfId="0" applyNumberFormat="1" applyFont="1" applyBorder="1" applyAlignment="1">
      <alignment horizontal="center" vertical="center" wrapText="1"/>
    </xf>
    <xf numFmtId="0" fontId="28" fillId="3" borderId="1" xfId="0" applyFont="1" applyFill="1" applyBorder="1" applyAlignment="1">
      <alignment vertical="center" wrapText="1"/>
    </xf>
    <xf numFmtId="9" fontId="12" fillId="0" borderId="1" xfId="0" applyNumberFormat="1" applyFont="1" applyBorder="1" applyAlignment="1">
      <alignment horizontal="center" vertical="center"/>
    </xf>
    <xf numFmtId="0" fontId="28" fillId="3" borderId="1" xfId="0" applyFont="1" applyFill="1" applyBorder="1" applyAlignment="1">
      <alignment horizontal="left" vertical="center" wrapText="1"/>
    </xf>
    <xf numFmtId="0" fontId="12" fillId="0" borderId="0" xfId="0" applyFont="1" applyAlignment="1">
      <alignment vertical="center"/>
    </xf>
    <xf numFmtId="164" fontId="12" fillId="0" borderId="1" xfId="1" applyNumberFormat="1" applyFont="1" applyBorder="1" applyAlignment="1">
      <alignment horizontal="center" vertical="center" wrapText="1"/>
    </xf>
    <xf numFmtId="9" fontId="12" fillId="0" borderId="1" xfId="1" applyNumberFormat="1" applyFont="1" applyBorder="1" applyAlignment="1">
      <alignment horizontal="center" vertical="center" wrapText="1"/>
    </xf>
    <xf numFmtId="164" fontId="12" fillId="0" borderId="1" xfId="1" applyNumberFormat="1" applyFont="1" applyBorder="1" applyAlignment="1">
      <alignment vertical="center" wrapText="1"/>
    </xf>
    <xf numFmtId="0" fontId="13" fillId="0" borderId="0" xfId="0" applyFont="1" applyAlignment="1">
      <alignment vertical="center"/>
    </xf>
    <xf numFmtId="0" fontId="11" fillId="0" borderId="1" xfId="3" applyFill="1" applyBorder="1" applyAlignment="1" applyProtection="1">
      <alignment horizontal="center" vertical="center" wrapText="1"/>
    </xf>
    <xf numFmtId="0" fontId="12" fillId="0" borderId="0" xfId="0" applyFont="1" applyAlignment="1">
      <alignment horizontal="center" vertical="center"/>
    </xf>
    <xf numFmtId="0" fontId="12" fillId="0" borderId="0" xfId="0" applyFont="1" applyAlignment="1">
      <alignment horizontal="left" vertical="center"/>
    </xf>
    <xf numFmtId="0" fontId="13" fillId="0" borderId="0" xfId="0" applyFont="1" applyAlignment="1">
      <alignment horizontal="left" vertical="center"/>
    </xf>
    <xf numFmtId="9" fontId="28" fillId="0" borderId="1" xfId="0" applyNumberFormat="1" applyFont="1" applyBorder="1" applyAlignment="1">
      <alignment horizontal="center" vertical="center"/>
    </xf>
    <xf numFmtId="0" fontId="31" fillId="0" borderId="1" xfId="3" applyFont="1" applyBorder="1" applyAlignment="1">
      <alignment horizontal="center" vertical="center"/>
    </xf>
    <xf numFmtId="0" fontId="12" fillId="0" borderId="6" xfId="0" applyFont="1" applyBorder="1" applyAlignment="1">
      <alignment horizontal="left" vertical="center" wrapText="1"/>
    </xf>
    <xf numFmtId="0" fontId="0" fillId="0" borderId="1" xfId="0" applyBorder="1"/>
    <xf numFmtId="0" fontId="28" fillId="0" borderId="0" xfId="0" applyFont="1"/>
    <xf numFmtId="0" fontId="28" fillId="0" borderId="1" xfId="0" applyFont="1" applyBorder="1"/>
    <xf numFmtId="0" fontId="28" fillId="0" borderId="1" xfId="0" applyFont="1" applyBorder="1" applyAlignment="1">
      <alignment horizontal="center"/>
    </xf>
    <xf numFmtId="0" fontId="28" fillId="0" borderId="1" xfId="0" applyFont="1" applyBorder="1" applyAlignment="1">
      <alignment horizontal="left" vertical="center" wrapText="1"/>
    </xf>
    <xf numFmtId="0" fontId="28" fillId="0" borderId="0" xfId="0" applyFont="1" applyAlignment="1">
      <alignment wrapText="1"/>
    </xf>
    <xf numFmtId="0" fontId="0" fillId="0" borderId="0" xfId="0" applyAlignment="1">
      <alignment horizontal="center"/>
    </xf>
    <xf numFmtId="0" fontId="0" fillId="0" borderId="0" xfId="0" applyAlignment="1">
      <alignment horizontal="center" vertical="center"/>
    </xf>
    <xf numFmtId="0" fontId="0" fillId="0" borderId="1" xfId="0" applyBorder="1" applyAlignment="1">
      <alignment horizontal="center" vertical="center"/>
    </xf>
    <xf numFmtId="0" fontId="34" fillId="0" borderId="1" xfId="0" applyFont="1" applyBorder="1" applyAlignment="1">
      <alignment horizontal="center" vertical="center"/>
    </xf>
    <xf numFmtId="0" fontId="13" fillId="4" borderId="1" xfId="0" applyFont="1" applyFill="1" applyBorder="1" applyAlignment="1">
      <alignment horizontal="left" vertical="center" wrapText="1"/>
    </xf>
    <xf numFmtId="0" fontId="29" fillId="0" borderId="1" xfId="0" applyFont="1" applyBorder="1" applyAlignment="1">
      <alignment horizontal="left" vertical="center" wrapText="1"/>
    </xf>
    <xf numFmtId="0" fontId="36" fillId="0" borderId="1" xfId="0" applyFont="1" applyBorder="1" applyAlignment="1">
      <alignment horizontal="center" vertical="center"/>
    </xf>
    <xf numFmtId="0" fontId="32" fillId="0" borderId="1" xfId="0" applyFont="1" applyBorder="1" applyAlignment="1">
      <alignment horizontal="center" vertical="center" wrapText="1"/>
    </xf>
    <xf numFmtId="0" fontId="32" fillId="0" borderId="1" xfId="0" applyFont="1" applyBorder="1" applyAlignment="1">
      <alignment horizontal="center" vertical="center"/>
    </xf>
    <xf numFmtId="2" fontId="12" fillId="0" borderId="1" xfId="0" applyNumberFormat="1" applyFont="1" applyBorder="1" applyAlignment="1">
      <alignment horizontal="center" vertical="center"/>
    </xf>
    <xf numFmtId="0" fontId="28" fillId="0" borderId="5" xfId="0" applyFont="1" applyBorder="1" applyAlignment="1">
      <alignment horizontal="left" vertical="center" wrapText="1"/>
    </xf>
    <xf numFmtId="0" fontId="0" fillId="0" borderId="8" xfId="0" applyBorder="1" applyAlignment="1">
      <alignment horizontal="right" vertical="center"/>
    </xf>
    <xf numFmtId="0" fontId="0" fillId="0" borderId="1" xfId="0" applyBorder="1" applyAlignment="1">
      <alignment horizontal="right" vertical="center"/>
    </xf>
    <xf numFmtId="0" fontId="0" fillId="0" borderId="1" xfId="0" applyBorder="1" applyAlignment="1">
      <alignment horizontal="right"/>
    </xf>
    <xf numFmtId="0" fontId="0" fillId="0" borderId="8" xfId="0" applyBorder="1" applyAlignment="1">
      <alignment horizontal="center" vertical="center"/>
    </xf>
    <xf numFmtId="0" fontId="31" fillId="0" borderId="1" xfId="3" applyFont="1" applyFill="1" applyBorder="1" applyAlignment="1" applyProtection="1">
      <alignment horizontal="center" vertical="center" wrapText="1"/>
    </xf>
    <xf numFmtId="0" fontId="13" fillId="3" borderId="1" xfId="4" applyFont="1" applyFill="1" applyBorder="1" applyAlignment="1">
      <alignment horizontal="center" vertical="center"/>
    </xf>
    <xf numFmtId="0" fontId="28" fillId="3" borderId="1" xfId="0" applyFont="1" applyFill="1" applyBorder="1" applyAlignment="1">
      <alignment horizontal="center" vertical="center"/>
    </xf>
    <xf numFmtId="0" fontId="37" fillId="3" borderId="1" xfId="0" applyFont="1" applyFill="1" applyBorder="1" applyAlignment="1">
      <alignment horizontal="center" vertical="center"/>
    </xf>
    <xf numFmtId="0" fontId="37" fillId="3" borderId="1" xfId="4" applyFont="1" applyFill="1" applyBorder="1" applyAlignment="1">
      <alignment horizontal="center" vertical="center" wrapText="1"/>
    </xf>
    <xf numFmtId="0" fontId="12" fillId="3" borderId="1" xfId="0" applyFont="1" applyFill="1" applyBorder="1" applyAlignment="1">
      <alignment horizontal="center" vertical="center" wrapText="1"/>
    </xf>
    <xf numFmtId="0" fontId="13" fillId="3" borderId="1" xfId="0" applyFont="1" applyFill="1" applyBorder="1" applyAlignment="1">
      <alignment horizontal="center" vertical="center"/>
    </xf>
    <xf numFmtId="0" fontId="12" fillId="3" borderId="1" xfId="4" applyFont="1" applyFill="1" applyBorder="1" applyAlignment="1">
      <alignment horizontal="left" vertical="center" wrapText="1"/>
    </xf>
    <xf numFmtId="0" fontId="29" fillId="3" borderId="1" xfId="4" applyFont="1" applyFill="1" applyBorder="1" applyAlignment="1">
      <alignment horizontal="left" vertical="center" wrapText="1"/>
    </xf>
    <xf numFmtId="0" fontId="28" fillId="3" borderId="1" xfId="5" applyNumberFormat="1" applyFont="1" applyFill="1" applyBorder="1" applyAlignment="1" applyProtection="1">
      <alignment horizontal="left" vertical="center" wrapText="1"/>
    </xf>
    <xf numFmtId="0" fontId="12" fillId="3" borderId="1" xfId="0" applyFont="1" applyFill="1" applyBorder="1" applyAlignment="1">
      <alignment horizontal="left" vertical="center" wrapText="1"/>
    </xf>
    <xf numFmtId="0" fontId="28" fillId="5" borderId="1" xfId="0" applyFont="1" applyFill="1" applyBorder="1" applyAlignment="1">
      <alignment horizontal="center" vertical="center" wrapText="1"/>
    </xf>
    <xf numFmtId="9" fontId="12" fillId="3" borderId="1" xfId="0" applyNumberFormat="1" applyFont="1" applyFill="1" applyBorder="1" applyAlignment="1">
      <alignment horizontal="center" vertical="center"/>
    </xf>
    <xf numFmtId="0" fontId="29" fillId="6" borderId="1" xfId="0" applyFont="1" applyFill="1" applyBorder="1" applyAlignment="1">
      <alignment horizontal="left" vertical="center" wrapText="1"/>
    </xf>
    <xf numFmtId="0" fontId="29" fillId="0" borderId="1" xfId="0" applyFont="1" applyBorder="1" applyAlignment="1">
      <alignment horizontal="left" vertical="center"/>
    </xf>
    <xf numFmtId="0" fontId="11" fillId="0" borderId="1" xfId="3" applyBorder="1" applyAlignment="1" applyProtection="1">
      <alignment horizontal="center" vertical="center" wrapText="1"/>
    </xf>
    <xf numFmtId="0" fontId="38" fillId="0" borderId="1" xfId="2" applyFont="1" applyBorder="1" applyAlignment="1">
      <alignment horizontal="center" vertical="center"/>
    </xf>
    <xf numFmtId="167" fontId="28" fillId="0" borderId="1" xfId="0" applyNumberFormat="1" applyFont="1" applyBorder="1" applyAlignment="1">
      <alignment horizontal="center" vertical="center"/>
    </xf>
    <xf numFmtId="1" fontId="28" fillId="0" borderId="1" xfId="0" applyNumberFormat="1" applyFont="1" applyBorder="1" applyAlignment="1">
      <alignment horizontal="center" vertical="center"/>
    </xf>
    <xf numFmtId="0" fontId="12" fillId="0" borderId="1" xfId="0" applyFont="1" applyBorder="1" applyAlignment="1">
      <alignment horizontal="left"/>
    </xf>
    <xf numFmtId="9" fontId="7" fillId="0" borderId="1" xfId="0" applyNumberFormat="1" applyFont="1" applyBorder="1" applyAlignment="1">
      <alignment horizontal="center" vertical="center"/>
    </xf>
    <xf numFmtId="9" fontId="28" fillId="0" borderId="1" xfId="0" applyNumberFormat="1" applyFont="1" applyBorder="1" applyAlignment="1">
      <alignment horizontal="center" vertical="center" wrapText="1"/>
    </xf>
    <xf numFmtId="0" fontId="12" fillId="6" borderId="1" xfId="0" applyFont="1" applyFill="1" applyBorder="1" applyAlignment="1">
      <alignment horizontal="center" vertical="center" wrapText="1"/>
    </xf>
    <xf numFmtId="0" fontId="28" fillId="0" borderId="9" xfId="0" applyFont="1" applyBorder="1" applyAlignment="1">
      <alignment horizontal="center" vertical="center"/>
    </xf>
    <xf numFmtId="0" fontId="0" fillId="0" borderId="0" xfId="0" applyAlignment="1">
      <alignment vertical="center"/>
    </xf>
    <xf numFmtId="0" fontId="36" fillId="0" borderId="1" xfId="0" applyFont="1" applyBorder="1" applyAlignment="1">
      <alignment horizontal="left" vertical="center" wrapText="1"/>
    </xf>
    <xf numFmtId="0" fontId="3" fillId="2" borderId="1" xfId="2" applyFont="1" applyFill="1" applyBorder="1" applyAlignment="1">
      <alignment horizontal="center" vertical="center"/>
    </xf>
    <xf numFmtId="1" fontId="12" fillId="3" borderId="1" xfId="0" applyNumberFormat="1" applyFont="1" applyFill="1" applyBorder="1" applyAlignment="1">
      <alignment horizontal="center" vertical="center" wrapText="1"/>
    </xf>
    <xf numFmtId="165" fontId="12" fillId="3" borderId="1" xfId="0" applyNumberFormat="1" applyFont="1" applyFill="1" applyBorder="1" applyAlignment="1">
      <alignment horizontal="center" vertical="center" wrapText="1"/>
    </xf>
  </cellXfs>
  <cellStyles count="6">
    <cellStyle name="Comma" xfId="1" builtinId="3"/>
    <cellStyle name="Comma 6 2" xfId="5" xr:uid="{862F53D0-F634-4DE8-B4C9-5493C2165DA8}"/>
    <cellStyle name="Hyperlink" xfId="3" builtinId="8"/>
    <cellStyle name="Normal" xfId="0" builtinId="0"/>
    <cellStyle name="Normal 2" xfId="2" xr:uid="{00000000-0005-0000-0000-000006000000}"/>
    <cellStyle name="Normal 6 2" xfId="4" xr:uid="{BECD6A8C-4C13-4F17-BC22-0B6326DF9EE7}"/>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6C757D"/>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D2D2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person displayName="Bwfpcl Muribahal" id="{3ECEBF0C-431C-4670-B119-1AE29033F2AE}" userId="77c8f97fdb78c9c7" providerId="Windows Live"/>
  <person displayName="Ashis Mondal" id="{269E607E-9E14-43EB-B801-C3867448862B}" userId="e4226e380c52f7cf" providerId="Windows Live"/>
</personList>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U2" dT="2026-07-10T12:13:18.94" personId="{3ECEBF0C-431C-4670-B119-1AE29033F2AE}" id="{9AF9BF67-344B-4C40-B6F2-BF78D5231F93}">
    <text>Sowing method</text>
  </threadedComment>
  <threadedComment ref="U2" dT="2026-07-10T12:13:53.95" personId="{3ECEBF0C-431C-4670-B119-1AE29033F2AE}" id="{4C6D0D55-D263-4BFA-A2F1-BF48E8281D6D}" parentId="{9AF9BF67-344B-4C40-B6F2-BF78D5231F93}">
    <text>Vegetative Growth - (INM, Input Preperation-Nutrition, Weeding)</text>
  </threadedComment>
  <threadedComment ref="V2" dT="2026-07-10T12:16:18.70" personId="{3ECEBF0C-431C-4670-B119-1AE29033F2AE}" id="{10BF237C-40F7-4A24-A614-C60614AD8E50}">
    <text>Vegetative Growth - (INM, Input Preperation-Nutrition, Weeding)</text>
  </threadedComment>
  <threadedComment ref="AC2" dT="2026-07-10T12:15:40.93" personId="{3ECEBF0C-431C-4670-B119-1AE29033F2AE}" id="{822F8878-4CBB-414A-AF7D-A55776B4FC47}">
    <text xml:space="preserve">Soil Testing - Next Crop planing </text>
  </threadedComment>
</ThreadedComments>
</file>

<file path=xl/threadedComments/threadedComment2.xml><?xml version="1.0" encoding="utf-8"?>
<ThreadedComments xmlns="http://schemas.microsoft.com/office/spreadsheetml/2018/threadedcomments" xmlns:x="http://schemas.openxmlformats.org/spreadsheetml/2006/main">
  <threadedComment ref="O2" dT="2026-07-01T07:57:59.69" personId="{269E607E-9E14-43EB-B801-C3867448862B}" id="{A729D767-1E4D-4946-A58C-597A93141EE6}">
    <text xml:space="preserve">Is it borrower or INR? </text>
  </threadedComment>
  <threadedComment ref="O3" dT="2026-07-01T08:00:19.16" personId="{269E607E-9E14-43EB-B801-C3867448862B}" id="{50105C55-F97D-4A5D-BE2C-A88F8A5C5413}">
    <text xml:space="preserve">%age Borrower with OTT ?  </text>
  </threadedComment>
  <threadedComment ref="O4" dT="2026-07-01T08:00:41.95" personId="{269E607E-9E14-43EB-B801-C3867448862B}" id="{1B700AA8-4F1C-44F4-9EE4-5DCB8B916B3E}">
    <text xml:space="preserve">How do you measure this ? </text>
  </threadedComment>
  <threadedComment ref="O9" dT="2026-07-01T08:01:37.66" personId="{269E607E-9E14-43EB-B801-C3867448862B}" id="{F52D569A-CB72-4853-8BE9-A4519CD8A50F}">
    <text xml:space="preserve">Not clear that what are we measuring here? </text>
  </threadedComment>
</ThreadedComments>
</file>

<file path=xl/worksheets/_rels/sheet4.xml.rels><?xml version="1.0" encoding="UTF-8" standalone="yes"?>
<Relationships xmlns="http://schemas.openxmlformats.org/package/2006/relationships"><Relationship Id="rId13" Type="http://schemas.openxmlformats.org/officeDocument/2006/relationships/hyperlink" Target="mailto:biswabhusan.papl20@gmail.com" TargetMode="External"/><Relationship Id="rId18" Type="http://schemas.openxmlformats.org/officeDocument/2006/relationships/hyperlink" Target="mailto:biswabhusan.papl20@gmail.com" TargetMode="External"/><Relationship Id="rId26" Type="http://schemas.openxmlformats.org/officeDocument/2006/relationships/hyperlink" Target="mailto:biswabhusan.papl20@gmail.com" TargetMode="External"/><Relationship Id="rId3" Type="http://schemas.openxmlformats.org/officeDocument/2006/relationships/hyperlink" Target="mailto:biswabhusan.papl20@gmail.com" TargetMode="External"/><Relationship Id="rId21" Type="http://schemas.openxmlformats.org/officeDocument/2006/relationships/hyperlink" Target="mailto:biswabhusan.papl20@gmail.com" TargetMode="External"/><Relationship Id="rId7" Type="http://schemas.openxmlformats.org/officeDocument/2006/relationships/hyperlink" Target="mailto:biswabhusan.papl20@gmail.com" TargetMode="External"/><Relationship Id="rId12" Type="http://schemas.openxmlformats.org/officeDocument/2006/relationships/hyperlink" Target="mailto:biswabhusan.papl20@gmail.com" TargetMode="External"/><Relationship Id="rId17" Type="http://schemas.openxmlformats.org/officeDocument/2006/relationships/hyperlink" Target="mailto:biswabhusan.papl20@gmail.com" TargetMode="External"/><Relationship Id="rId25" Type="http://schemas.openxmlformats.org/officeDocument/2006/relationships/hyperlink" Target="mailto:biswabhusan.papl20@gmail.com" TargetMode="External"/><Relationship Id="rId33" Type="http://schemas.openxmlformats.org/officeDocument/2006/relationships/hyperlink" Target="mailto:biswabhusan.papl20@gmail.com" TargetMode="External"/><Relationship Id="rId2" Type="http://schemas.openxmlformats.org/officeDocument/2006/relationships/hyperlink" Target="mailto:biswabhusan.papl20@gmail.com" TargetMode="External"/><Relationship Id="rId16" Type="http://schemas.openxmlformats.org/officeDocument/2006/relationships/hyperlink" Target="mailto:biswabhusan.papl20@gmail.com" TargetMode="External"/><Relationship Id="rId20" Type="http://schemas.openxmlformats.org/officeDocument/2006/relationships/hyperlink" Target="mailto:biswabhusan.papl20@gmail.com" TargetMode="External"/><Relationship Id="rId29" Type="http://schemas.openxmlformats.org/officeDocument/2006/relationships/hyperlink" Target="mailto:biswabhusan.papl20@gmail.com" TargetMode="External"/><Relationship Id="rId1" Type="http://schemas.openxmlformats.org/officeDocument/2006/relationships/hyperlink" Target="mailto:biswabhusan.papl20@gmail.com" TargetMode="External"/><Relationship Id="rId6" Type="http://schemas.openxmlformats.org/officeDocument/2006/relationships/hyperlink" Target="mailto:biswabhusan.papl20@gmail.com" TargetMode="External"/><Relationship Id="rId11" Type="http://schemas.openxmlformats.org/officeDocument/2006/relationships/hyperlink" Target="mailto:biswabhusan.papl20@gmail.com" TargetMode="External"/><Relationship Id="rId24" Type="http://schemas.openxmlformats.org/officeDocument/2006/relationships/hyperlink" Target="mailto:biswabhusan.papl20@gmail.com" TargetMode="External"/><Relationship Id="rId32" Type="http://schemas.openxmlformats.org/officeDocument/2006/relationships/hyperlink" Target="mailto:biswabhusan.papl20@gmail.com" TargetMode="External"/><Relationship Id="rId5" Type="http://schemas.openxmlformats.org/officeDocument/2006/relationships/hyperlink" Target="mailto:biswabhusan.papl20@gmail.com" TargetMode="External"/><Relationship Id="rId15" Type="http://schemas.openxmlformats.org/officeDocument/2006/relationships/hyperlink" Target="mailto:biswabhusan.papl20@gmail.com" TargetMode="External"/><Relationship Id="rId23" Type="http://schemas.openxmlformats.org/officeDocument/2006/relationships/hyperlink" Target="mailto:biswabhusan.papl20@gmail.com" TargetMode="External"/><Relationship Id="rId28" Type="http://schemas.openxmlformats.org/officeDocument/2006/relationships/hyperlink" Target="mailto:biswabhusan.papl20@gmail.com" TargetMode="External"/><Relationship Id="rId10" Type="http://schemas.openxmlformats.org/officeDocument/2006/relationships/hyperlink" Target="mailto:biswabhusan.papl20@gmail.com" TargetMode="External"/><Relationship Id="rId19" Type="http://schemas.openxmlformats.org/officeDocument/2006/relationships/hyperlink" Target="mailto:biswabhusan.papl20@gmail.com" TargetMode="External"/><Relationship Id="rId31" Type="http://schemas.openxmlformats.org/officeDocument/2006/relationships/hyperlink" Target="mailto:biswabhusan.papl20@gmail.com" TargetMode="External"/><Relationship Id="rId4" Type="http://schemas.openxmlformats.org/officeDocument/2006/relationships/hyperlink" Target="mailto:biswabhusan.papl20@gmail.com" TargetMode="External"/><Relationship Id="rId9" Type="http://schemas.openxmlformats.org/officeDocument/2006/relationships/hyperlink" Target="mailto:biswabhusan.papl20@gmail.com" TargetMode="External"/><Relationship Id="rId14" Type="http://schemas.openxmlformats.org/officeDocument/2006/relationships/hyperlink" Target="mailto:biswabhusan.papl20@gmail.com" TargetMode="External"/><Relationship Id="rId22" Type="http://schemas.openxmlformats.org/officeDocument/2006/relationships/hyperlink" Target="mailto:biswabhusan.papl20@gmail.com" TargetMode="External"/><Relationship Id="rId27" Type="http://schemas.openxmlformats.org/officeDocument/2006/relationships/hyperlink" Target="mailto:biswabhusan.papl20@gmail.com" TargetMode="External"/><Relationship Id="rId30" Type="http://schemas.openxmlformats.org/officeDocument/2006/relationships/hyperlink" Target="mailto:biswabhusan.papl20@gmail.com" TargetMode="External"/><Relationship Id="rId8" Type="http://schemas.openxmlformats.org/officeDocument/2006/relationships/hyperlink" Target="mailto:biswabhusan.papl20@gmail.com"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mailto:rehanq.papl20@gmail.com" TargetMode="External"/><Relationship Id="rId18" Type="http://schemas.openxmlformats.org/officeDocument/2006/relationships/hyperlink" Target="mailto:rehanq.papl20@gmail.com" TargetMode="External"/><Relationship Id="rId26" Type="http://schemas.openxmlformats.org/officeDocument/2006/relationships/hyperlink" Target="mailto:rehanq.papl20@gmail.com" TargetMode="External"/><Relationship Id="rId3" Type="http://schemas.openxmlformats.org/officeDocument/2006/relationships/hyperlink" Target="mailto:rehanq.papl20@gmail.com" TargetMode="External"/><Relationship Id="rId21" Type="http://schemas.openxmlformats.org/officeDocument/2006/relationships/hyperlink" Target="mailto:rehanq.papl20@gmail.com" TargetMode="External"/><Relationship Id="rId7" Type="http://schemas.openxmlformats.org/officeDocument/2006/relationships/hyperlink" Target="mailto:rehanq.papl20@gmail.com" TargetMode="External"/><Relationship Id="rId12" Type="http://schemas.openxmlformats.org/officeDocument/2006/relationships/hyperlink" Target="mailto:rehanq.papl20@gmail.com" TargetMode="External"/><Relationship Id="rId17" Type="http://schemas.openxmlformats.org/officeDocument/2006/relationships/hyperlink" Target="mailto:rehanq.papl20@gmail.com" TargetMode="External"/><Relationship Id="rId25" Type="http://schemas.openxmlformats.org/officeDocument/2006/relationships/hyperlink" Target="mailto:rehanq.papl20@gmail.com" TargetMode="External"/><Relationship Id="rId33" Type="http://schemas.openxmlformats.org/officeDocument/2006/relationships/hyperlink" Target="mailto:rehanq.papl20@gmail.com" TargetMode="External"/><Relationship Id="rId2" Type="http://schemas.openxmlformats.org/officeDocument/2006/relationships/hyperlink" Target="mailto:rehanq.papl20@gmail.com" TargetMode="External"/><Relationship Id="rId16" Type="http://schemas.openxmlformats.org/officeDocument/2006/relationships/hyperlink" Target="mailto:rehanq.papl20@gmail.com" TargetMode="External"/><Relationship Id="rId20" Type="http://schemas.openxmlformats.org/officeDocument/2006/relationships/hyperlink" Target="mailto:rehanq.papl20@gmail.com" TargetMode="External"/><Relationship Id="rId29" Type="http://schemas.openxmlformats.org/officeDocument/2006/relationships/hyperlink" Target="mailto:rehanq.papl20@gmail.com" TargetMode="External"/><Relationship Id="rId1" Type="http://schemas.openxmlformats.org/officeDocument/2006/relationships/hyperlink" Target="mailto:rehanq.papl20@gmail.com" TargetMode="External"/><Relationship Id="rId6" Type="http://schemas.openxmlformats.org/officeDocument/2006/relationships/hyperlink" Target="mailto:rehanq.papl20@gmail.com" TargetMode="External"/><Relationship Id="rId11" Type="http://schemas.openxmlformats.org/officeDocument/2006/relationships/hyperlink" Target="mailto:rehanq.papl20@gmail.com" TargetMode="External"/><Relationship Id="rId24" Type="http://schemas.openxmlformats.org/officeDocument/2006/relationships/hyperlink" Target="mailto:rehanq.papl20@gmail.com" TargetMode="External"/><Relationship Id="rId32" Type="http://schemas.openxmlformats.org/officeDocument/2006/relationships/hyperlink" Target="mailto:rehanq.papl20@gmail.com" TargetMode="External"/><Relationship Id="rId5" Type="http://schemas.openxmlformats.org/officeDocument/2006/relationships/hyperlink" Target="mailto:rehanq.papl20@gmail.com" TargetMode="External"/><Relationship Id="rId15" Type="http://schemas.openxmlformats.org/officeDocument/2006/relationships/hyperlink" Target="mailto:rehanq.papl20@gmail.com" TargetMode="External"/><Relationship Id="rId23" Type="http://schemas.openxmlformats.org/officeDocument/2006/relationships/hyperlink" Target="mailto:rehanq.papl20@gmail.com" TargetMode="External"/><Relationship Id="rId28" Type="http://schemas.openxmlformats.org/officeDocument/2006/relationships/hyperlink" Target="mailto:rehanq.papl20@gmail.com" TargetMode="External"/><Relationship Id="rId10" Type="http://schemas.openxmlformats.org/officeDocument/2006/relationships/hyperlink" Target="mailto:rehanq.papl20@gmail.com" TargetMode="External"/><Relationship Id="rId19" Type="http://schemas.openxmlformats.org/officeDocument/2006/relationships/hyperlink" Target="mailto:rehanq.papl20@gmail.com" TargetMode="External"/><Relationship Id="rId31" Type="http://schemas.openxmlformats.org/officeDocument/2006/relationships/hyperlink" Target="mailto:rehanq.papl20@gmail.com" TargetMode="External"/><Relationship Id="rId4" Type="http://schemas.openxmlformats.org/officeDocument/2006/relationships/hyperlink" Target="mailto:rehanq.papl20@gmail.com" TargetMode="External"/><Relationship Id="rId9" Type="http://schemas.openxmlformats.org/officeDocument/2006/relationships/hyperlink" Target="mailto:rehanq.papl20@gmail.com" TargetMode="External"/><Relationship Id="rId14" Type="http://schemas.openxmlformats.org/officeDocument/2006/relationships/hyperlink" Target="mailto:rehanq.papl20@gmail.com" TargetMode="External"/><Relationship Id="rId22" Type="http://schemas.openxmlformats.org/officeDocument/2006/relationships/hyperlink" Target="mailto:rehanq.papl20@gmail.com" TargetMode="External"/><Relationship Id="rId27" Type="http://schemas.openxmlformats.org/officeDocument/2006/relationships/hyperlink" Target="mailto:rehanq.papl20@gmail.com" TargetMode="External"/><Relationship Id="rId30" Type="http://schemas.openxmlformats.org/officeDocument/2006/relationships/hyperlink" Target="mailto:rehanq.papl20@gmail.com" TargetMode="External"/><Relationship Id="rId8" Type="http://schemas.openxmlformats.org/officeDocument/2006/relationships/hyperlink" Target="mailto:rehanq.papl20@gmail.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jagan.mohan@ploughmanagro.com" TargetMode="External"/><Relationship Id="rId13" Type="http://schemas.openxmlformats.org/officeDocument/2006/relationships/hyperlink" Target="mailto:jagan.mohan@ploughmanagro.com" TargetMode="External"/><Relationship Id="rId3" Type="http://schemas.openxmlformats.org/officeDocument/2006/relationships/hyperlink" Target="mailto:jagan.mohan@ploughmanagro.com" TargetMode="External"/><Relationship Id="rId7" Type="http://schemas.openxmlformats.org/officeDocument/2006/relationships/hyperlink" Target="mailto:jagan.mohan@ploughmanagro.com" TargetMode="External"/><Relationship Id="rId12" Type="http://schemas.openxmlformats.org/officeDocument/2006/relationships/hyperlink" Target="mailto:jagan.mohan@ploughmanagro.com" TargetMode="External"/><Relationship Id="rId2" Type="http://schemas.openxmlformats.org/officeDocument/2006/relationships/hyperlink" Target="mailto:jagan.mohan@ploughmanagro.com" TargetMode="External"/><Relationship Id="rId16" Type="http://schemas.openxmlformats.org/officeDocument/2006/relationships/hyperlink" Target="mailto:jagan.mohan@ploughmanagro.com" TargetMode="External"/><Relationship Id="rId1" Type="http://schemas.openxmlformats.org/officeDocument/2006/relationships/hyperlink" Target="mailto:jagan.mohan@ploughmanagro.com" TargetMode="External"/><Relationship Id="rId6" Type="http://schemas.openxmlformats.org/officeDocument/2006/relationships/hyperlink" Target="mailto:jagan.mohan@ploughmanagro.com" TargetMode="External"/><Relationship Id="rId11" Type="http://schemas.openxmlformats.org/officeDocument/2006/relationships/hyperlink" Target="mailto:jagan.mohan@ploughmanagro.com" TargetMode="External"/><Relationship Id="rId5" Type="http://schemas.openxmlformats.org/officeDocument/2006/relationships/hyperlink" Target="mailto:jagan.mohan@ploughmanagro.com" TargetMode="External"/><Relationship Id="rId15" Type="http://schemas.openxmlformats.org/officeDocument/2006/relationships/hyperlink" Target="mailto:jagan.mohan@ploughmanagro.com" TargetMode="External"/><Relationship Id="rId10" Type="http://schemas.openxmlformats.org/officeDocument/2006/relationships/hyperlink" Target="mailto:jagan.mohan@ploughmanagro.com" TargetMode="External"/><Relationship Id="rId4" Type="http://schemas.openxmlformats.org/officeDocument/2006/relationships/hyperlink" Target="mailto:jagan.mohan@ploughmanagro.com" TargetMode="External"/><Relationship Id="rId9" Type="http://schemas.openxmlformats.org/officeDocument/2006/relationships/hyperlink" Target="mailto:jagan.mohan@ploughmanagro.com" TargetMode="External"/><Relationship Id="rId14" Type="http://schemas.openxmlformats.org/officeDocument/2006/relationships/hyperlink" Target="mailto:jagan.mohan@ploughmanagro.com"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mailto:hemant.shakkrapude@ploughmanagro.com" TargetMode="External"/><Relationship Id="rId21" Type="http://schemas.openxmlformats.org/officeDocument/2006/relationships/hyperlink" Target="mailto:hemant.shakkrapude@ploughmanagro.com" TargetMode="External"/><Relationship Id="rId34" Type="http://schemas.openxmlformats.org/officeDocument/2006/relationships/hyperlink" Target="mailto:hemant.shakkrapude@ploughmanagro.com" TargetMode="External"/><Relationship Id="rId42" Type="http://schemas.openxmlformats.org/officeDocument/2006/relationships/hyperlink" Target="mailto:hemant.shakkrapude@ploughmanagro.com" TargetMode="External"/><Relationship Id="rId47" Type="http://schemas.openxmlformats.org/officeDocument/2006/relationships/hyperlink" Target="mailto:hemant.shakkrapude@ploughmanagro.com" TargetMode="External"/><Relationship Id="rId50" Type="http://schemas.openxmlformats.org/officeDocument/2006/relationships/hyperlink" Target="mailto:hemant.shakkrapude@ploughmanagro.com" TargetMode="External"/><Relationship Id="rId55" Type="http://schemas.openxmlformats.org/officeDocument/2006/relationships/hyperlink" Target="mailto:hemant.shakkrapude@ploughmanagro.com" TargetMode="External"/><Relationship Id="rId63" Type="http://schemas.openxmlformats.org/officeDocument/2006/relationships/hyperlink" Target="mailto:hemant.shakkrapude@ploughmanagro.com" TargetMode="External"/><Relationship Id="rId68" Type="http://schemas.openxmlformats.org/officeDocument/2006/relationships/hyperlink" Target="mailto:hemant.shakkrapude@ploughmanagro.com" TargetMode="External"/><Relationship Id="rId7" Type="http://schemas.openxmlformats.org/officeDocument/2006/relationships/hyperlink" Target="mailto:hemant.shakkrapude@ploughmanagro.com" TargetMode="External"/><Relationship Id="rId2" Type="http://schemas.openxmlformats.org/officeDocument/2006/relationships/hyperlink" Target="mailto:hemant.shakkrapude@ploughmanagro.com" TargetMode="External"/><Relationship Id="rId16" Type="http://schemas.openxmlformats.org/officeDocument/2006/relationships/hyperlink" Target="mailto:hemant.shakkrapude@ploughmanagro.com" TargetMode="External"/><Relationship Id="rId29" Type="http://schemas.openxmlformats.org/officeDocument/2006/relationships/hyperlink" Target="mailto:hemant.shakkrapude@ploughmanagro.com" TargetMode="External"/><Relationship Id="rId11" Type="http://schemas.openxmlformats.org/officeDocument/2006/relationships/hyperlink" Target="mailto:hemant.shakkrapude@ploughmanagro.com" TargetMode="External"/><Relationship Id="rId24" Type="http://schemas.openxmlformats.org/officeDocument/2006/relationships/hyperlink" Target="mailto:hemant.shakkrapude@ploughmanagro.com" TargetMode="External"/><Relationship Id="rId32" Type="http://schemas.openxmlformats.org/officeDocument/2006/relationships/hyperlink" Target="mailto:hemant.shakkrapude@ploughmanagro.com" TargetMode="External"/><Relationship Id="rId37" Type="http://schemas.openxmlformats.org/officeDocument/2006/relationships/hyperlink" Target="mailto:hemant.shakkrapude@ploughmanagro.com" TargetMode="External"/><Relationship Id="rId40" Type="http://schemas.openxmlformats.org/officeDocument/2006/relationships/hyperlink" Target="mailto:hemant.shakkrapude@ploughmanagro.com" TargetMode="External"/><Relationship Id="rId45" Type="http://schemas.openxmlformats.org/officeDocument/2006/relationships/hyperlink" Target="mailto:hemant.shakkrapude@ploughmanagro.com" TargetMode="External"/><Relationship Id="rId53" Type="http://schemas.openxmlformats.org/officeDocument/2006/relationships/hyperlink" Target="mailto:hemant.shakkrapude@ploughmanagro.com" TargetMode="External"/><Relationship Id="rId58" Type="http://schemas.openxmlformats.org/officeDocument/2006/relationships/hyperlink" Target="mailto:hemant.shakkrapude@ploughmanagro.com" TargetMode="External"/><Relationship Id="rId66" Type="http://schemas.openxmlformats.org/officeDocument/2006/relationships/hyperlink" Target="mailto:hemant.shakkrapude@ploughmanagro.com" TargetMode="External"/><Relationship Id="rId5" Type="http://schemas.openxmlformats.org/officeDocument/2006/relationships/hyperlink" Target="mailto:hemant.shakkrapude@ploughmanagro.com" TargetMode="External"/><Relationship Id="rId61" Type="http://schemas.openxmlformats.org/officeDocument/2006/relationships/hyperlink" Target="mailto:hemant.shakkrapude@ploughmanagro.com" TargetMode="External"/><Relationship Id="rId19" Type="http://schemas.openxmlformats.org/officeDocument/2006/relationships/hyperlink" Target="mailto:hemant.shakkrapude@ploughmanagro.com" TargetMode="External"/><Relationship Id="rId14" Type="http://schemas.openxmlformats.org/officeDocument/2006/relationships/hyperlink" Target="mailto:hemant.shakkrapude@ploughmanagro.com" TargetMode="External"/><Relationship Id="rId22" Type="http://schemas.openxmlformats.org/officeDocument/2006/relationships/hyperlink" Target="mailto:hemant.shakkrapude@ploughmanagro.com" TargetMode="External"/><Relationship Id="rId27" Type="http://schemas.openxmlformats.org/officeDocument/2006/relationships/hyperlink" Target="mailto:hemant.shakkrapude@ploughmanagro.com" TargetMode="External"/><Relationship Id="rId30" Type="http://schemas.openxmlformats.org/officeDocument/2006/relationships/hyperlink" Target="mailto:hemant.shakkrapude@ploughmanagro.com" TargetMode="External"/><Relationship Id="rId35" Type="http://schemas.openxmlformats.org/officeDocument/2006/relationships/hyperlink" Target="mailto:hemant.shakkrapude@ploughmanagro.com" TargetMode="External"/><Relationship Id="rId43" Type="http://schemas.openxmlformats.org/officeDocument/2006/relationships/hyperlink" Target="mailto:hemant.shakkrapude@ploughmanagro.com" TargetMode="External"/><Relationship Id="rId48" Type="http://schemas.openxmlformats.org/officeDocument/2006/relationships/hyperlink" Target="mailto:hemant.shakkrapude@ploughmanagro.com" TargetMode="External"/><Relationship Id="rId56" Type="http://schemas.openxmlformats.org/officeDocument/2006/relationships/hyperlink" Target="mailto:hemant.shakkrapude@ploughmanagro.com" TargetMode="External"/><Relationship Id="rId64" Type="http://schemas.openxmlformats.org/officeDocument/2006/relationships/hyperlink" Target="mailto:hemant.shakkrapude@ploughmanagro.com" TargetMode="External"/><Relationship Id="rId8" Type="http://schemas.openxmlformats.org/officeDocument/2006/relationships/hyperlink" Target="mailto:hemant.shakkrapude@ploughmanagro.com" TargetMode="External"/><Relationship Id="rId51" Type="http://schemas.openxmlformats.org/officeDocument/2006/relationships/hyperlink" Target="mailto:hemant.shakkrapude@ploughmanagro.com" TargetMode="External"/><Relationship Id="rId3" Type="http://schemas.openxmlformats.org/officeDocument/2006/relationships/hyperlink" Target="mailto:hemant.shakkrapude@ploughmanagro.com" TargetMode="External"/><Relationship Id="rId12" Type="http://schemas.openxmlformats.org/officeDocument/2006/relationships/hyperlink" Target="mailto:hemant.shakkrapude@ploughmanagro.com" TargetMode="External"/><Relationship Id="rId17" Type="http://schemas.openxmlformats.org/officeDocument/2006/relationships/hyperlink" Target="mailto:hemant.shakkrapude@ploughmanagro.com" TargetMode="External"/><Relationship Id="rId25" Type="http://schemas.openxmlformats.org/officeDocument/2006/relationships/hyperlink" Target="mailto:hemant.shakkrapude@ploughmanagro.com" TargetMode="External"/><Relationship Id="rId33" Type="http://schemas.openxmlformats.org/officeDocument/2006/relationships/hyperlink" Target="mailto:hemant.shakkrapude@ploughmanagro.com" TargetMode="External"/><Relationship Id="rId38" Type="http://schemas.openxmlformats.org/officeDocument/2006/relationships/hyperlink" Target="mailto:hemant.shakkrapude@ploughmanagro.com" TargetMode="External"/><Relationship Id="rId46" Type="http://schemas.openxmlformats.org/officeDocument/2006/relationships/hyperlink" Target="mailto:hemant.shakkrapude@ploughmanagro.com" TargetMode="External"/><Relationship Id="rId59" Type="http://schemas.openxmlformats.org/officeDocument/2006/relationships/hyperlink" Target="mailto:hemant.shakkrapude@ploughmanagro.com" TargetMode="External"/><Relationship Id="rId67" Type="http://schemas.openxmlformats.org/officeDocument/2006/relationships/hyperlink" Target="mailto:hemant.shakkrapude@ploughmanagro.com" TargetMode="External"/><Relationship Id="rId20" Type="http://schemas.openxmlformats.org/officeDocument/2006/relationships/hyperlink" Target="mailto:hemant.shakkrapude@ploughmanagro.com" TargetMode="External"/><Relationship Id="rId41" Type="http://schemas.openxmlformats.org/officeDocument/2006/relationships/hyperlink" Target="mailto:hemant.shakkrapude@ploughmanagro.com" TargetMode="External"/><Relationship Id="rId54" Type="http://schemas.openxmlformats.org/officeDocument/2006/relationships/hyperlink" Target="mailto:hemant.shakkrapude@ploughmanagro.com" TargetMode="External"/><Relationship Id="rId62" Type="http://schemas.openxmlformats.org/officeDocument/2006/relationships/hyperlink" Target="mailto:hemant.shakkrapude@ploughmanagro.com" TargetMode="External"/><Relationship Id="rId1" Type="http://schemas.openxmlformats.org/officeDocument/2006/relationships/hyperlink" Target="mailto:hemant.shakkrapude@ploughmanagro.com" TargetMode="External"/><Relationship Id="rId6" Type="http://schemas.openxmlformats.org/officeDocument/2006/relationships/hyperlink" Target="mailto:hemant.shakkrapude@ploughmanagro.com" TargetMode="External"/><Relationship Id="rId15" Type="http://schemas.openxmlformats.org/officeDocument/2006/relationships/hyperlink" Target="mailto:hemant.shakkrapude@ploughmanagro.com" TargetMode="External"/><Relationship Id="rId23" Type="http://schemas.openxmlformats.org/officeDocument/2006/relationships/hyperlink" Target="mailto:hemant.shakkrapude@ploughmanagro.com" TargetMode="External"/><Relationship Id="rId28" Type="http://schemas.openxmlformats.org/officeDocument/2006/relationships/hyperlink" Target="mailto:hemant.shakkrapude@ploughmanagro.com" TargetMode="External"/><Relationship Id="rId36" Type="http://schemas.openxmlformats.org/officeDocument/2006/relationships/hyperlink" Target="mailto:hemant.shakkrapude@ploughmanagro.com" TargetMode="External"/><Relationship Id="rId49" Type="http://schemas.openxmlformats.org/officeDocument/2006/relationships/hyperlink" Target="mailto:hemant.shakkrapude@ploughmanagro.com" TargetMode="External"/><Relationship Id="rId57" Type="http://schemas.openxmlformats.org/officeDocument/2006/relationships/hyperlink" Target="mailto:hemant.shakkrapude@ploughmanagro.com" TargetMode="External"/><Relationship Id="rId10" Type="http://schemas.openxmlformats.org/officeDocument/2006/relationships/hyperlink" Target="mailto:hemant.shakkrapude@ploughmanagro.com" TargetMode="External"/><Relationship Id="rId31" Type="http://schemas.openxmlformats.org/officeDocument/2006/relationships/hyperlink" Target="mailto:hemant.shakkrapude@ploughmanagro.com" TargetMode="External"/><Relationship Id="rId44" Type="http://schemas.openxmlformats.org/officeDocument/2006/relationships/hyperlink" Target="mailto:hemant.shakkrapude@ploughmanagro.com" TargetMode="External"/><Relationship Id="rId52" Type="http://schemas.openxmlformats.org/officeDocument/2006/relationships/hyperlink" Target="mailto:hemant.shakkrapude@ploughmanagro.com" TargetMode="External"/><Relationship Id="rId60" Type="http://schemas.openxmlformats.org/officeDocument/2006/relationships/hyperlink" Target="mailto:hemant.shakkrapude@ploughmanagro.com" TargetMode="External"/><Relationship Id="rId65" Type="http://schemas.openxmlformats.org/officeDocument/2006/relationships/hyperlink" Target="mailto:hemant.shakkrapude@ploughmanagro.com" TargetMode="External"/><Relationship Id="rId4" Type="http://schemas.openxmlformats.org/officeDocument/2006/relationships/hyperlink" Target="mailto:hemant.shakkrapude@ploughmanagro.com" TargetMode="External"/><Relationship Id="rId9" Type="http://schemas.openxmlformats.org/officeDocument/2006/relationships/hyperlink" Target="mailto:hemant.shakkrapude@ploughmanagro.com" TargetMode="External"/><Relationship Id="rId13" Type="http://schemas.openxmlformats.org/officeDocument/2006/relationships/hyperlink" Target="mailto:hemant.shakkrapude@ploughmanagro.com" TargetMode="External"/><Relationship Id="rId18" Type="http://schemas.openxmlformats.org/officeDocument/2006/relationships/hyperlink" Target="mailto:hemant.shakkrapude@ploughmanagro.com" TargetMode="External"/><Relationship Id="rId39" Type="http://schemas.openxmlformats.org/officeDocument/2006/relationships/hyperlink" Target="mailto:hemant.shakkrapude@ploughmanagro.com"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noushad.parvez@ploughmanagro.com" TargetMode="External"/><Relationship Id="rId13" Type="http://schemas.openxmlformats.org/officeDocument/2006/relationships/hyperlink" Target="mailto:noushad.parvez@ploughmanagro.com" TargetMode="External"/><Relationship Id="rId3" Type="http://schemas.openxmlformats.org/officeDocument/2006/relationships/hyperlink" Target="mailto:noushad.parvez@ploughmanagro.com" TargetMode="External"/><Relationship Id="rId7" Type="http://schemas.openxmlformats.org/officeDocument/2006/relationships/hyperlink" Target="mailto:noushad.parvez@ploughmanagro.com" TargetMode="External"/><Relationship Id="rId12" Type="http://schemas.openxmlformats.org/officeDocument/2006/relationships/hyperlink" Target="mailto:noushad.parvez@ploughmanagro.com" TargetMode="External"/><Relationship Id="rId17" Type="http://schemas.openxmlformats.org/officeDocument/2006/relationships/hyperlink" Target="mailto:noushad.parvez@ploughmanagro.com" TargetMode="External"/><Relationship Id="rId2" Type="http://schemas.openxmlformats.org/officeDocument/2006/relationships/hyperlink" Target="mailto:noushad.parvez@ploughmanagro.com" TargetMode="External"/><Relationship Id="rId16" Type="http://schemas.openxmlformats.org/officeDocument/2006/relationships/hyperlink" Target="mailto:noushad.parvez@ploughmanagro.com" TargetMode="External"/><Relationship Id="rId1" Type="http://schemas.openxmlformats.org/officeDocument/2006/relationships/hyperlink" Target="mailto:noushad.parvez@ploughmanagro.com" TargetMode="External"/><Relationship Id="rId6" Type="http://schemas.openxmlformats.org/officeDocument/2006/relationships/hyperlink" Target="mailto:noushad.parvez@ploughmanagro.com" TargetMode="External"/><Relationship Id="rId11" Type="http://schemas.openxmlformats.org/officeDocument/2006/relationships/hyperlink" Target="mailto:noushad.parvez@ploughmanagro.com" TargetMode="External"/><Relationship Id="rId5" Type="http://schemas.openxmlformats.org/officeDocument/2006/relationships/hyperlink" Target="mailto:noushad.parvez@ploughmanagro.com" TargetMode="External"/><Relationship Id="rId15" Type="http://schemas.openxmlformats.org/officeDocument/2006/relationships/hyperlink" Target="mailto:noushad.parvez@ploughmanagro.com" TargetMode="External"/><Relationship Id="rId10" Type="http://schemas.openxmlformats.org/officeDocument/2006/relationships/hyperlink" Target="mailto:noushad.parvez@ploughmanagro.com" TargetMode="External"/><Relationship Id="rId4" Type="http://schemas.openxmlformats.org/officeDocument/2006/relationships/hyperlink" Target="mailto:noushad.parvez@ploughmanagro.com" TargetMode="External"/><Relationship Id="rId9" Type="http://schemas.openxmlformats.org/officeDocument/2006/relationships/hyperlink" Target="mailto:noushad.parvez@ploughmanagro.com" TargetMode="External"/><Relationship Id="rId14" Type="http://schemas.openxmlformats.org/officeDocument/2006/relationships/hyperlink" Target="mailto:noushad.parvez@ploughmanagro.com"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mailto:sangam.papl20@gmail.com" TargetMode="External"/><Relationship Id="rId13" Type="http://schemas.openxmlformats.org/officeDocument/2006/relationships/hyperlink" Target="mailto:sangam.papl20@gmail.com" TargetMode="External"/><Relationship Id="rId18" Type="http://schemas.openxmlformats.org/officeDocument/2006/relationships/hyperlink" Target="mailto:sangam.papl20@gmail.com" TargetMode="External"/><Relationship Id="rId26" Type="http://schemas.openxmlformats.org/officeDocument/2006/relationships/hyperlink" Target="mailto:sangam.papl20@gmail.com" TargetMode="External"/><Relationship Id="rId3" Type="http://schemas.openxmlformats.org/officeDocument/2006/relationships/hyperlink" Target="mailto:sangam.papl20@gmail.com" TargetMode="External"/><Relationship Id="rId21" Type="http://schemas.openxmlformats.org/officeDocument/2006/relationships/hyperlink" Target="mailto:sangam.papl20@gmail.com" TargetMode="External"/><Relationship Id="rId7" Type="http://schemas.openxmlformats.org/officeDocument/2006/relationships/hyperlink" Target="mailto:sangam.papl20@gmail.com" TargetMode="External"/><Relationship Id="rId12" Type="http://schemas.openxmlformats.org/officeDocument/2006/relationships/hyperlink" Target="mailto:sangam.papl20@gmail.com" TargetMode="External"/><Relationship Id="rId17" Type="http://schemas.openxmlformats.org/officeDocument/2006/relationships/hyperlink" Target="mailto:sangam.papl20@gmail.com" TargetMode="External"/><Relationship Id="rId25" Type="http://schemas.openxmlformats.org/officeDocument/2006/relationships/hyperlink" Target="mailto:sangam.papl20@gmail.com" TargetMode="External"/><Relationship Id="rId2" Type="http://schemas.openxmlformats.org/officeDocument/2006/relationships/hyperlink" Target="mailto:sangam.papl20@gmail.com" TargetMode="External"/><Relationship Id="rId16" Type="http://schemas.openxmlformats.org/officeDocument/2006/relationships/hyperlink" Target="mailto:sangam.papl20@gmail.com" TargetMode="External"/><Relationship Id="rId20" Type="http://schemas.openxmlformats.org/officeDocument/2006/relationships/hyperlink" Target="mailto:sangam.papl20@gmail.com" TargetMode="External"/><Relationship Id="rId1" Type="http://schemas.openxmlformats.org/officeDocument/2006/relationships/hyperlink" Target="mailto:sangam.papl20@gmail.com" TargetMode="External"/><Relationship Id="rId6" Type="http://schemas.openxmlformats.org/officeDocument/2006/relationships/hyperlink" Target="mailto:sangam.papl20@gmail.com" TargetMode="External"/><Relationship Id="rId11" Type="http://schemas.openxmlformats.org/officeDocument/2006/relationships/hyperlink" Target="mailto:sangam.papl20@gmail.com" TargetMode="External"/><Relationship Id="rId24" Type="http://schemas.openxmlformats.org/officeDocument/2006/relationships/hyperlink" Target="mailto:sangam.papl20@gmail.com" TargetMode="External"/><Relationship Id="rId5" Type="http://schemas.openxmlformats.org/officeDocument/2006/relationships/hyperlink" Target="mailto:sangam.papl20@gmail.com" TargetMode="External"/><Relationship Id="rId15" Type="http://schemas.openxmlformats.org/officeDocument/2006/relationships/hyperlink" Target="mailto:sangam.papl20@gmail.com" TargetMode="External"/><Relationship Id="rId23" Type="http://schemas.openxmlformats.org/officeDocument/2006/relationships/hyperlink" Target="mailto:sangam.papl20@gmail.com" TargetMode="External"/><Relationship Id="rId10" Type="http://schemas.openxmlformats.org/officeDocument/2006/relationships/hyperlink" Target="mailto:sangam.papl20@gmail.com" TargetMode="External"/><Relationship Id="rId19" Type="http://schemas.openxmlformats.org/officeDocument/2006/relationships/hyperlink" Target="mailto:sangam.papl20@gmail.com" TargetMode="External"/><Relationship Id="rId4" Type="http://schemas.openxmlformats.org/officeDocument/2006/relationships/hyperlink" Target="mailto:sangam.papl20@gmail.com" TargetMode="External"/><Relationship Id="rId9" Type="http://schemas.openxmlformats.org/officeDocument/2006/relationships/hyperlink" Target="mailto:sangam.papl20@gmail.com" TargetMode="External"/><Relationship Id="rId14" Type="http://schemas.openxmlformats.org/officeDocument/2006/relationships/hyperlink" Target="mailto:sangam.papl20@gmail.com" TargetMode="External"/><Relationship Id="rId22" Type="http://schemas.openxmlformats.org/officeDocument/2006/relationships/hyperlink" Target="mailto:sangam.papl20@gmail.com" TargetMode="External"/><Relationship Id="rId27" Type="http://schemas.openxmlformats.org/officeDocument/2006/relationships/hyperlink" Target="mailto:sangam.papl20@gmail.com"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mailto:rajkumar.pradhan@ploughmanagro.com" TargetMode="External"/><Relationship Id="rId13" Type="http://schemas.openxmlformats.org/officeDocument/2006/relationships/vmlDrawing" Target="../drawings/vmlDrawing1.vml"/><Relationship Id="rId3" Type="http://schemas.openxmlformats.org/officeDocument/2006/relationships/hyperlink" Target="mailto:rajkumar.pradhan@ploughmanagro.com" TargetMode="External"/><Relationship Id="rId7" Type="http://schemas.openxmlformats.org/officeDocument/2006/relationships/hyperlink" Target="mailto:rajkumar.pradhan@ploughmanagro.com" TargetMode="External"/><Relationship Id="rId12" Type="http://schemas.openxmlformats.org/officeDocument/2006/relationships/hyperlink" Target="mailto:rajkumar.pradhan@ploughmanagro.com" TargetMode="External"/><Relationship Id="rId2" Type="http://schemas.openxmlformats.org/officeDocument/2006/relationships/hyperlink" Target="mailto:rajkumar.pradhan@ploughmanagro.com" TargetMode="External"/><Relationship Id="rId1" Type="http://schemas.openxmlformats.org/officeDocument/2006/relationships/hyperlink" Target="mailto:rajkumar.pradhan@ploughmanagro.com" TargetMode="External"/><Relationship Id="rId6" Type="http://schemas.openxmlformats.org/officeDocument/2006/relationships/hyperlink" Target="mailto:rajkumar.pradhan@ploughmanagro.com" TargetMode="External"/><Relationship Id="rId11" Type="http://schemas.openxmlformats.org/officeDocument/2006/relationships/hyperlink" Target="mailto:rajkumar.pradhan@ploughmanagro.com" TargetMode="External"/><Relationship Id="rId5" Type="http://schemas.openxmlformats.org/officeDocument/2006/relationships/hyperlink" Target="mailto:rajkumar.pradhan@ploughmanagro.com" TargetMode="External"/><Relationship Id="rId15" Type="http://schemas.microsoft.com/office/2017/10/relationships/threadedComment" Target="../threadedComments/threadedComment1.xml"/><Relationship Id="rId10" Type="http://schemas.openxmlformats.org/officeDocument/2006/relationships/hyperlink" Target="mailto:rajkumar.pradhan@ploughmanagro.com" TargetMode="External"/><Relationship Id="rId4" Type="http://schemas.openxmlformats.org/officeDocument/2006/relationships/hyperlink" Target="mailto:rajkumar.pradhan@ploughmanagro.com" TargetMode="External"/><Relationship Id="rId9" Type="http://schemas.openxmlformats.org/officeDocument/2006/relationships/hyperlink" Target="mailto:rajkumar.pradhan@ploughmanagro.com" TargetMode="External"/><Relationship Id="rId14"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8" Type="http://schemas.openxmlformats.org/officeDocument/2006/relationships/hyperlink" Target="mailto:ugresan.papl20@gmail.com" TargetMode="External"/><Relationship Id="rId13" Type="http://schemas.openxmlformats.org/officeDocument/2006/relationships/hyperlink" Target="mailto:ugresan.papl20@gmail.com" TargetMode="External"/><Relationship Id="rId18" Type="http://schemas.openxmlformats.org/officeDocument/2006/relationships/hyperlink" Target="mailto:ugresan.papl20@gmail.com" TargetMode="External"/><Relationship Id="rId26" Type="http://schemas.openxmlformats.org/officeDocument/2006/relationships/hyperlink" Target="mailto:ugresan.papl20@gmail.com" TargetMode="External"/><Relationship Id="rId3" Type="http://schemas.openxmlformats.org/officeDocument/2006/relationships/hyperlink" Target="mailto:ugresan.papl20@gmail.com" TargetMode="External"/><Relationship Id="rId21" Type="http://schemas.openxmlformats.org/officeDocument/2006/relationships/hyperlink" Target="mailto:ugresan.papl20@gmail.com" TargetMode="External"/><Relationship Id="rId7" Type="http://schemas.openxmlformats.org/officeDocument/2006/relationships/hyperlink" Target="mailto:ugresan.papl20@gmail.com" TargetMode="External"/><Relationship Id="rId12" Type="http://schemas.openxmlformats.org/officeDocument/2006/relationships/hyperlink" Target="mailto:ugresan.papl20@gmail.com" TargetMode="External"/><Relationship Id="rId17" Type="http://schemas.openxmlformats.org/officeDocument/2006/relationships/hyperlink" Target="mailto:ugresan.papl20@gmail.com" TargetMode="External"/><Relationship Id="rId25" Type="http://schemas.openxmlformats.org/officeDocument/2006/relationships/hyperlink" Target="mailto:ugresan.papl20@gmail.com" TargetMode="External"/><Relationship Id="rId2" Type="http://schemas.openxmlformats.org/officeDocument/2006/relationships/hyperlink" Target="mailto:ugresan.papl20@gmail.com" TargetMode="External"/><Relationship Id="rId16" Type="http://schemas.openxmlformats.org/officeDocument/2006/relationships/hyperlink" Target="mailto:ugresan.papl20@gmail.com" TargetMode="External"/><Relationship Id="rId20" Type="http://schemas.openxmlformats.org/officeDocument/2006/relationships/hyperlink" Target="mailto:ugresan.papl20@gmail.com" TargetMode="External"/><Relationship Id="rId29" Type="http://schemas.openxmlformats.org/officeDocument/2006/relationships/hyperlink" Target="mailto:ugresan.papl20@gmail.com" TargetMode="External"/><Relationship Id="rId1" Type="http://schemas.openxmlformats.org/officeDocument/2006/relationships/hyperlink" Target="mailto:ugresan.papl20@gmail.com" TargetMode="External"/><Relationship Id="rId6" Type="http://schemas.openxmlformats.org/officeDocument/2006/relationships/hyperlink" Target="mailto:ugresan.papl20@gmail.com" TargetMode="External"/><Relationship Id="rId11" Type="http://schemas.openxmlformats.org/officeDocument/2006/relationships/hyperlink" Target="mailto:ugresan.papl20@gmail.com" TargetMode="External"/><Relationship Id="rId24" Type="http://schemas.openxmlformats.org/officeDocument/2006/relationships/hyperlink" Target="mailto:ugresan.papl20@gmail.com" TargetMode="External"/><Relationship Id="rId5" Type="http://schemas.openxmlformats.org/officeDocument/2006/relationships/hyperlink" Target="mailto:ugresan.papl20@gmail.com" TargetMode="External"/><Relationship Id="rId15" Type="http://schemas.openxmlformats.org/officeDocument/2006/relationships/hyperlink" Target="mailto:ugresan.papl20@gmail.com" TargetMode="External"/><Relationship Id="rId23" Type="http://schemas.openxmlformats.org/officeDocument/2006/relationships/hyperlink" Target="mailto:ugresan.papl20@gmail.com" TargetMode="External"/><Relationship Id="rId28" Type="http://schemas.openxmlformats.org/officeDocument/2006/relationships/hyperlink" Target="mailto:ugresan.papl20@gmail.com" TargetMode="External"/><Relationship Id="rId10" Type="http://schemas.openxmlformats.org/officeDocument/2006/relationships/hyperlink" Target="mailto:ugresan.papl20@gmail.com" TargetMode="External"/><Relationship Id="rId19" Type="http://schemas.openxmlformats.org/officeDocument/2006/relationships/hyperlink" Target="mailto:ugresan.papl20@gmail.com" TargetMode="External"/><Relationship Id="rId4" Type="http://schemas.openxmlformats.org/officeDocument/2006/relationships/hyperlink" Target="mailto:ugresan.papl20@gmail.com" TargetMode="External"/><Relationship Id="rId9" Type="http://schemas.openxmlformats.org/officeDocument/2006/relationships/hyperlink" Target="mailto:ugresan.papl20@gmail.com" TargetMode="External"/><Relationship Id="rId14" Type="http://schemas.openxmlformats.org/officeDocument/2006/relationships/hyperlink" Target="mailto:ugresan.papl20@gmail.com" TargetMode="External"/><Relationship Id="rId22" Type="http://schemas.openxmlformats.org/officeDocument/2006/relationships/hyperlink" Target="mailto:ugresan.papl20@gmail.com" TargetMode="External"/><Relationship Id="rId27" Type="http://schemas.openxmlformats.org/officeDocument/2006/relationships/hyperlink" Target="mailto:ugresan.papl20@gmail.com" TargetMode="External"/><Relationship Id="rId30" Type="http://schemas.openxmlformats.org/officeDocument/2006/relationships/hyperlink" Target="mailto:ugresan.papl20@gmail.com"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mailto:jogendram.papl20@gmail.com" TargetMode="External"/><Relationship Id="rId13" Type="http://schemas.openxmlformats.org/officeDocument/2006/relationships/hyperlink" Target="mailto:jogendram.papl20@gmail.com" TargetMode="External"/><Relationship Id="rId18" Type="http://schemas.openxmlformats.org/officeDocument/2006/relationships/hyperlink" Target="mailto:jogendram.papl20@gmail.com" TargetMode="External"/><Relationship Id="rId26" Type="http://schemas.openxmlformats.org/officeDocument/2006/relationships/hyperlink" Target="mailto:jogendram.papl20@gmail.com" TargetMode="External"/><Relationship Id="rId3" Type="http://schemas.openxmlformats.org/officeDocument/2006/relationships/hyperlink" Target="mailto:jogendram.papl20@gmail.com" TargetMode="External"/><Relationship Id="rId21" Type="http://schemas.openxmlformats.org/officeDocument/2006/relationships/hyperlink" Target="mailto:jogendram.papl20@gmail.com" TargetMode="External"/><Relationship Id="rId7" Type="http://schemas.openxmlformats.org/officeDocument/2006/relationships/hyperlink" Target="mailto:jogendram.papl20@gmail.com" TargetMode="External"/><Relationship Id="rId12" Type="http://schemas.openxmlformats.org/officeDocument/2006/relationships/hyperlink" Target="mailto:jogendram.papl20@gmail.com" TargetMode="External"/><Relationship Id="rId17" Type="http://schemas.openxmlformats.org/officeDocument/2006/relationships/hyperlink" Target="mailto:jogendram.papl20@gmail.com" TargetMode="External"/><Relationship Id="rId25" Type="http://schemas.openxmlformats.org/officeDocument/2006/relationships/hyperlink" Target="mailto:jogendram.papl20@gmail.com" TargetMode="External"/><Relationship Id="rId2" Type="http://schemas.openxmlformats.org/officeDocument/2006/relationships/hyperlink" Target="mailto:jogendram.papl20@gmail.com" TargetMode="External"/><Relationship Id="rId16" Type="http://schemas.openxmlformats.org/officeDocument/2006/relationships/hyperlink" Target="mailto:jogendram.papl20@gmail.com" TargetMode="External"/><Relationship Id="rId20" Type="http://schemas.openxmlformats.org/officeDocument/2006/relationships/hyperlink" Target="mailto:jogendram.papl20@gmail.com" TargetMode="External"/><Relationship Id="rId29" Type="http://schemas.openxmlformats.org/officeDocument/2006/relationships/hyperlink" Target="mailto:jogendram.papl20@gmail.com" TargetMode="External"/><Relationship Id="rId1" Type="http://schemas.openxmlformats.org/officeDocument/2006/relationships/hyperlink" Target="mailto:jogendram.papl20@gmail.com" TargetMode="External"/><Relationship Id="rId6" Type="http://schemas.openxmlformats.org/officeDocument/2006/relationships/hyperlink" Target="mailto:jogendram.papl20@gmail.com" TargetMode="External"/><Relationship Id="rId11" Type="http://schemas.openxmlformats.org/officeDocument/2006/relationships/hyperlink" Target="mailto:jogendram.papl20@gmail.com" TargetMode="External"/><Relationship Id="rId24" Type="http://schemas.openxmlformats.org/officeDocument/2006/relationships/hyperlink" Target="mailto:jogendram.papl20@gmail.com" TargetMode="External"/><Relationship Id="rId5" Type="http://schemas.openxmlformats.org/officeDocument/2006/relationships/hyperlink" Target="mailto:jogendram.papl20@gmail.com" TargetMode="External"/><Relationship Id="rId15" Type="http://schemas.openxmlformats.org/officeDocument/2006/relationships/hyperlink" Target="mailto:jogendram.papl20@gmail.com" TargetMode="External"/><Relationship Id="rId23" Type="http://schemas.openxmlformats.org/officeDocument/2006/relationships/hyperlink" Target="mailto:jogendram.papl20@gmail.com" TargetMode="External"/><Relationship Id="rId28" Type="http://schemas.openxmlformats.org/officeDocument/2006/relationships/hyperlink" Target="mailto:jogendram.papl20@gmail.com" TargetMode="External"/><Relationship Id="rId10" Type="http://schemas.openxmlformats.org/officeDocument/2006/relationships/hyperlink" Target="mailto:jogendram.papl20@gmail.com" TargetMode="External"/><Relationship Id="rId19" Type="http://schemas.openxmlformats.org/officeDocument/2006/relationships/hyperlink" Target="mailto:jogendram.papl20@gmail.com" TargetMode="External"/><Relationship Id="rId4" Type="http://schemas.openxmlformats.org/officeDocument/2006/relationships/hyperlink" Target="mailto:jogendram.papl20@gmail.com" TargetMode="External"/><Relationship Id="rId9" Type="http://schemas.openxmlformats.org/officeDocument/2006/relationships/hyperlink" Target="mailto:jogendram.papl20@gmail.com" TargetMode="External"/><Relationship Id="rId14" Type="http://schemas.openxmlformats.org/officeDocument/2006/relationships/hyperlink" Target="mailto:jogendram.papl20@gmail.com" TargetMode="External"/><Relationship Id="rId22" Type="http://schemas.openxmlformats.org/officeDocument/2006/relationships/hyperlink" Target="mailto:jogendram.papl20@gmail.com" TargetMode="External"/><Relationship Id="rId27" Type="http://schemas.openxmlformats.org/officeDocument/2006/relationships/hyperlink" Target="mailto:jogendram.papl20@gmail.com" TargetMode="External"/><Relationship Id="rId30" Type="http://schemas.openxmlformats.org/officeDocument/2006/relationships/hyperlink" Target="mailto:jogendram.papl20@gmail.com"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mailto:jogendraputel.papl20@gmail.com" TargetMode="External"/><Relationship Id="rId13" Type="http://schemas.openxmlformats.org/officeDocument/2006/relationships/hyperlink" Target="mailto:jogendraputel.papl20@gmail.com" TargetMode="External"/><Relationship Id="rId18" Type="http://schemas.openxmlformats.org/officeDocument/2006/relationships/hyperlink" Target="mailto:jogendraputel.papl20@gmail.com" TargetMode="External"/><Relationship Id="rId26" Type="http://schemas.openxmlformats.org/officeDocument/2006/relationships/hyperlink" Target="mailto:jogendraputel.papl20@gmail.com" TargetMode="External"/><Relationship Id="rId3" Type="http://schemas.openxmlformats.org/officeDocument/2006/relationships/hyperlink" Target="mailto:jogendraputel.papl20@gmail.com" TargetMode="External"/><Relationship Id="rId21" Type="http://schemas.openxmlformats.org/officeDocument/2006/relationships/hyperlink" Target="mailto:jogendraputel.papl20@gmail.com" TargetMode="External"/><Relationship Id="rId7" Type="http://schemas.openxmlformats.org/officeDocument/2006/relationships/hyperlink" Target="mailto:jogendraputel.papl20@gmail.com" TargetMode="External"/><Relationship Id="rId12" Type="http://schemas.openxmlformats.org/officeDocument/2006/relationships/hyperlink" Target="mailto:jogendraputel.papl20@gmail.com" TargetMode="External"/><Relationship Id="rId17" Type="http://schemas.openxmlformats.org/officeDocument/2006/relationships/hyperlink" Target="mailto:jogendraputel.papl20@gmail.com" TargetMode="External"/><Relationship Id="rId25" Type="http://schemas.openxmlformats.org/officeDocument/2006/relationships/hyperlink" Target="mailto:jogendraputel.papl20@gmail.com" TargetMode="External"/><Relationship Id="rId2" Type="http://schemas.openxmlformats.org/officeDocument/2006/relationships/hyperlink" Target="mailto:jogendraputel.papl20@gmail.com" TargetMode="External"/><Relationship Id="rId16" Type="http://schemas.openxmlformats.org/officeDocument/2006/relationships/hyperlink" Target="mailto:jogendraputel.papl20@gmail.com" TargetMode="External"/><Relationship Id="rId20" Type="http://schemas.openxmlformats.org/officeDocument/2006/relationships/hyperlink" Target="mailto:jogendraputel.papl20@gmail.com" TargetMode="External"/><Relationship Id="rId29" Type="http://schemas.openxmlformats.org/officeDocument/2006/relationships/hyperlink" Target="mailto:jogendraputel.papl20@gmail.com" TargetMode="External"/><Relationship Id="rId1" Type="http://schemas.openxmlformats.org/officeDocument/2006/relationships/hyperlink" Target="mailto:jogendraputel.papl20@gmail.com" TargetMode="External"/><Relationship Id="rId6" Type="http://schemas.openxmlformats.org/officeDocument/2006/relationships/hyperlink" Target="mailto:jogendraputel.papl20@gmail.com" TargetMode="External"/><Relationship Id="rId11" Type="http://schemas.openxmlformats.org/officeDocument/2006/relationships/hyperlink" Target="mailto:jogendraputel.papl20@gmail.com" TargetMode="External"/><Relationship Id="rId24" Type="http://schemas.openxmlformats.org/officeDocument/2006/relationships/hyperlink" Target="mailto:jogendraputel.papl20@gmail.com" TargetMode="External"/><Relationship Id="rId5" Type="http://schemas.openxmlformats.org/officeDocument/2006/relationships/hyperlink" Target="mailto:jogendraputel.papl20@gmail.com" TargetMode="External"/><Relationship Id="rId15" Type="http://schemas.openxmlformats.org/officeDocument/2006/relationships/hyperlink" Target="mailto:jogendraputel.papl20@gmail.com" TargetMode="External"/><Relationship Id="rId23" Type="http://schemas.openxmlformats.org/officeDocument/2006/relationships/hyperlink" Target="mailto:jogendraputel.papl20@gmail.com" TargetMode="External"/><Relationship Id="rId28" Type="http://schemas.openxmlformats.org/officeDocument/2006/relationships/hyperlink" Target="mailto:jogendraputel.papl20@gmail.com" TargetMode="External"/><Relationship Id="rId10" Type="http://schemas.openxmlformats.org/officeDocument/2006/relationships/hyperlink" Target="mailto:jogendraputel.papl20@gmail.com" TargetMode="External"/><Relationship Id="rId19" Type="http://schemas.openxmlformats.org/officeDocument/2006/relationships/hyperlink" Target="mailto:jogendraputel.papl20@gmail.com" TargetMode="External"/><Relationship Id="rId4" Type="http://schemas.openxmlformats.org/officeDocument/2006/relationships/hyperlink" Target="mailto:jogendraputel.papl20@gmail.com" TargetMode="External"/><Relationship Id="rId9" Type="http://schemas.openxmlformats.org/officeDocument/2006/relationships/hyperlink" Target="mailto:jogendraputel.papl20@gmail.com" TargetMode="External"/><Relationship Id="rId14" Type="http://schemas.openxmlformats.org/officeDocument/2006/relationships/hyperlink" Target="mailto:jogendraputel.papl20@gmail.com" TargetMode="External"/><Relationship Id="rId22" Type="http://schemas.openxmlformats.org/officeDocument/2006/relationships/hyperlink" Target="mailto:jogendraputel.papl20@gmail.com" TargetMode="External"/><Relationship Id="rId27" Type="http://schemas.openxmlformats.org/officeDocument/2006/relationships/hyperlink" Target="mailto:jogendraputel.papl20@gmail.com" TargetMode="External"/><Relationship Id="rId30" Type="http://schemas.openxmlformats.org/officeDocument/2006/relationships/hyperlink" Target="mailto:jogendraputel.papl20@gmail.com"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mailto:lilabati.papl20@gmail.com" TargetMode="External"/><Relationship Id="rId13" Type="http://schemas.openxmlformats.org/officeDocument/2006/relationships/hyperlink" Target="mailto:lilabati.papl20@gmail.com" TargetMode="External"/><Relationship Id="rId18" Type="http://schemas.openxmlformats.org/officeDocument/2006/relationships/hyperlink" Target="mailto:lilabati.papl20@gmail.com" TargetMode="External"/><Relationship Id="rId26" Type="http://schemas.openxmlformats.org/officeDocument/2006/relationships/hyperlink" Target="mailto:lilabati.papl20@gmail.com" TargetMode="External"/><Relationship Id="rId3" Type="http://schemas.openxmlformats.org/officeDocument/2006/relationships/hyperlink" Target="mailto:lilabati.papl20@gmail.com" TargetMode="External"/><Relationship Id="rId21" Type="http://schemas.openxmlformats.org/officeDocument/2006/relationships/hyperlink" Target="mailto:lilabati.papl20@gmail.com" TargetMode="External"/><Relationship Id="rId7" Type="http://schemas.openxmlformats.org/officeDocument/2006/relationships/hyperlink" Target="mailto:lilabati.papl20@gmail.com" TargetMode="External"/><Relationship Id="rId12" Type="http://schemas.openxmlformats.org/officeDocument/2006/relationships/hyperlink" Target="mailto:lilabati.papl20@gmail.com" TargetMode="External"/><Relationship Id="rId17" Type="http://schemas.openxmlformats.org/officeDocument/2006/relationships/hyperlink" Target="mailto:lilabati.papl20@gmail.com" TargetMode="External"/><Relationship Id="rId25" Type="http://schemas.openxmlformats.org/officeDocument/2006/relationships/hyperlink" Target="mailto:lilabati.papl20@gmail.com" TargetMode="External"/><Relationship Id="rId2" Type="http://schemas.openxmlformats.org/officeDocument/2006/relationships/hyperlink" Target="mailto:lilabati.papl20@gmail.com" TargetMode="External"/><Relationship Id="rId16" Type="http://schemas.openxmlformats.org/officeDocument/2006/relationships/hyperlink" Target="mailto:lilabati.papl20@gmail.com" TargetMode="External"/><Relationship Id="rId20" Type="http://schemas.openxmlformats.org/officeDocument/2006/relationships/hyperlink" Target="mailto:lilabati.papl20@gmail.com" TargetMode="External"/><Relationship Id="rId29" Type="http://schemas.openxmlformats.org/officeDocument/2006/relationships/hyperlink" Target="mailto:lilabati.papl20@gmail.com" TargetMode="External"/><Relationship Id="rId1" Type="http://schemas.openxmlformats.org/officeDocument/2006/relationships/hyperlink" Target="mailto:lilabati.papl20@gmail.com" TargetMode="External"/><Relationship Id="rId6" Type="http://schemas.openxmlformats.org/officeDocument/2006/relationships/hyperlink" Target="mailto:lilabati.papl20@gmail.com" TargetMode="External"/><Relationship Id="rId11" Type="http://schemas.openxmlformats.org/officeDocument/2006/relationships/hyperlink" Target="mailto:lilabati.papl20@gmail.com" TargetMode="External"/><Relationship Id="rId24" Type="http://schemas.openxmlformats.org/officeDocument/2006/relationships/hyperlink" Target="mailto:lilabati.papl20@gmail.com" TargetMode="External"/><Relationship Id="rId5" Type="http://schemas.openxmlformats.org/officeDocument/2006/relationships/hyperlink" Target="mailto:lilabati.papl20@gmail.com" TargetMode="External"/><Relationship Id="rId15" Type="http://schemas.openxmlformats.org/officeDocument/2006/relationships/hyperlink" Target="mailto:lilabati.papl20@gmail.com" TargetMode="External"/><Relationship Id="rId23" Type="http://schemas.openxmlformats.org/officeDocument/2006/relationships/hyperlink" Target="mailto:lilabati.papl20@gmail.com" TargetMode="External"/><Relationship Id="rId28" Type="http://schemas.openxmlformats.org/officeDocument/2006/relationships/hyperlink" Target="mailto:lilabati.papl20@gmail.com" TargetMode="External"/><Relationship Id="rId10" Type="http://schemas.openxmlformats.org/officeDocument/2006/relationships/hyperlink" Target="mailto:lilabati.papl20@gmail.com" TargetMode="External"/><Relationship Id="rId19" Type="http://schemas.openxmlformats.org/officeDocument/2006/relationships/hyperlink" Target="mailto:lilabati.papl20@gmail.com" TargetMode="External"/><Relationship Id="rId4" Type="http://schemas.openxmlformats.org/officeDocument/2006/relationships/hyperlink" Target="mailto:lilabati.papl20@gmail.com" TargetMode="External"/><Relationship Id="rId9" Type="http://schemas.openxmlformats.org/officeDocument/2006/relationships/hyperlink" Target="mailto:lilabati.papl20@gmail.com" TargetMode="External"/><Relationship Id="rId14" Type="http://schemas.openxmlformats.org/officeDocument/2006/relationships/hyperlink" Target="mailto:lilabati.papl20@gmail.com" TargetMode="External"/><Relationship Id="rId22" Type="http://schemas.openxmlformats.org/officeDocument/2006/relationships/hyperlink" Target="mailto:lilabati.papl20@gmail.com" TargetMode="External"/><Relationship Id="rId27" Type="http://schemas.openxmlformats.org/officeDocument/2006/relationships/hyperlink" Target="mailto:lilabati.papl20@gmail.com" TargetMode="External"/><Relationship Id="rId30" Type="http://schemas.openxmlformats.org/officeDocument/2006/relationships/hyperlink" Target="mailto:lilabati.papl20@gmail.com"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mailto:gaurav.mittal@ploughmanagro.com" TargetMode="External"/><Relationship Id="rId13" Type="http://schemas.openxmlformats.org/officeDocument/2006/relationships/hyperlink" Target="mailto:gaurav.mittal@ploughmanagro.com" TargetMode="External"/><Relationship Id="rId18" Type="http://schemas.openxmlformats.org/officeDocument/2006/relationships/hyperlink" Target="mailto:gaurav.mittal@ploughmanagro.com" TargetMode="External"/><Relationship Id="rId26" Type="http://schemas.openxmlformats.org/officeDocument/2006/relationships/hyperlink" Target="mailto:gaurav.mittal@ploughmanagro.com" TargetMode="External"/><Relationship Id="rId3" Type="http://schemas.openxmlformats.org/officeDocument/2006/relationships/hyperlink" Target="mailto:gaurav.mittal@ploughmanagro.com" TargetMode="External"/><Relationship Id="rId21" Type="http://schemas.openxmlformats.org/officeDocument/2006/relationships/hyperlink" Target="mailto:gaurav.mittal@ploughmanagro.com" TargetMode="External"/><Relationship Id="rId7" Type="http://schemas.openxmlformats.org/officeDocument/2006/relationships/hyperlink" Target="mailto:gaurav.mittal@ploughmanagro.com" TargetMode="External"/><Relationship Id="rId12" Type="http://schemas.openxmlformats.org/officeDocument/2006/relationships/hyperlink" Target="mailto:gaurav.mittal@ploughmanagro.com" TargetMode="External"/><Relationship Id="rId17" Type="http://schemas.openxmlformats.org/officeDocument/2006/relationships/hyperlink" Target="mailto:gaurav.mittal@ploughmanagro.com" TargetMode="External"/><Relationship Id="rId25" Type="http://schemas.openxmlformats.org/officeDocument/2006/relationships/hyperlink" Target="mailto:gaurav.mittal@ploughmanagro.com" TargetMode="External"/><Relationship Id="rId2" Type="http://schemas.openxmlformats.org/officeDocument/2006/relationships/hyperlink" Target="mailto:gaurav.mittal@ploughmanagro.com" TargetMode="External"/><Relationship Id="rId16" Type="http://schemas.openxmlformats.org/officeDocument/2006/relationships/hyperlink" Target="mailto:gaurav.mittal@ploughmanagro.com" TargetMode="External"/><Relationship Id="rId20" Type="http://schemas.openxmlformats.org/officeDocument/2006/relationships/hyperlink" Target="mailto:gaurav.mittal@ploughmanagro.com" TargetMode="External"/><Relationship Id="rId29" Type="http://schemas.openxmlformats.org/officeDocument/2006/relationships/hyperlink" Target="mailto:gaurav.mittal@ploughmanagro.com" TargetMode="External"/><Relationship Id="rId1" Type="http://schemas.openxmlformats.org/officeDocument/2006/relationships/hyperlink" Target="mailto:gaurav.mittal@ploughmanagro.com" TargetMode="External"/><Relationship Id="rId6" Type="http://schemas.openxmlformats.org/officeDocument/2006/relationships/hyperlink" Target="mailto:gaurav.mittal@ploughmanagro.com" TargetMode="External"/><Relationship Id="rId11" Type="http://schemas.openxmlformats.org/officeDocument/2006/relationships/hyperlink" Target="mailto:gaurav.mittal@ploughmanagro.com" TargetMode="External"/><Relationship Id="rId24" Type="http://schemas.openxmlformats.org/officeDocument/2006/relationships/hyperlink" Target="mailto:gaurav.mittal@ploughmanagro.com" TargetMode="External"/><Relationship Id="rId5" Type="http://schemas.openxmlformats.org/officeDocument/2006/relationships/hyperlink" Target="mailto:gaurav.mittal@ploughmanagro.com" TargetMode="External"/><Relationship Id="rId15" Type="http://schemas.openxmlformats.org/officeDocument/2006/relationships/hyperlink" Target="mailto:gaurav.mittal@ploughmanagro.com" TargetMode="External"/><Relationship Id="rId23" Type="http://schemas.openxmlformats.org/officeDocument/2006/relationships/hyperlink" Target="mailto:gaurav.mittal@ploughmanagro.com" TargetMode="External"/><Relationship Id="rId28" Type="http://schemas.openxmlformats.org/officeDocument/2006/relationships/hyperlink" Target="mailto:gaurav.mittal@ploughmanagro.com" TargetMode="External"/><Relationship Id="rId10" Type="http://schemas.openxmlformats.org/officeDocument/2006/relationships/hyperlink" Target="mailto:gaurav.mittal@ploughmanagro.com" TargetMode="External"/><Relationship Id="rId19" Type="http://schemas.openxmlformats.org/officeDocument/2006/relationships/hyperlink" Target="mailto:gaurav.mittal@ploughmanagro.com" TargetMode="External"/><Relationship Id="rId4" Type="http://schemas.openxmlformats.org/officeDocument/2006/relationships/hyperlink" Target="mailto:gaurav.mittal@ploughmanagro.com" TargetMode="External"/><Relationship Id="rId9" Type="http://schemas.openxmlformats.org/officeDocument/2006/relationships/hyperlink" Target="mailto:gaurav.mittal@ploughmanagro.com" TargetMode="External"/><Relationship Id="rId14" Type="http://schemas.openxmlformats.org/officeDocument/2006/relationships/hyperlink" Target="mailto:gaurav.mittal@ploughmanagro.com" TargetMode="External"/><Relationship Id="rId22" Type="http://schemas.openxmlformats.org/officeDocument/2006/relationships/hyperlink" Target="mailto:gaurav.mittal@ploughmanagro.com" TargetMode="External"/><Relationship Id="rId27" Type="http://schemas.openxmlformats.org/officeDocument/2006/relationships/hyperlink" Target="mailto:gaurav.mittal@ploughmanagro.com" TargetMode="External"/><Relationship Id="rId30" Type="http://schemas.openxmlformats.org/officeDocument/2006/relationships/hyperlink" Target="mailto:gaurav.mittal@ploughmanagro.com"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mailto:nidhi.saini@ploughmanagro.com" TargetMode="External"/><Relationship Id="rId13" Type="http://schemas.openxmlformats.org/officeDocument/2006/relationships/hyperlink" Target="mailto:nidhi.saini@ploughmanagro.com" TargetMode="External"/><Relationship Id="rId18" Type="http://schemas.openxmlformats.org/officeDocument/2006/relationships/hyperlink" Target="mailto:nidhi.saini@ploughmanagro.com" TargetMode="External"/><Relationship Id="rId3" Type="http://schemas.openxmlformats.org/officeDocument/2006/relationships/hyperlink" Target="mailto:nidhi.saini@ploughmanagro.com" TargetMode="External"/><Relationship Id="rId7" Type="http://schemas.openxmlformats.org/officeDocument/2006/relationships/hyperlink" Target="mailto:nidhi.saini@ploughmanagro.com" TargetMode="External"/><Relationship Id="rId12" Type="http://schemas.openxmlformats.org/officeDocument/2006/relationships/hyperlink" Target="mailto:nidhi.saini@ploughmanagro.com" TargetMode="External"/><Relationship Id="rId17" Type="http://schemas.openxmlformats.org/officeDocument/2006/relationships/hyperlink" Target="mailto:nidhi.saini@ploughmanagro.com" TargetMode="External"/><Relationship Id="rId2" Type="http://schemas.openxmlformats.org/officeDocument/2006/relationships/hyperlink" Target="mailto:nidhi.saini@ploughmanagro.com" TargetMode="External"/><Relationship Id="rId16" Type="http://schemas.openxmlformats.org/officeDocument/2006/relationships/hyperlink" Target="mailto:nidhi.saini@ploughmanagro.com" TargetMode="External"/><Relationship Id="rId1" Type="http://schemas.openxmlformats.org/officeDocument/2006/relationships/hyperlink" Target="mailto:nidhi.saini@ploughmanagro.com" TargetMode="External"/><Relationship Id="rId6" Type="http://schemas.openxmlformats.org/officeDocument/2006/relationships/hyperlink" Target="mailto:nidhi.saini@ploughmanagro.com" TargetMode="External"/><Relationship Id="rId11" Type="http://schemas.openxmlformats.org/officeDocument/2006/relationships/hyperlink" Target="mailto:nidhi.saini@ploughmanagro.com" TargetMode="External"/><Relationship Id="rId5" Type="http://schemas.openxmlformats.org/officeDocument/2006/relationships/hyperlink" Target="mailto:nidhi.saini@ploughmanagro.com" TargetMode="External"/><Relationship Id="rId15" Type="http://schemas.openxmlformats.org/officeDocument/2006/relationships/hyperlink" Target="mailto:nidhi.saini@ploughmanagro.com" TargetMode="External"/><Relationship Id="rId10" Type="http://schemas.openxmlformats.org/officeDocument/2006/relationships/hyperlink" Target="mailto:nidhi.saini@ploughmanagro.com" TargetMode="External"/><Relationship Id="rId4" Type="http://schemas.openxmlformats.org/officeDocument/2006/relationships/hyperlink" Target="mailto:nidhi.saini@ploughmanagro.com" TargetMode="External"/><Relationship Id="rId9" Type="http://schemas.openxmlformats.org/officeDocument/2006/relationships/hyperlink" Target="mailto:nidhi.saini@ploughmanagro.com" TargetMode="External"/><Relationship Id="rId14" Type="http://schemas.openxmlformats.org/officeDocument/2006/relationships/hyperlink" Target="mailto:nidhi.saini@ploughmanagro.com"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mailto:chrishmita.papl20@gmail.com" TargetMode="External"/><Relationship Id="rId3" Type="http://schemas.openxmlformats.org/officeDocument/2006/relationships/hyperlink" Target="mailto:chrishmita.papl20@gmail.com" TargetMode="External"/><Relationship Id="rId7" Type="http://schemas.openxmlformats.org/officeDocument/2006/relationships/hyperlink" Target="mailto:chrishmita.papl20@gmail.com" TargetMode="External"/><Relationship Id="rId2" Type="http://schemas.openxmlformats.org/officeDocument/2006/relationships/hyperlink" Target="mailto:chrishmita.papl20@gmail.com" TargetMode="External"/><Relationship Id="rId1" Type="http://schemas.openxmlformats.org/officeDocument/2006/relationships/hyperlink" Target="mailto:chrishmita.papl20@gmail.com" TargetMode="External"/><Relationship Id="rId6" Type="http://schemas.openxmlformats.org/officeDocument/2006/relationships/hyperlink" Target="mailto:chrishmita.papl20@gmail.com" TargetMode="External"/><Relationship Id="rId5" Type="http://schemas.openxmlformats.org/officeDocument/2006/relationships/hyperlink" Target="mailto:chrishmita.papl20@gmail.com" TargetMode="External"/><Relationship Id="rId4" Type="http://schemas.openxmlformats.org/officeDocument/2006/relationships/hyperlink" Target="mailto:chrishmita.papl20@gmail.com" TargetMode="External"/><Relationship Id="rId9" Type="http://schemas.openxmlformats.org/officeDocument/2006/relationships/hyperlink" Target="mailto:chrishmita.papl20@gmail.com"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mailto:bherulal.rathore@ploughmanagro.com" TargetMode="External"/><Relationship Id="rId13" Type="http://schemas.openxmlformats.org/officeDocument/2006/relationships/hyperlink" Target="mailto:bherulal.rathore@ploughmanagro.com" TargetMode="External"/><Relationship Id="rId3" Type="http://schemas.openxmlformats.org/officeDocument/2006/relationships/hyperlink" Target="mailto:bherulal.rathore@ploughmanagro.com" TargetMode="External"/><Relationship Id="rId7" Type="http://schemas.openxmlformats.org/officeDocument/2006/relationships/hyperlink" Target="mailto:bherulal.rathore@ploughmanagro.com" TargetMode="External"/><Relationship Id="rId12" Type="http://schemas.openxmlformats.org/officeDocument/2006/relationships/hyperlink" Target="mailto:bherulal.rathore@ploughmanagro.com" TargetMode="External"/><Relationship Id="rId17" Type="http://schemas.openxmlformats.org/officeDocument/2006/relationships/hyperlink" Target="mailto:bherulal.rathore@ploughmanagro.com" TargetMode="External"/><Relationship Id="rId2" Type="http://schemas.openxmlformats.org/officeDocument/2006/relationships/hyperlink" Target="mailto:bherulal.rathore@ploughmanagro.com" TargetMode="External"/><Relationship Id="rId16" Type="http://schemas.openxmlformats.org/officeDocument/2006/relationships/hyperlink" Target="mailto:bherulal.rathore@ploughmanagro.com" TargetMode="External"/><Relationship Id="rId1" Type="http://schemas.openxmlformats.org/officeDocument/2006/relationships/hyperlink" Target="mailto:bherulal.rathore@ploughmanagro.com" TargetMode="External"/><Relationship Id="rId6" Type="http://schemas.openxmlformats.org/officeDocument/2006/relationships/hyperlink" Target="mailto:bherulal.rathore@ploughmanagro.com" TargetMode="External"/><Relationship Id="rId11" Type="http://schemas.openxmlformats.org/officeDocument/2006/relationships/hyperlink" Target="mailto:bherulal.rathore@ploughmanagro.com" TargetMode="External"/><Relationship Id="rId5" Type="http://schemas.openxmlformats.org/officeDocument/2006/relationships/hyperlink" Target="mailto:bherulal.rathore@ploughmanagro.com" TargetMode="External"/><Relationship Id="rId15" Type="http://schemas.openxmlformats.org/officeDocument/2006/relationships/hyperlink" Target="mailto:bherulal.rathore@ploughmanagro.com" TargetMode="External"/><Relationship Id="rId10" Type="http://schemas.openxmlformats.org/officeDocument/2006/relationships/hyperlink" Target="mailto:bherulal.rathore@ploughmanagro.com" TargetMode="External"/><Relationship Id="rId4" Type="http://schemas.openxmlformats.org/officeDocument/2006/relationships/hyperlink" Target="mailto:bherulal.rathore@ploughmanagro.com" TargetMode="External"/><Relationship Id="rId9" Type="http://schemas.openxmlformats.org/officeDocument/2006/relationships/hyperlink" Target="mailto:bherulal.rathore@ploughmanagro.com" TargetMode="External"/><Relationship Id="rId14" Type="http://schemas.openxmlformats.org/officeDocument/2006/relationships/hyperlink" Target="mailto:bherulal.rathore@ploughmanagro.com" TargetMode="External"/></Relationships>
</file>

<file path=xl/worksheets/_rels/sheet30.xml.rels><?xml version="1.0" encoding="UTF-8" standalone="yes"?>
<Relationships xmlns="http://schemas.openxmlformats.org/package/2006/relationships"><Relationship Id="rId8" Type="http://schemas.openxmlformats.org/officeDocument/2006/relationships/hyperlink" Target="mailto:rahul.chawda@ploughmanagro.com" TargetMode="External"/><Relationship Id="rId13" Type="http://schemas.openxmlformats.org/officeDocument/2006/relationships/hyperlink" Target="mailto:rahul.chawda@ploughmanagro.com" TargetMode="External"/><Relationship Id="rId3" Type="http://schemas.openxmlformats.org/officeDocument/2006/relationships/hyperlink" Target="mailto:rahul.chawda@ploughmanagro.com" TargetMode="External"/><Relationship Id="rId7" Type="http://schemas.openxmlformats.org/officeDocument/2006/relationships/hyperlink" Target="mailto:rahul.chawda@ploughmanagro.com" TargetMode="External"/><Relationship Id="rId12" Type="http://schemas.openxmlformats.org/officeDocument/2006/relationships/hyperlink" Target="mailto:rahul.chawda@ploughmanagro.com" TargetMode="External"/><Relationship Id="rId17" Type="http://schemas.openxmlformats.org/officeDocument/2006/relationships/hyperlink" Target="mailto:rahul.chawda@ploughmanagro.com" TargetMode="External"/><Relationship Id="rId2" Type="http://schemas.openxmlformats.org/officeDocument/2006/relationships/hyperlink" Target="mailto:rahul.chawda@ploughmanagro.com" TargetMode="External"/><Relationship Id="rId16" Type="http://schemas.openxmlformats.org/officeDocument/2006/relationships/hyperlink" Target="mailto:rahul.chawda@ploughmanagro.com" TargetMode="External"/><Relationship Id="rId1" Type="http://schemas.openxmlformats.org/officeDocument/2006/relationships/hyperlink" Target="mailto:rahul.chawda@ploughmanagro.com" TargetMode="External"/><Relationship Id="rId6" Type="http://schemas.openxmlformats.org/officeDocument/2006/relationships/hyperlink" Target="mailto:rahul.chawda@ploughmanagro.com" TargetMode="External"/><Relationship Id="rId11" Type="http://schemas.openxmlformats.org/officeDocument/2006/relationships/hyperlink" Target="mailto:rahul.chawda@ploughmanagro.com" TargetMode="External"/><Relationship Id="rId5" Type="http://schemas.openxmlformats.org/officeDocument/2006/relationships/hyperlink" Target="mailto:rahul.chawda@ploughmanagro.com" TargetMode="External"/><Relationship Id="rId15" Type="http://schemas.openxmlformats.org/officeDocument/2006/relationships/hyperlink" Target="mailto:rahul.chawda@ploughmanagro.com" TargetMode="External"/><Relationship Id="rId10" Type="http://schemas.openxmlformats.org/officeDocument/2006/relationships/hyperlink" Target="mailto:rahul.chawda@ploughmanagro.com" TargetMode="External"/><Relationship Id="rId4" Type="http://schemas.openxmlformats.org/officeDocument/2006/relationships/hyperlink" Target="mailto:rahul.chawda@ploughmanagro.com" TargetMode="External"/><Relationship Id="rId9" Type="http://schemas.openxmlformats.org/officeDocument/2006/relationships/hyperlink" Target="mailto:rahul.chawda@ploughmanagro.com" TargetMode="External"/><Relationship Id="rId14" Type="http://schemas.openxmlformats.org/officeDocument/2006/relationships/hyperlink" Target="mailto:rahul.chawda@ploughmanagro.com" TargetMode="External"/></Relationships>
</file>

<file path=xl/worksheets/_rels/sheet31.xml.rels><?xml version="1.0" encoding="UTF-8" standalone="yes"?>
<Relationships xmlns="http://schemas.openxmlformats.org/package/2006/relationships"><Relationship Id="rId8" Type="http://schemas.openxmlformats.org/officeDocument/2006/relationships/hyperlink" Target="mailto:prakash.jamuniya@ploughmanagro.com" TargetMode="External"/><Relationship Id="rId13" Type="http://schemas.openxmlformats.org/officeDocument/2006/relationships/hyperlink" Target="mailto:prakash.jamuniya@ploughmanagro.com" TargetMode="External"/><Relationship Id="rId3" Type="http://schemas.openxmlformats.org/officeDocument/2006/relationships/hyperlink" Target="mailto:prakash.jamuniya@ploughmanagro.com" TargetMode="External"/><Relationship Id="rId7" Type="http://schemas.openxmlformats.org/officeDocument/2006/relationships/hyperlink" Target="mailto:prakash.jamuniya@ploughmanagro.com" TargetMode="External"/><Relationship Id="rId12" Type="http://schemas.openxmlformats.org/officeDocument/2006/relationships/hyperlink" Target="mailto:prakash.jamuniya@ploughmanagro.com" TargetMode="External"/><Relationship Id="rId17" Type="http://schemas.openxmlformats.org/officeDocument/2006/relationships/hyperlink" Target="mailto:prakash.jamuniya@ploughmanagro.com" TargetMode="External"/><Relationship Id="rId2" Type="http://schemas.openxmlformats.org/officeDocument/2006/relationships/hyperlink" Target="mailto:prakash.jamuniya@ploughmanagro.com" TargetMode="External"/><Relationship Id="rId16" Type="http://schemas.openxmlformats.org/officeDocument/2006/relationships/hyperlink" Target="mailto:prakash.jamuniya@ploughmanagro.com" TargetMode="External"/><Relationship Id="rId1" Type="http://schemas.openxmlformats.org/officeDocument/2006/relationships/hyperlink" Target="mailto:prakash.jamuniya@ploughmanagro.com" TargetMode="External"/><Relationship Id="rId6" Type="http://schemas.openxmlformats.org/officeDocument/2006/relationships/hyperlink" Target="mailto:prakash.jamuniya@ploughmanagro.com" TargetMode="External"/><Relationship Id="rId11" Type="http://schemas.openxmlformats.org/officeDocument/2006/relationships/hyperlink" Target="mailto:prakash.jamuniya@ploughmanagro.com" TargetMode="External"/><Relationship Id="rId5" Type="http://schemas.openxmlformats.org/officeDocument/2006/relationships/hyperlink" Target="mailto:prakash.jamuniya@ploughmanagro.com" TargetMode="External"/><Relationship Id="rId15" Type="http://schemas.openxmlformats.org/officeDocument/2006/relationships/hyperlink" Target="mailto:prakash.jamuniya@ploughmanagro.com" TargetMode="External"/><Relationship Id="rId10" Type="http://schemas.openxmlformats.org/officeDocument/2006/relationships/hyperlink" Target="mailto:prakash.jamuniya@ploughmanagro.com" TargetMode="External"/><Relationship Id="rId4" Type="http://schemas.openxmlformats.org/officeDocument/2006/relationships/hyperlink" Target="mailto:prakash.jamuniya@ploughmanagro.com" TargetMode="External"/><Relationship Id="rId9" Type="http://schemas.openxmlformats.org/officeDocument/2006/relationships/hyperlink" Target="mailto:prakash.jamuniya@ploughmanagro.com" TargetMode="External"/><Relationship Id="rId14" Type="http://schemas.openxmlformats.org/officeDocument/2006/relationships/hyperlink" Target="mailto:prakash.jamuniya@ploughmanagro.com"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mailto:tarak.ghosh@ploughmanagro.com" TargetMode="External"/><Relationship Id="rId13" Type="http://schemas.openxmlformats.org/officeDocument/2006/relationships/hyperlink" Target="mailto:tarak.ghosh@ploughmanagro.com" TargetMode="External"/><Relationship Id="rId3" Type="http://schemas.openxmlformats.org/officeDocument/2006/relationships/hyperlink" Target="mailto:tarak.ghosh@ploughmanagro.com" TargetMode="External"/><Relationship Id="rId7" Type="http://schemas.openxmlformats.org/officeDocument/2006/relationships/hyperlink" Target="mailto:tarak.ghosh@ploughmanagro.com" TargetMode="External"/><Relationship Id="rId12" Type="http://schemas.openxmlformats.org/officeDocument/2006/relationships/hyperlink" Target="mailto:tarak.ghosh@ploughmanagro.com" TargetMode="External"/><Relationship Id="rId2" Type="http://schemas.openxmlformats.org/officeDocument/2006/relationships/hyperlink" Target="mailto:tarak.ghosh@ploughmanagro.com" TargetMode="External"/><Relationship Id="rId1" Type="http://schemas.openxmlformats.org/officeDocument/2006/relationships/hyperlink" Target="mailto:tarak.ghosh@ploughmanagro.com" TargetMode="External"/><Relationship Id="rId6" Type="http://schemas.openxmlformats.org/officeDocument/2006/relationships/hyperlink" Target="mailto:tarak.ghosh@ploughmanagro.com" TargetMode="External"/><Relationship Id="rId11" Type="http://schemas.openxmlformats.org/officeDocument/2006/relationships/hyperlink" Target="mailto:tarak.ghosh@ploughmanagro.com" TargetMode="External"/><Relationship Id="rId5" Type="http://schemas.openxmlformats.org/officeDocument/2006/relationships/hyperlink" Target="mailto:tarak.ghosh@ploughmanagro.com" TargetMode="External"/><Relationship Id="rId10" Type="http://schemas.openxmlformats.org/officeDocument/2006/relationships/hyperlink" Target="mailto:tarak.ghosh@ploughmanagro.com" TargetMode="External"/><Relationship Id="rId4" Type="http://schemas.openxmlformats.org/officeDocument/2006/relationships/hyperlink" Target="mailto:tarak.ghosh@ploughmanagro.com" TargetMode="External"/><Relationship Id="rId9" Type="http://schemas.openxmlformats.org/officeDocument/2006/relationships/hyperlink" Target="mailto:tarak.ghosh@ploughmanagro.com"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rajesh.namdeo@ploughmanagro.com" TargetMode="External"/><Relationship Id="rId13" Type="http://schemas.openxmlformats.org/officeDocument/2006/relationships/hyperlink" Target="mailto:rajesh.namdeo@ploughmanagro.com" TargetMode="External"/><Relationship Id="rId3" Type="http://schemas.openxmlformats.org/officeDocument/2006/relationships/hyperlink" Target="mailto:rajesh.namdeo@ploughmanagro.com" TargetMode="External"/><Relationship Id="rId7" Type="http://schemas.openxmlformats.org/officeDocument/2006/relationships/hyperlink" Target="mailto:rajesh.namdeo@ploughmanagro.com" TargetMode="External"/><Relationship Id="rId12" Type="http://schemas.openxmlformats.org/officeDocument/2006/relationships/hyperlink" Target="mailto:rajesh.namdeo@ploughmanagro.com" TargetMode="External"/><Relationship Id="rId17" Type="http://schemas.openxmlformats.org/officeDocument/2006/relationships/hyperlink" Target="mailto:rajesh.namdeo@ploughmanagro.com" TargetMode="External"/><Relationship Id="rId2" Type="http://schemas.openxmlformats.org/officeDocument/2006/relationships/hyperlink" Target="mailto:rajesh.namdeo@ploughmanagro.com" TargetMode="External"/><Relationship Id="rId16" Type="http://schemas.openxmlformats.org/officeDocument/2006/relationships/hyperlink" Target="mailto:rajesh.namdeo@ploughmanagro.com" TargetMode="External"/><Relationship Id="rId1" Type="http://schemas.openxmlformats.org/officeDocument/2006/relationships/hyperlink" Target="mailto:rajesh.namdeo@ploughmanagro.com" TargetMode="External"/><Relationship Id="rId6" Type="http://schemas.openxmlformats.org/officeDocument/2006/relationships/hyperlink" Target="mailto:rajesh.namdeo@ploughmanagro.com" TargetMode="External"/><Relationship Id="rId11" Type="http://schemas.openxmlformats.org/officeDocument/2006/relationships/hyperlink" Target="mailto:rajesh.namdeo@ploughmanagro.com" TargetMode="External"/><Relationship Id="rId5" Type="http://schemas.openxmlformats.org/officeDocument/2006/relationships/hyperlink" Target="mailto:rajesh.namdeo@ploughmanagro.com" TargetMode="External"/><Relationship Id="rId15" Type="http://schemas.openxmlformats.org/officeDocument/2006/relationships/hyperlink" Target="mailto:rajesh.namdeo@ploughmanagro.com" TargetMode="External"/><Relationship Id="rId10" Type="http://schemas.openxmlformats.org/officeDocument/2006/relationships/hyperlink" Target="mailto:rajesh.namdeo@ploughmanagro.com" TargetMode="External"/><Relationship Id="rId4" Type="http://schemas.openxmlformats.org/officeDocument/2006/relationships/hyperlink" Target="mailto:rajesh.namdeo@ploughmanagro.com" TargetMode="External"/><Relationship Id="rId9" Type="http://schemas.openxmlformats.org/officeDocument/2006/relationships/hyperlink" Target="mailto:rajesh.namdeo@ploughmanagro.com" TargetMode="External"/><Relationship Id="rId14" Type="http://schemas.openxmlformats.org/officeDocument/2006/relationships/hyperlink" Target="mailto:rajesh.namdeo@ploughmanagro.com"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vikas.rai@ploughmanagro.com" TargetMode="External"/><Relationship Id="rId13" Type="http://schemas.openxmlformats.org/officeDocument/2006/relationships/hyperlink" Target="mailto:vikas.rai@ploughmanagro.com" TargetMode="External"/><Relationship Id="rId3" Type="http://schemas.openxmlformats.org/officeDocument/2006/relationships/hyperlink" Target="mailto:vikas.rai@ploughmanagro.com" TargetMode="External"/><Relationship Id="rId7" Type="http://schemas.openxmlformats.org/officeDocument/2006/relationships/hyperlink" Target="mailto:vikas.rai@ploughmanagro.com" TargetMode="External"/><Relationship Id="rId12" Type="http://schemas.openxmlformats.org/officeDocument/2006/relationships/hyperlink" Target="mailto:vikas.rai@ploughmanagro.com" TargetMode="External"/><Relationship Id="rId2" Type="http://schemas.openxmlformats.org/officeDocument/2006/relationships/hyperlink" Target="mailto:vikas.rai@ploughmanagro.com" TargetMode="External"/><Relationship Id="rId1" Type="http://schemas.openxmlformats.org/officeDocument/2006/relationships/hyperlink" Target="mailto:vikas.rai@ploughmanagro.com" TargetMode="External"/><Relationship Id="rId6" Type="http://schemas.openxmlformats.org/officeDocument/2006/relationships/hyperlink" Target="mailto:vikas.rai@ploughmanagro.com" TargetMode="External"/><Relationship Id="rId11" Type="http://schemas.openxmlformats.org/officeDocument/2006/relationships/hyperlink" Target="mailto:vikas.rai@ploughmanagro.com" TargetMode="External"/><Relationship Id="rId5" Type="http://schemas.openxmlformats.org/officeDocument/2006/relationships/hyperlink" Target="mailto:vikas.rai@ploughmanagro.com" TargetMode="External"/><Relationship Id="rId10" Type="http://schemas.openxmlformats.org/officeDocument/2006/relationships/hyperlink" Target="mailto:vikas.rai@ploughmanagro.com" TargetMode="External"/><Relationship Id="rId4" Type="http://schemas.openxmlformats.org/officeDocument/2006/relationships/hyperlink" Target="mailto:vikas.rai@ploughmanagro.com" TargetMode="External"/><Relationship Id="rId9" Type="http://schemas.openxmlformats.org/officeDocument/2006/relationships/hyperlink" Target="mailto:vikas.rai@ploughmanagro.com" TargetMode="External"/><Relationship Id="rId14" Type="http://schemas.openxmlformats.org/officeDocument/2006/relationships/hyperlink" Target="mailto:vikas.rai@ploughmanagro.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tilok.papl20@gmail.com" TargetMode="External"/><Relationship Id="rId13" Type="http://schemas.openxmlformats.org/officeDocument/2006/relationships/hyperlink" Target="mailto:tilok.papl20@gmail.com" TargetMode="External"/><Relationship Id="rId3" Type="http://schemas.openxmlformats.org/officeDocument/2006/relationships/hyperlink" Target="mailto:tilok.papl20@gmail.com" TargetMode="External"/><Relationship Id="rId7" Type="http://schemas.openxmlformats.org/officeDocument/2006/relationships/hyperlink" Target="mailto:tilok.papl20@gmail.com" TargetMode="External"/><Relationship Id="rId12" Type="http://schemas.openxmlformats.org/officeDocument/2006/relationships/hyperlink" Target="mailto:tilok.papl20@gmail.com" TargetMode="External"/><Relationship Id="rId2" Type="http://schemas.openxmlformats.org/officeDocument/2006/relationships/hyperlink" Target="mailto:tilok.papl20@gmail.com" TargetMode="External"/><Relationship Id="rId1" Type="http://schemas.openxmlformats.org/officeDocument/2006/relationships/hyperlink" Target="mailto:tilok.papl20@gmail.com" TargetMode="External"/><Relationship Id="rId6" Type="http://schemas.openxmlformats.org/officeDocument/2006/relationships/hyperlink" Target="mailto:tilok.papl20@gmail.com" TargetMode="External"/><Relationship Id="rId11" Type="http://schemas.openxmlformats.org/officeDocument/2006/relationships/hyperlink" Target="mailto:tilok.papl20@gmail.com" TargetMode="External"/><Relationship Id="rId5" Type="http://schemas.openxmlformats.org/officeDocument/2006/relationships/hyperlink" Target="mailto:tilok.papl20@gmail.com" TargetMode="External"/><Relationship Id="rId15" Type="http://schemas.openxmlformats.org/officeDocument/2006/relationships/hyperlink" Target="mailto:tilok.papl20@gmail.com" TargetMode="External"/><Relationship Id="rId10" Type="http://schemas.openxmlformats.org/officeDocument/2006/relationships/hyperlink" Target="mailto:tilok.papl20@gmail.com" TargetMode="External"/><Relationship Id="rId4" Type="http://schemas.openxmlformats.org/officeDocument/2006/relationships/hyperlink" Target="mailto:tilok.papl20@gmail.com" TargetMode="External"/><Relationship Id="rId9" Type="http://schemas.openxmlformats.org/officeDocument/2006/relationships/hyperlink" Target="mailto:tilok.papl20@gmail.com" TargetMode="External"/><Relationship Id="rId14" Type="http://schemas.openxmlformats.org/officeDocument/2006/relationships/hyperlink" Target="mailto:tilok.papl20@gmail.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soumen.papl20@gmail.com" TargetMode="External"/><Relationship Id="rId13" Type="http://schemas.openxmlformats.org/officeDocument/2006/relationships/hyperlink" Target="mailto:soumen.papl20@gmail.com" TargetMode="External"/><Relationship Id="rId18" Type="http://schemas.openxmlformats.org/officeDocument/2006/relationships/hyperlink" Target="mailto:soumen.papl20@gmail.com" TargetMode="External"/><Relationship Id="rId3" Type="http://schemas.openxmlformats.org/officeDocument/2006/relationships/hyperlink" Target="mailto:soumen.papl20@gmail.com" TargetMode="External"/><Relationship Id="rId7" Type="http://schemas.openxmlformats.org/officeDocument/2006/relationships/hyperlink" Target="mailto:soumen.papl20@gmail.com" TargetMode="External"/><Relationship Id="rId12" Type="http://schemas.openxmlformats.org/officeDocument/2006/relationships/hyperlink" Target="mailto:soumen.papl20@gmail.com" TargetMode="External"/><Relationship Id="rId17" Type="http://schemas.openxmlformats.org/officeDocument/2006/relationships/hyperlink" Target="mailto:soumen.papl20@gmail.com" TargetMode="External"/><Relationship Id="rId2" Type="http://schemas.openxmlformats.org/officeDocument/2006/relationships/hyperlink" Target="mailto:soumen.papl20@gmail.com" TargetMode="External"/><Relationship Id="rId16" Type="http://schemas.openxmlformats.org/officeDocument/2006/relationships/hyperlink" Target="mailto:soumen.papl20@gmail.com" TargetMode="External"/><Relationship Id="rId1" Type="http://schemas.openxmlformats.org/officeDocument/2006/relationships/hyperlink" Target="mailto:soumen.papl20@gmail.com" TargetMode="External"/><Relationship Id="rId6" Type="http://schemas.openxmlformats.org/officeDocument/2006/relationships/hyperlink" Target="mailto:soumen.papl20@gmail.com" TargetMode="External"/><Relationship Id="rId11" Type="http://schemas.openxmlformats.org/officeDocument/2006/relationships/hyperlink" Target="mailto:soumen.papl20@gmail.com" TargetMode="External"/><Relationship Id="rId5" Type="http://schemas.openxmlformats.org/officeDocument/2006/relationships/hyperlink" Target="mailto:soumen.papl20@gmail.com" TargetMode="External"/><Relationship Id="rId15" Type="http://schemas.openxmlformats.org/officeDocument/2006/relationships/hyperlink" Target="mailto:soumen.papl20@gmail.com" TargetMode="External"/><Relationship Id="rId10" Type="http://schemas.openxmlformats.org/officeDocument/2006/relationships/hyperlink" Target="mailto:soumen.papl20@gmail.com" TargetMode="External"/><Relationship Id="rId19" Type="http://schemas.openxmlformats.org/officeDocument/2006/relationships/hyperlink" Target="mailto:soumen.papl20@gmail.com" TargetMode="External"/><Relationship Id="rId4" Type="http://schemas.openxmlformats.org/officeDocument/2006/relationships/hyperlink" Target="mailto:soumen.papl20@gmail.com" TargetMode="External"/><Relationship Id="rId9" Type="http://schemas.openxmlformats.org/officeDocument/2006/relationships/hyperlink" Target="mailto:soumen.papl20@gmail.com" TargetMode="External"/><Relationship Id="rId14" Type="http://schemas.openxmlformats.org/officeDocument/2006/relationships/hyperlink" Target="mailto:soumen.papl20@gmail.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pushpa.nair@ploughmanagro.com" TargetMode="External"/><Relationship Id="rId13" Type="http://schemas.openxmlformats.org/officeDocument/2006/relationships/hyperlink" Target="mailto:pushpa.nair@ploughmanagro.com" TargetMode="External"/><Relationship Id="rId18" Type="http://schemas.openxmlformats.org/officeDocument/2006/relationships/hyperlink" Target="mailto:pushpa.nair@ploughmanagro.com" TargetMode="External"/><Relationship Id="rId3" Type="http://schemas.openxmlformats.org/officeDocument/2006/relationships/hyperlink" Target="mailto:pushpa.nair@ploughmanagro.com" TargetMode="External"/><Relationship Id="rId21" Type="http://schemas.openxmlformats.org/officeDocument/2006/relationships/hyperlink" Target="mailto:pushpa.nair@ploughmanagro.com" TargetMode="External"/><Relationship Id="rId7" Type="http://schemas.openxmlformats.org/officeDocument/2006/relationships/hyperlink" Target="mailto:pushpa.nair@ploughmanagro.com" TargetMode="External"/><Relationship Id="rId12" Type="http://schemas.openxmlformats.org/officeDocument/2006/relationships/hyperlink" Target="mailto:pushpa.nair@ploughmanagro.com" TargetMode="External"/><Relationship Id="rId17" Type="http://schemas.openxmlformats.org/officeDocument/2006/relationships/hyperlink" Target="mailto:pushpa.nair@ploughmanagro.com" TargetMode="External"/><Relationship Id="rId2" Type="http://schemas.openxmlformats.org/officeDocument/2006/relationships/hyperlink" Target="mailto:pushpa.nair@ploughmanagro.com" TargetMode="External"/><Relationship Id="rId16" Type="http://schemas.openxmlformats.org/officeDocument/2006/relationships/hyperlink" Target="mailto:pushpa.nair@ploughmanagro.com" TargetMode="External"/><Relationship Id="rId20" Type="http://schemas.openxmlformats.org/officeDocument/2006/relationships/hyperlink" Target="mailto:pushpa.nair@ploughmanagro.com" TargetMode="External"/><Relationship Id="rId1" Type="http://schemas.openxmlformats.org/officeDocument/2006/relationships/hyperlink" Target="mailto:pushpa.nair@ploughmanagro.com" TargetMode="External"/><Relationship Id="rId6" Type="http://schemas.openxmlformats.org/officeDocument/2006/relationships/hyperlink" Target="mailto:pushpa.nair@ploughmanagro.com" TargetMode="External"/><Relationship Id="rId11" Type="http://schemas.openxmlformats.org/officeDocument/2006/relationships/hyperlink" Target="mailto:pushpa.nair@ploughmanagro.com" TargetMode="External"/><Relationship Id="rId5" Type="http://schemas.openxmlformats.org/officeDocument/2006/relationships/hyperlink" Target="mailto:pushpa.nair@ploughmanagro.com" TargetMode="External"/><Relationship Id="rId15" Type="http://schemas.openxmlformats.org/officeDocument/2006/relationships/hyperlink" Target="mailto:pushpa.nair@ploughmanagro.com" TargetMode="External"/><Relationship Id="rId23" Type="http://schemas.openxmlformats.org/officeDocument/2006/relationships/hyperlink" Target="mailto:pushpa.nair@ploughmanagro.com" TargetMode="External"/><Relationship Id="rId10" Type="http://schemas.openxmlformats.org/officeDocument/2006/relationships/hyperlink" Target="mailto:pushpa.nair@ploughmanagro.com" TargetMode="External"/><Relationship Id="rId19" Type="http://schemas.openxmlformats.org/officeDocument/2006/relationships/hyperlink" Target="mailto:pushpa.nair@ploughmanagro.com" TargetMode="External"/><Relationship Id="rId4" Type="http://schemas.openxmlformats.org/officeDocument/2006/relationships/hyperlink" Target="mailto:pushpa.nair@ploughmanagro.com" TargetMode="External"/><Relationship Id="rId9" Type="http://schemas.openxmlformats.org/officeDocument/2006/relationships/hyperlink" Target="mailto:pushpa.nair@ploughmanagro.com" TargetMode="External"/><Relationship Id="rId14" Type="http://schemas.openxmlformats.org/officeDocument/2006/relationships/hyperlink" Target="mailto:pushpa.nair@ploughmanagro.com" TargetMode="External"/><Relationship Id="rId22" Type="http://schemas.openxmlformats.org/officeDocument/2006/relationships/hyperlink" Target="mailto:pushpa.nair@ploughmanagro.com" TargetMode="External"/></Relationships>
</file>

<file path=xl/worksheets/_rels/sheet40.xml.rels><?xml version="1.0" encoding="UTF-8" standalone="yes"?>
<Relationships xmlns="http://schemas.openxmlformats.org/package/2006/relationships"><Relationship Id="rId13" Type="http://schemas.openxmlformats.org/officeDocument/2006/relationships/hyperlink" Target="mailto:nishchal.poundrik@ploughmanagro.com" TargetMode="External"/><Relationship Id="rId18" Type="http://schemas.openxmlformats.org/officeDocument/2006/relationships/hyperlink" Target="mailto:nishchal.poundrik@ploughmanagro.com" TargetMode="External"/><Relationship Id="rId26" Type="http://schemas.openxmlformats.org/officeDocument/2006/relationships/hyperlink" Target="mailto:nishchal.poundrik@ploughmanagro.com" TargetMode="External"/><Relationship Id="rId39" Type="http://schemas.openxmlformats.org/officeDocument/2006/relationships/hyperlink" Target="mailto:nishchal.poundrik@ploughmanagro.com" TargetMode="External"/><Relationship Id="rId21" Type="http://schemas.openxmlformats.org/officeDocument/2006/relationships/hyperlink" Target="mailto:nishchal.poundrik@ploughmanagro.com" TargetMode="External"/><Relationship Id="rId34" Type="http://schemas.openxmlformats.org/officeDocument/2006/relationships/hyperlink" Target="mailto:nishchal.poundrik@ploughmanagro.com" TargetMode="External"/><Relationship Id="rId42" Type="http://schemas.openxmlformats.org/officeDocument/2006/relationships/hyperlink" Target="mailto:nishchal.poundrik@ploughmanagro.com" TargetMode="External"/><Relationship Id="rId7" Type="http://schemas.openxmlformats.org/officeDocument/2006/relationships/hyperlink" Target="mailto:nishchal.poundrik@ploughmanagro.com" TargetMode="External"/><Relationship Id="rId2" Type="http://schemas.openxmlformats.org/officeDocument/2006/relationships/hyperlink" Target="mailto:nishchal.poundrik@ploughmanagro.com" TargetMode="External"/><Relationship Id="rId16" Type="http://schemas.openxmlformats.org/officeDocument/2006/relationships/hyperlink" Target="mailto:nishchal.poundrik@ploughmanagro.com" TargetMode="External"/><Relationship Id="rId20" Type="http://schemas.openxmlformats.org/officeDocument/2006/relationships/hyperlink" Target="mailto:nishchal.poundrik@ploughmanagro.com" TargetMode="External"/><Relationship Id="rId29" Type="http://schemas.openxmlformats.org/officeDocument/2006/relationships/hyperlink" Target="mailto:nishchal.poundrik@ploughmanagro.com" TargetMode="External"/><Relationship Id="rId41" Type="http://schemas.openxmlformats.org/officeDocument/2006/relationships/hyperlink" Target="mailto:nishchal.poundrik@ploughmanagro.com" TargetMode="External"/><Relationship Id="rId1" Type="http://schemas.openxmlformats.org/officeDocument/2006/relationships/hyperlink" Target="mailto:nishchal.poundrik@ploughmanagro.com" TargetMode="External"/><Relationship Id="rId6" Type="http://schemas.openxmlformats.org/officeDocument/2006/relationships/hyperlink" Target="mailto:nishchal.poundrik@ploughmanagro.com" TargetMode="External"/><Relationship Id="rId11" Type="http://schemas.openxmlformats.org/officeDocument/2006/relationships/hyperlink" Target="mailto:nishchal.poundrik@ploughmanagro.com" TargetMode="External"/><Relationship Id="rId24" Type="http://schemas.openxmlformats.org/officeDocument/2006/relationships/hyperlink" Target="mailto:nishchal.poundrik@ploughmanagro.com" TargetMode="External"/><Relationship Id="rId32" Type="http://schemas.openxmlformats.org/officeDocument/2006/relationships/hyperlink" Target="mailto:nishchal.poundrik@ploughmanagro.com" TargetMode="External"/><Relationship Id="rId37" Type="http://schemas.openxmlformats.org/officeDocument/2006/relationships/hyperlink" Target="mailto:nishchal.poundrik@ploughmanagro.com" TargetMode="External"/><Relationship Id="rId40" Type="http://schemas.openxmlformats.org/officeDocument/2006/relationships/hyperlink" Target="mailto:nishchal.poundrik@ploughmanagro.com" TargetMode="External"/><Relationship Id="rId5" Type="http://schemas.openxmlformats.org/officeDocument/2006/relationships/hyperlink" Target="mailto:nishchal.poundrik@ploughmanagro.com" TargetMode="External"/><Relationship Id="rId15" Type="http://schemas.openxmlformats.org/officeDocument/2006/relationships/hyperlink" Target="mailto:nishchal.poundrik@ploughmanagro.com" TargetMode="External"/><Relationship Id="rId23" Type="http://schemas.openxmlformats.org/officeDocument/2006/relationships/hyperlink" Target="mailto:nishchal.poundrik@ploughmanagro.com" TargetMode="External"/><Relationship Id="rId28" Type="http://schemas.openxmlformats.org/officeDocument/2006/relationships/hyperlink" Target="mailto:nishchal.poundrik@ploughmanagro.com" TargetMode="External"/><Relationship Id="rId36" Type="http://schemas.openxmlformats.org/officeDocument/2006/relationships/hyperlink" Target="mailto:nishchal.poundrik@ploughmanagro.com" TargetMode="External"/><Relationship Id="rId10" Type="http://schemas.openxmlformats.org/officeDocument/2006/relationships/hyperlink" Target="mailto:nishchal.poundrik@ploughmanagro.com" TargetMode="External"/><Relationship Id="rId19" Type="http://schemas.openxmlformats.org/officeDocument/2006/relationships/hyperlink" Target="mailto:nishchal.poundrik@ploughmanagro.com" TargetMode="External"/><Relationship Id="rId31" Type="http://schemas.openxmlformats.org/officeDocument/2006/relationships/hyperlink" Target="mailto:nishchal.poundrik@ploughmanagro.com" TargetMode="External"/><Relationship Id="rId44" Type="http://schemas.openxmlformats.org/officeDocument/2006/relationships/hyperlink" Target="mailto:nishchal.poundrik@ploughmanagro.com" TargetMode="External"/><Relationship Id="rId4" Type="http://schemas.openxmlformats.org/officeDocument/2006/relationships/hyperlink" Target="mailto:nishchal.poundrik@ploughmanagro.com" TargetMode="External"/><Relationship Id="rId9" Type="http://schemas.openxmlformats.org/officeDocument/2006/relationships/hyperlink" Target="mailto:nishchal.poundrik@ploughmanagro.com" TargetMode="External"/><Relationship Id="rId14" Type="http://schemas.openxmlformats.org/officeDocument/2006/relationships/hyperlink" Target="mailto:nishchal.poundrik@ploughmanagro.com" TargetMode="External"/><Relationship Id="rId22" Type="http://schemas.openxmlformats.org/officeDocument/2006/relationships/hyperlink" Target="mailto:nishchal.poundrik@ploughmanagro.com" TargetMode="External"/><Relationship Id="rId27" Type="http://schemas.openxmlformats.org/officeDocument/2006/relationships/hyperlink" Target="mailto:nishchal.poundrik@ploughmanagro.com" TargetMode="External"/><Relationship Id="rId30" Type="http://schemas.openxmlformats.org/officeDocument/2006/relationships/hyperlink" Target="mailto:nishchal.poundrik@ploughmanagro.com" TargetMode="External"/><Relationship Id="rId35" Type="http://schemas.openxmlformats.org/officeDocument/2006/relationships/hyperlink" Target="mailto:nishchal.poundrik@ploughmanagro.com" TargetMode="External"/><Relationship Id="rId43" Type="http://schemas.openxmlformats.org/officeDocument/2006/relationships/hyperlink" Target="mailto:nishchal.poundrik@ploughmanagro.com" TargetMode="External"/><Relationship Id="rId8" Type="http://schemas.openxmlformats.org/officeDocument/2006/relationships/hyperlink" Target="mailto:nishchal.poundrik@ploughmanagro.com" TargetMode="External"/><Relationship Id="rId3" Type="http://schemas.openxmlformats.org/officeDocument/2006/relationships/hyperlink" Target="mailto:nishchal.poundrik@ploughmanagro.com" TargetMode="External"/><Relationship Id="rId12" Type="http://schemas.openxmlformats.org/officeDocument/2006/relationships/hyperlink" Target="mailto:nishchal.poundrik@ploughmanagro.com" TargetMode="External"/><Relationship Id="rId17" Type="http://schemas.openxmlformats.org/officeDocument/2006/relationships/hyperlink" Target="mailto:nishchal.poundrik@ploughmanagro.com" TargetMode="External"/><Relationship Id="rId25" Type="http://schemas.openxmlformats.org/officeDocument/2006/relationships/hyperlink" Target="mailto:nishchal.poundrik@ploughmanagro.com" TargetMode="External"/><Relationship Id="rId33" Type="http://schemas.openxmlformats.org/officeDocument/2006/relationships/hyperlink" Target="mailto:nishchal.poundrik@ploughmanagro.com" TargetMode="External"/><Relationship Id="rId38" Type="http://schemas.openxmlformats.org/officeDocument/2006/relationships/hyperlink" Target="mailto:nishchal.poundrik@ploughmanagro.com"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anamika.v@ploughmanagro.com" TargetMode="External"/><Relationship Id="rId13" Type="http://schemas.openxmlformats.org/officeDocument/2006/relationships/hyperlink" Target="mailto:anamika.v@ploughmanagro.com" TargetMode="External"/><Relationship Id="rId3" Type="http://schemas.openxmlformats.org/officeDocument/2006/relationships/hyperlink" Target="mailto:anamika.v@ploughmanagro.com" TargetMode="External"/><Relationship Id="rId7" Type="http://schemas.openxmlformats.org/officeDocument/2006/relationships/hyperlink" Target="mailto:anamika.v@ploughmanagro.com" TargetMode="External"/><Relationship Id="rId12" Type="http://schemas.openxmlformats.org/officeDocument/2006/relationships/hyperlink" Target="mailto:anamika.v@ploughmanagro.com" TargetMode="External"/><Relationship Id="rId2" Type="http://schemas.openxmlformats.org/officeDocument/2006/relationships/hyperlink" Target="mailto:anamika.v@ploughmanagro.com" TargetMode="External"/><Relationship Id="rId1" Type="http://schemas.openxmlformats.org/officeDocument/2006/relationships/hyperlink" Target="mailto:anamika.v@ploughmanagro.com" TargetMode="External"/><Relationship Id="rId6" Type="http://schemas.openxmlformats.org/officeDocument/2006/relationships/hyperlink" Target="mailto:anamika.v@ploughmanagro.com" TargetMode="External"/><Relationship Id="rId11" Type="http://schemas.openxmlformats.org/officeDocument/2006/relationships/hyperlink" Target="mailto:anamika.v@ploughmanagro.com" TargetMode="External"/><Relationship Id="rId5" Type="http://schemas.openxmlformats.org/officeDocument/2006/relationships/hyperlink" Target="mailto:anamika.v@ploughmanagro.com" TargetMode="External"/><Relationship Id="rId15" Type="http://schemas.openxmlformats.org/officeDocument/2006/relationships/hyperlink" Target="mailto:anamika.v@ploughmanagro.com" TargetMode="External"/><Relationship Id="rId10" Type="http://schemas.openxmlformats.org/officeDocument/2006/relationships/hyperlink" Target="mailto:anamika.v@ploughmanagro.com" TargetMode="External"/><Relationship Id="rId4" Type="http://schemas.openxmlformats.org/officeDocument/2006/relationships/hyperlink" Target="mailto:anamika.v@ploughmanagro.com" TargetMode="External"/><Relationship Id="rId9" Type="http://schemas.openxmlformats.org/officeDocument/2006/relationships/hyperlink" Target="mailto:anamika.v@ploughmanagro.com" TargetMode="External"/><Relationship Id="rId14" Type="http://schemas.openxmlformats.org/officeDocument/2006/relationships/hyperlink" Target="mailto:anamika.v@ploughmanagro.com"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mis@ploughmanagro.com" TargetMode="External"/><Relationship Id="rId13" Type="http://schemas.openxmlformats.org/officeDocument/2006/relationships/hyperlink" Target="mailto:mis@ploughmanagro.com" TargetMode="External"/><Relationship Id="rId3" Type="http://schemas.openxmlformats.org/officeDocument/2006/relationships/hyperlink" Target="mailto:mis@ploughmanagro.com" TargetMode="External"/><Relationship Id="rId7" Type="http://schemas.openxmlformats.org/officeDocument/2006/relationships/hyperlink" Target="mailto:mis@ploughmanagro.com" TargetMode="External"/><Relationship Id="rId12" Type="http://schemas.openxmlformats.org/officeDocument/2006/relationships/hyperlink" Target="mailto:mis@ploughmanagro.com" TargetMode="External"/><Relationship Id="rId2" Type="http://schemas.openxmlformats.org/officeDocument/2006/relationships/hyperlink" Target="mailto:mis@ploughmanagro.com" TargetMode="External"/><Relationship Id="rId1" Type="http://schemas.openxmlformats.org/officeDocument/2006/relationships/hyperlink" Target="mailto:mis@ploughmanagro.com" TargetMode="External"/><Relationship Id="rId6" Type="http://schemas.openxmlformats.org/officeDocument/2006/relationships/hyperlink" Target="mailto:mis@ploughmanagro.com" TargetMode="External"/><Relationship Id="rId11" Type="http://schemas.openxmlformats.org/officeDocument/2006/relationships/hyperlink" Target="mailto:mis@ploughmanagro.com" TargetMode="External"/><Relationship Id="rId5" Type="http://schemas.openxmlformats.org/officeDocument/2006/relationships/hyperlink" Target="mailto:mis@ploughmanagro.com" TargetMode="External"/><Relationship Id="rId10" Type="http://schemas.openxmlformats.org/officeDocument/2006/relationships/hyperlink" Target="mailto:mis@ploughmanagro.com" TargetMode="External"/><Relationship Id="rId4" Type="http://schemas.openxmlformats.org/officeDocument/2006/relationships/hyperlink" Target="mailto:mis@ploughmanagro.com" TargetMode="External"/><Relationship Id="rId9" Type="http://schemas.openxmlformats.org/officeDocument/2006/relationships/hyperlink" Target="mailto:mis@ploughmanagro.com" TargetMode="External"/><Relationship Id="rId14" Type="http://schemas.openxmlformats.org/officeDocument/2006/relationships/hyperlink" Target="mailto:mis@ploughmanagro.com"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abhishekg.papl20@gmail.com" TargetMode="External"/><Relationship Id="rId3" Type="http://schemas.openxmlformats.org/officeDocument/2006/relationships/hyperlink" Target="mailto:abhishekg.papl20@gmail.com" TargetMode="External"/><Relationship Id="rId7" Type="http://schemas.openxmlformats.org/officeDocument/2006/relationships/hyperlink" Target="mailto:abhishekg.papl20@gmail.com" TargetMode="External"/><Relationship Id="rId2" Type="http://schemas.openxmlformats.org/officeDocument/2006/relationships/hyperlink" Target="mailto:abhishekg.papl20@gmail.com" TargetMode="External"/><Relationship Id="rId1" Type="http://schemas.openxmlformats.org/officeDocument/2006/relationships/hyperlink" Target="mailto:abhishekg.papl20@gmail.com" TargetMode="External"/><Relationship Id="rId6" Type="http://schemas.openxmlformats.org/officeDocument/2006/relationships/hyperlink" Target="mailto:abhishekg.papl20@gmail.com" TargetMode="External"/><Relationship Id="rId11" Type="http://schemas.openxmlformats.org/officeDocument/2006/relationships/hyperlink" Target="mailto:abhishekg.papl20@gmail.com" TargetMode="External"/><Relationship Id="rId5" Type="http://schemas.openxmlformats.org/officeDocument/2006/relationships/hyperlink" Target="mailto:abhishekg.papl20@gmail.com" TargetMode="External"/><Relationship Id="rId10" Type="http://schemas.openxmlformats.org/officeDocument/2006/relationships/hyperlink" Target="mailto:abhishekg.papl20@gmail.com" TargetMode="External"/><Relationship Id="rId4" Type="http://schemas.openxmlformats.org/officeDocument/2006/relationships/hyperlink" Target="mailto:abhishekg.papl20@gmail.com" TargetMode="External"/><Relationship Id="rId9" Type="http://schemas.openxmlformats.org/officeDocument/2006/relationships/hyperlink" Target="mailto:abhishekg.papl20@gmail.com"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mailto:mohit.namdeo@ploughmanagro.com" TargetMode="External"/><Relationship Id="rId3" Type="http://schemas.openxmlformats.org/officeDocument/2006/relationships/hyperlink" Target="mailto:mohit.namdeo@ploughmanagro.com" TargetMode="External"/><Relationship Id="rId7" Type="http://schemas.openxmlformats.org/officeDocument/2006/relationships/hyperlink" Target="mailto:mohit.namdeo@ploughmanagro.com" TargetMode="External"/><Relationship Id="rId12" Type="http://schemas.openxmlformats.org/officeDocument/2006/relationships/hyperlink" Target="mailto:mohit.namdeo@ploughmanagro.com" TargetMode="External"/><Relationship Id="rId2" Type="http://schemas.openxmlformats.org/officeDocument/2006/relationships/hyperlink" Target="mailto:mohit.namdeo@ploughmanagro.com" TargetMode="External"/><Relationship Id="rId1" Type="http://schemas.openxmlformats.org/officeDocument/2006/relationships/hyperlink" Target="mailto:mohit.namdeo@ploughmanagro.com" TargetMode="External"/><Relationship Id="rId6" Type="http://schemas.openxmlformats.org/officeDocument/2006/relationships/hyperlink" Target="mailto:mohit.namdeo@ploughmanagro.com" TargetMode="External"/><Relationship Id="rId11" Type="http://schemas.openxmlformats.org/officeDocument/2006/relationships/hyperlink" Target="mailto:mohit.namdeo@ploughmanagro.com" TargetMode="External"/><Relationship Id="rId5" Type="http://schemas.openxmlformats.org/officeDocument/2006/relationships/hyperlink" Target="mailto:mohit.namdeo@ploughmanagro.com" TargetMode="External"/><Relationship Id="rId10" Type="http://schemas.openxmlformats.org/officeDocument/2006/relationships/hyperlink" Target="mailto:mohit.namdeo@ploughmanagro.com" TargetMode="External"/><Relationship Id="rId4" Type="http://schemas.openxmlformats.org/officeDocument/2006/relationships/hyperlink" Target="mailto:mohit.namdeo@ploughmanagro.com" TargetMode="External"/><Relationship Id="rId9" Type="http://schemas.openxmlformats.org/officeDocument/2006/relationships/hyperlink" Target="mailto:mohit.namdeo@ploughmanagro.com" TargetMode="External"/></Relationships>
</file>

<file path=xl/worksheets/_rels/sheet46.xml.rels><?xml version="1.0" encoding="UTF-8" standalone="yes"?>
<Relationships xmlns="http://schemas.openxmlformats.org/package/2006/relationships"><Relationship Id="rId8" Type="http://schemas.openxmlformats.org/officeDocument/2006/relationships/hyperlink" Target="mailto:ugrasenh.papl20@gmail.com" TargetMode="External"/><Relationship Id="rId3" Type="http://schemas.openxmlformats.org/officeDocument/2006/relationships/hyperlink" Target="mailto:ugrasenh.papl20@gmail.com" TargetMode="External"/><Relationship Id="rId7" Type="http://schemas.openxmlformats.org/officeDocument/2006/relationships/hyperlink" Target="mailto:ugrasenh.papl20@gmail.com" TargetMode="External"/><Relationship Id="rId2" Type="http://schemas.openxmlformats.org/officeDocument/2006/relationships/hyperlink" Target="mailto:ugrasenh.papl20@gmail.com" TargetMode="External"/><Relationship Id="rId1" Type="http://schemas.openxmlformats.org/officeDocument/2006/relationships/hyperlink" Target="mailto:ugrasenh.papl20@gmail.com" TargetMode="External"/><Relationship Id="rId6" Type="http://schemas.openxmlformats.org/officeDocument/2006/relationships/hyperlink" Target="mailto:ugrasenh.papl20@gmail.com" TargetMode="External"/><Relationship Id="rId11" Type="http://schemas.openxmlformats.org/officeDocument/2006/relationships/hyperlink" Target="mailto:ugrasenh.papl20@gmail.com" TargetMode="External"/><Relationship Id="rId5" Type="http://schemas.openxmlformats.org/officeDocument/2006/relationships/hyperlink" Target="mailto:ugrasenh.papl20@gmail.com" TargetMode="External"/><Relationship Id="rId10" Type="http://schemas.openxmlformats.org/officeDocument/2006/relationships/hyperlink" Target="mailto:ugrasenh.papl20@gmail.com" TargetMode="External"/><Relationship Id="rId4" Type="http://schemas.openxmlformats.org/officeDocument/2006/relationships/hyperlink" Target="mailto:ugrasenh.papl20@gmail.com" TargetMode="External"/><Relationship Id="rId9" Type="http://schemas.openxmlformats.org/officeDocument/2006/relationships/hyperlink" Target="mailto:ugrasenh.papl20@gmail.com"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sheshbhanm.papl20@gmail.com" TargetMode="External"/><Relationship Id="rId3" Type="http://schemas.openxmlformats.org/officeDocument/2006/relationships/hyperlink" Target="mailto:sheshbhanm.papl20@gmail.com" TargetMode="External"/><Relationship Id="rId7" Type="http://schemas.openxmlformats.org/officeDocument/2006/relationships/hyperlink" Target="mailto:sheshbhanm.papl20@gmail.com" TargetMode="External"/><Relationship Id="rId2" Type="http://schemas.openxmlformats.org/officeDocument/2006/relationships/hyperlink" Target="mailto:sheshbhanm.papl20@gmail.com" TargetMode="External"/><Relationship Id="rId1" Type="http://schemas.openxmlformats.org/officeDocument/2006/relationships/hyperlink" Target="mailto:sheshbhanm.papl20@gmail.com" TargetMode="External"/><Relationship Id="rId6" Type="http://schemas.openxmlformats.org/officeDocument/2006/relationships/hyperlink" Target="mailto:sheshbhanm.papl20@gmail.com" TargetMode="External"/><Relationship Id="rId11" Type="http://schemas.openxmlformats.org/officeDocument/2006/relationships/hyperlink" Target="mailto:sheshbhanm.papl20@gmail.com" TargetMode="External"/><Relationship Id="rId5" Type="http://schemas.openxmlformats.org/officeDocument/2006/relationships/hyperlink" Target="mailto:sheshbhanm.papl20@gmail.com" TargetMode="External"/><Relationship Id="rId10" Type="http://schemas.openxmlformats.org/officeDocument/2006/relationships/hyperlink" Target="mailto:sheshbhanm.papl20@gmail.com" TargetMode="External"/><Relationship Id="rId4" Type="http://schemas.openxmlformats.org/officeDocument/2006/relationships/hyperlink" Target="mailto:sheshbhanm.papl20@gmail.com" TargetMode="External"/><Relationship Id="rId9" Type="http://schemas.openxmlformats.org/officeDocument/2006/relationships/hyperlink" Target="mailto:sheshbhanm.papl20@gmail.com" TargetMode="External"/></Relationships>
</file>

<file path=xl/worksheets/_rels/sheet48.xml.rels><?xml version="1.0" encoding="UTF-8" standalone="yes"?>
<Relationships xmlns="http://schemas.openxmlformats.org/package/2006/relationships"><Relationship Id="rId8" Type="http://schemas.openxmlformats.org/officeDocument/2006/relationships/hyperlink" Target="mailto:anandk.papl20@gmail.com" TargetMode="External"/><Relationship Id="rId3" Type="http://schemas.openxmlformats.org/officeDocument/2006/relationships/hyperlink" Target="mailto:anandk.papl20@gmail.com" TargetMode="External"/><Relationship Id="rId7" Type="http://schemas.openxmlformats.org/officeDocument/2006/relationships/hyperlink" Target="mailto:anandk.papl20@gmail.com" TargetMode="External"/><Relationship Id="rId2" Type="http://schemas.openxmlformats.org/officeDocument/2006/relationships/hyperlink" Target="mailto:anandk.papl20@gmail.com" TargetMode="External"/><Relationship Id="rId1" Type="http://schemas.openxmlformats.org/officeDocument/2006/relationships/hyperlink" Target="mailto:anandk.papl20@gmail.com" TargetMode="External"/><Relationship Id="rId6" Type="http://schemas.openxmlformats.org/officeDocument/2006/relationships/hyperlink" Target="mailto:anandk.papl20@gmail.com" TargetMode="External"/><Relationship Id="rId11" Type="http://schemas.openxmlformats.org/officeDocument/2006/relationships/hyperlink" Target="mailto:anandk.papl20@gmail.com" TargetMode="External"/><Relationship Id="rId5" Type="http://schemas.openxmlformats.org/officeDocument/2006/relationships/hyperlink" Target="mailto:anandk.papl20@gmail.com" TargetMode="External"/><Relationship Id="rId10" Type="http://schemas.openxmlformats.org/officeDocument/2006/relationships/hyperlink" Target="mailto:anandk.papl20@gmail.com" TargetMode="External"/><Relationship Id="rId4" Type="http://schemas.openxmlformats.org/officeDocument/2006/relationships/hyperlink" Target="mailto:anandk.papl20@gmail.com" TargetMode="External"/><Relationship Id="rId9" Type="http://schemas.openxmlformats.org/officeDocument/2006/relationships/hyperlink" Target="mailto:anandk.papl20@gmail.com"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mailto:ritik.papl20@gmail.com" TargetMode="External"/><Relationship Id="rId3" Type="http://schemas.openxmlformats.org/officeDocument/2006/relationships/hyperlink" Target="mailto:ritik.papl20@gmail.com" TargetMode="External"/><Relationship Id="rId7" Type="http://schemas.openxmlformats.org/officeDocument/2006/relationships/hyperlink" Target="mailto:ritik.papl20@gmail.com" TargetMode="External"/><Relationship Id="rId2" Type="http://schemas.openxmlformats.org/officeDocument/2006/relationships/hyperlink" Target="mailto:ritik.papl20@gmail.com" TargetMode="External"/><Relationship Id="rId1" Type="http://schemas.openxmlformats.org/officeDocument/2006/relationships/hyperlink" Target="mailto:ritik.papl20@gmail.com" TargetMode="External"/><Relationship Id="rId6" Type="http://schemas.openxmlformats.org/officeDocument/2006/relationships/hyperlink" Target="mailto:ritik.papl20@gmail.com" TargetMode="External"/><Relationship Id="rId11" Type="http://schemas.openxmlformats.org/officeDocument/2006/relationships/hyperlink" Target="mailto:ritik.papl20@gmail.com" TargetMode="External"/><Relationship Id="rId5" Type="http://schemas.openxmlformats.org/officeDocument/2006/relationships/hyperlink" Target="mailto:ritik.papl20@gmail.com" TargetMode="External"/><Relationship Id="rId10" Type="http://schemas.openxmlformats.org/officeDocument/2006/relationships/hyperlink" Target="mailto:ritik.papl20@gmail.com" TargetMode="External"/><Relationship Id="rId4" Type="http://schemas.openxmlformats.org/officeDocument/2006/relationships/hyperlink" Target="mailto:ritik.papl20@gmail.com" TargetMode="External"/><Relationship Id="rId9" Type="http://schemas.openxmlformats.org/officeDocument/2006/relationships/hyperlink" Target="mailto:ritik.papl20@gmail.com" TargetMode="External"/></Relationships>
</file>

<file path=xl/worksheets/_rels/sheet50.xml.rels><?xml version="1.0" encoding="UTF-8" standalone="yes"?>
<Relationships xmlns="http://schemas.openxmlformats.org/package/2006/relationships"><Relationship Id="rId8" Type="http://schemas.openxmlformats.org/officeDocument/2006/relationships/hyperlink" Target="mailto:kishank.papl20@gmail.com" TargetMode="External"/><Relationship Id="rId3" Type="http://schemas.openxmlformats.org/officeDocument/2006/relationships/hyperlink" Target="mailto:kishank.papl20@gmail.com" TargetMode="External"/><Relationship Id="rId7" Type="http://schemas.openxmlformats.org/officeDocument/2006/relationships/hyperlink" Target="mailto:kishank.papl20@gmail.com" TargetMode="External"/><Relationship Id="rId2" Type="http://schemas.openxmlformats.org/officeDocument/2006/relationships/hyperlink" Target="mailto:kishank.papl20@gmail.com" TargetMode="External"/><Relationship Id="rId1" Type="http://schemas.openxmlformats.org/officeDocument/2006/relationships/hyperlink" Target="mailto:kishank.papl20@gmail.com" TargetMode="External"/><Relationship Id="rId6" Type="http://schemas.openxmlformats.org/officeDocument/2006/relationships/hyperlink" Target="mailto:kishank.papl20@gmail.com" TargetMode="External"/><Relationship Id="rId11" Type="http://schemas.openxmlformats.org/officeDocument/2006/relationships/hyperlink" Target="mailto:kishank.papl20@gmail.com" TargetMode="External"/><Relationship Id="rId5" Type="http://schemas.openxmlformats.org/officeDocument/2006/relationships/hyperlink" Target="mailto:kishank.papl20@gmail.com" TargetMode="External"/><Relationship Id="rId10" Type="http://schemas.openxmlformats.org/officeDocument/2006/relationships/hyperlink" Target="mailto:kishank.papl20@gmail.com" TargetMode="External"/><Relationship Id="rId4" Type="http://schemas.openxmlformats.org/officeDocument/2006/relationships/hyperlink" Target="mailto:kishank.papl20@gmail.com" TargetMode="External"/><Relationship Id="rId9" Type="http://schemas.openxmlformats.org/officeDocument/2006/relationships/hyperlink" Target="mailto:kishank.papl20@gmail.com" TargetMode="External"/></Relationships>
</file>

<file path=xl/worksheets/_rels/sheet52.xml.rels><?xml version="1.0" encoding="UTF-8" standalone="yes"?>
<Relationships xmlns="http://schemas.openxmlformats.org/package/2006/relationships"><Relationship Id="rId8" Type="http://schemas.openxmlformats.org/officeDocument/2006/relationships/hyperlink" Target="mailto:subhashk.papl20@gmail.com" TargetMode="External"/><Relationship Id="rId3" Type="http://schemas.openxmlformats.org/officeDocument/2006/relationships/hyperlink" Target="mailto:subhashk.papl20@gmail.com" TargetMode="External"/><Relationship Id="rId7" Type="http://schemas.openxmlformats.org/officeDocument/2006/relationships/hyperlink" Target="mailto:subhashk.papl20@gmail.com" TargetMode="External"/><Relationship Id="rId2" Type="http://schemas.openxmlformats.org/officeDocument/2006/relationships/hyperlink" Target="mailto:subhashk.papl20@gmail.com" TargetMode="External"/><Relationship Id="rId1" Type="http://schemas.openxmlformats.org/officeDocument/2006/relationships/hyperlink" Target="mailto:subhashk.papl20@gmail.com" TargetMode="External"/><Relationship Id="rId6" Type="http://schemas.openxmlformats.org/officeDocument/2006/relationships/hyperlink" Target="mailto:subhashk.papl20@gmail.com" TargetMode="External"/><Relationship Id="rId11" Type="http://schemas.openxmlformats.org/officeDocument/2006/relationships/hyperlink" Target="mailto:subhashk.papl20@gmail.com" TargetMode="External"/><Relationship Id="rId5" Type="http://schemas.openxmlformats.org/officeDocument/2006/relationships/hyperlink" Target="mailto:subhashk.papl20@gmail.com" TargetMode="External"/><Relationship Id="rId10" Type="http://schemas.openxmlformats.org/officeDocument/2006/relationships/hyperlink" Target="mailto:subhashk.papl20@gmail.com" TargetMode="External"/><Relationship Id="rId4" Type="http://schemas.openxmlformats.org/officeDocument/2006/relationships/hyperlink" Target="mailto:subhashk.papl20@gmail.com" TargetMode="External"/><Relationship Id="rId9" Type="http://schemas.openxmlformats.org/officeDocument/2006/relationships/hyperlink" Target="mailto:subhashk.papl20@gmail.com"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ankit.papl20@gmail.com" TargetMode="External"/><Relationship Id="rId3" Type="http://schemas.openxmlformats.org/officeDocument/2006/relationships/hyperlink" Target="mailto:ankit.papl20@gmail.com" TargetMode="External"/><Relationship Id="rId7" Type="http://schemas.openxmlformats.org/officeDocument/2006/relationships/hyperlink" Target="mailto:ankit.papl20@gmail.com" TargetMode="External"/><Relationship Id="rId2" Type="http://schemas.openxmlformats.org/officeDocument/2006/relationships/hyperlink" Target="mailto:ankit.papl20@gmail.com" TargetMode="External"/><Relationship Id="rId1" Type="http://schemas.openxmlformats.org/officeDocument/2006/relationships/hyperlink" Target="mailto:ankit.papl20@gmail.com" TargetMode="External"/><Relationship Id="rId6" Type="http://schemas.openxmlformats.org/officeDocument/2006/relationships/hyperlink" Target="mailto:ankit.papl20@gmail.com" TargetMode="External"/><Relationship Id="rId11" Type="http://schemas.openxmlformats.org/officeDocument/2006/relationships/hyperlink" Target="mailto:ankit.papl20@gmail.com" TargetMode="External"/><Relationship Id="rId5" Type="http://schemas.openxmlformats.org/officeDocument/2006/relationships/hyperlink" Target="mailto:ankit.papl20@gmail.com" TargetMode="External"/><Relationship Id="rId10" Type="http://schemas.openxmlformats.org/officeDocument/2006/relationships/hyperlink" Target="mailto:ankit.papl20@gmail.com" TargetMode="External"/><Relationship Id="rId4" Type="http://schemas.openxmlformats.org/officeDocument/2006/relationships/hyperlink" Target="mailto:ankit.papl20@gmail.com" TargetMode="External"/><Relationship Id="rId9" Type="http://schemas.openxmlformats.org/officeDocument/2006/relationships/hyperlink" Target="mailto:ankit.papl20@gmail.com" TargetMode="External"/></Relationships>
</file>

<file path=xl/worksheets/_rels/sheet55.xml.rels><?xml version="1.0" encoding="UTF-8" standalone="yes"?>
<Relationships xmlns="http://schemas.openxmlformats.org/package/2006/relationships"><Relationship Id="rId8" Type="http://schemas.openxmlformats.org/officeDocument/2006/relationships/hyperlink" Target="mailto:rabindra.das@ploughmanagro.com" TargetMode="External"/><Relationship Id="rId13" Type="http://schemas.openxmlformats.org/officeDocument/2006/relationships/hyperlink" Target="mailto:rabindra.das@ploughmanagro.com" TargetMode="External"/><Relationship Id="rId18" Type="http://schemas.openxmlformats.org/officeDocument/2006/relationships/hyperlink" Target="mailto:rabindra.das@ploughmanagro.com" TargetMode="External"/><Relationship Id="rId26" Type="http://schemas.openxmlformats.org/officeDocument/2006/relationships/hyperlink" Target="mailto:rabindra.das@ploughmanagro.com" TargetMode="External"/><Relationship Id="rId3" Type="http://schemas.openxmlformats.org/officeDocument/2006/relationships/hyperlink" Target="mailto:rabindra.das@ploughmanagro.com" TargetMode="External"/><Relationship Id="rId21" Type="http://schemas.openxmlformats.org/officeDocument/2006/relationships/hyperlink" Target="mailto:rabindra.das@ploughmanagro.com" TargetMode="External"/><Relationship Id="rId7" Type="http://schemas.openxmlformats.org/officeDocument/2006/relationships/hyperlink" Target="mailto:rabindra.das@ploughmanagro.com" TargetMode="External"/><Relationship Id="rId12" Type="http://schemas.openxmlformats.org/officeDocument/2006/relationships/hyperlink" Target="mailto:rabindra.das@ploughmanagro.com" TargetMode="External"/><Relationship Id="rId17" Type="http://schemas.openxmlformats.org/officeDocument/2006/relationships/hyperlink" Target="mailto:rabindra.das@ploughmanagro.com" TargetMode="External"/><Relationship Id="rId25" Type="http://schemas.openxmlformats.org/officeDocument/2006/relationships/hyperlink" Target="mailto:rabindra.das@ploughmanagro.com" TargetMode="External"/><Relationship Id="rId2" Type="http://schemas.openxmlformats.org/officeDocument/2006/relationships/hyperlink" Target="mailto:rabindra.das@ploughmanagro.com" TargetMode="External"/><Relationship Id="rId16" Type="http://schemas.openxmlformats.org/officeDocument/2006/relationships/hyperlink" Target="mailto:rabindra.das@ploughmanagro.com" TargetMode="External"/><Relationship Id="rId20" Type="http://schemas.openxmlformats.org/officeDocument/2006/relationships/hyperlink" Target="mailto:rabindra.das@ploughmanagro.com" TargetMode="External"/><Relationship Id="rId29" Type="http://schemas.openxmlformats.org/officeDocument/2006/relationships/hyperlink" Target="mailto:rabindra.das@ploughmanagro.com" TargetMode="External"/><Relationship Id="rId1" Type="http://schemas.openxmlformats.org/officeDocument/2006/relationships/hyperlink" Target="mailto:rabindra.das@ploughmanagro.com" TargetMode="External"/><Relationship Id="rId6" Type="http://schemas.openxmlformats.org/officeDocument/2006/relationships/hyperlink" Target="mailto:rabindra.das@ploughmanagro.com" TargetMode="External"/><Relationship Id="rId11" Type="http://schemas.openxmlformats.org/officeDocument/2006/relationships/hyperlink" Target="mailto:rabindra.das@ploughmanagro.com" TargetMode="External"/><Relationship Id="rId24" Type="http://schemas.openxmlformats.org/officeDocument/2006/relationships/hyperlink" Target="mailto:rabindra.das@ploughmanagro.com" TargetMode="External"/><Relationship Id="rId5" Type="http://schemas.openxmlformats.org/officeDocument/2006/relationships/hyperlink" Target="mailto:rabindra.das@ploughmanagro.com" TargetMode="External"/><Relationship Id="rId15" Type="http://schemas.openxmlformats.org/officeDocument/2006/relationships/hyperlink" Target="mailto:rabindra.das@ploughmanagro.com" TargetMode="External"/><Relationship Id="rId23" Type="http://schemas.openxmlformats.org/officeDocument/2006/relationships/hyperlink" Target="mailto:rabindra.das@ploughmanagro.com" TargetMode="External"/><Relationship Id="rId28" Type="http://schemas.openxmlformats.org/officeDocument/2006/relationships/hyperlink" Target="mailto:rabindra.das@ploughmanagro.com" TargetMode="External"/><Relationship Id="rId10" Type="http://schemas.openxmlformats.org/officeDocument/2006/relationships/hyperlink" Target="mailto:rabindra.das@ploughmanagro.com" TargetMode="External"/><Relationship Id="rId19" Type="http://schemas.openxmlformats.org/officeDocument/2006/relationships/hyperlink" Target="mailto:rabindra.das@ploughmanagro.com" TargetMode="External"/><Relationship Id="rId31" Type="http://schemas.openxmlformats.org/officeDocument/2006/relationships/hyperlink" Target="mailto:rabindra.das@ploughmanagro.com" TargetMode="External"/><Relationship Id="rId4" Type="http://schemas.openxmlformats.org/officeDocument/2006/relationships/hyperlink" Target="mailto:rabindra.das@ploughmanagro.com" TargetMode="External"/><Relationship Id="rId9" Type="http://schemas.openxmlformats.org/officeDocument/2006/relationships/hyperlink" Target="mailto:rabindra.das@ploughmanagro.com" TargetMode="External"/><Relationship Id="rId14" Type="http://schemas.openxmlformats.org/officeDocument/2006/relationships/hyperlink" Target="mailto:rabindra.das@ploughmanagro.com" TargetMode="External"/><Relationship Id="rId22" Type="http://schemas.openxmlformats.org/officeDocument/2006/relationships/hyperlink" Target="mailto:rabindra.das@ploughmanagro.com" TargetMode="External"/><Relationship Id="rId27" Type="http://schemas.openxmlformats.org/officeDocument/2006/relationships/hyperlink" Target="mailto:rabindra.das@ploughmanagro.com" TargetMode="External"/><Relationship Id="rId30" Type="http://schemas.openxmlformats.org/officeDocument/2006/relationships/hyperlink" Target="mailto:rabindra.das@ploughmanagro.com"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sanjay.laveriya@ploughmanagro.com" TargetMode="External"/><Relationship Id="rId13" Type="http://schemas.openxmlformats.org/officeDocument/2006/relationships/hyperlink" Target="mailto:sanjay.laveriya@ploughmanagro.com" TargetMode="External"/><Relationship Id="rId18" Type="http://schemas.openxmlformats.org/officeDocument/2006/relationships/hyperlink" Target="mailto:sanjay.laveriya@ploughmanagro.com" TargetMode="External"/><Relationship Id="rId26" Type="http://schemas.openxmlformats.org/officeDocument/2006/relationships/hyperlink" Target="mailto:sanjay.laveriya@ploughmanagro.com" TargetMode="External"/><Relationship Id="rId3" Type="http://schemas.openxmlformats.org/officeDocument/2006/relationships/hyperlink" Target="mailto:sanjay.laveriya@ploughmanagro.com" TargetMode="External"/><Relationship Id="rId21" Type="http://schemas.openxmlformats.org/officeDocument/2006/relationships/hyperlink" Target="mailto:sanjay.laveriya@ploughmanagro.com" TargetMode="External"/><Relationship Id="rId7" Type="http://schemas.openxmlformats.org/officeDocument/2006/relationships/hyperlink" Target="mailto:sanjay.laveriya@ploughmanagro.com" TargetMode="External"/><Relationship Id="rId12" Type="http://schemas.openxmlformats.org/officeDocument/2006/relationships/hyperlink" Target="mailto:sanjay.laveriya@ploughmanagro.com" TargetMode="External"/><Relationship Id="rId17" Type="http://schemas.openxmlformats.org/officeDocument/2006/relationships/hyperlink" Target="mailto:sanjay.laveriya@ploughmanagro.com" TargetMode="External"/><Relationship Id="rId25" Type="http://schemas.openxmlformats.org/officeDocument/2006/relationships/hyperlink" Target="mailto:sanjay.laveriya@ploughmanagro.com" TargetMode="External"/><Relationship Id="rId2" Type="http://schemas.openxmlformats.org/officeDocument/2006/relationships/hyperlink" Target="mailto:sanjay.laveriya@ploughmanagro.com" TargetMode="External"/><Relationship Id="rId16" Type="http://schemas.openxmlformats.org/officeDocument/2006/relationships/hyperlink" Target="mailto:sanjay.laveriya@ploughmanagro.com" TargetMode="External"/><Relationship Id="rId20" Type="http://schemas.openxmlformats.org/officeDocument/2006/relationships/hyperlink" Target="mailto:sanjay.laveriya@ploughmanagro.com" TargetMode="External"/><Relationship Id="rId1" Type="http://schemas.openxmlformats.org/officeDocument/2006/relationships/hyperlink" Target="mailto:sanjay.laveriya@ploughmanagro.com" TargetMode="External"/><Relationship Id="rId6" Type="http://schemas.openxmlformats.org/officeDocument/2006/relationships/hyperlink" Target="mailto:sanjay.laveriya@ploughmanagro.com" TargetMode="External"/><Relationship Id="rId11" Type="http://schemas.openxmlformats.org/officeDocument/2006/relationships/hyperlink" Target="mailto:sanjay.laveriya@ploughmanagro.com" TargetMode="External"/><Relationship Id="rId24" Type="http://schemas.openxmlformats.org/officeDocument/2006/relationships/hyperlink" Target="mailto:sanjay.laveriya@ploughmanagro.com" TargetMode="External"/><Relationship Id="rId5" Type="http://schemas.openxmlformats.org/officeDocument/2006/relationships/hyperlink" Target="mailto:sanjay.laveriya@ploughmanagro.com" TargetMode="External"/><Relationship Id="rId15" Type="http://schemas.openxmlformats.org/officeDocument/2006/relationships/hyperlink" Target="mailto:sanjay.laveriya@ploughmanagro.com" TargetMode="External"/><Relationship Id="rId23" Type="http://schemas.openxmlformats.org/officeDocument/2006/relationships/hyperlink" Target="mailto:sanjay.laveriya@ploughmanagro.com" TargetMode="External"/><Relationship Id="rId10" Type="http://schemas.openxmlformats.org/officeDocument/2006/relationships/hyperlink" Target="mailto:sanjay.laveriya@ploughmanagro.com" TargetMode="External"/><Relationship Id="rId19" Type="http://schemas.openxmlformats.org/officeDocument/2006/relationships/hyperlink" Target="mailto:sanjay.laveriya@ploughmanagro.com" TargetMode="External"/><Relationship Id="rId4" Type="http://schemas.openxmlformats.org/officeDocument/2006/relationships/hyperlink" Target="mailto:sanjay.laveriya@ploughmanagro.com" TargetMode="External"/><Relationship Id="rId9" Type="http://schemas.openxmlformats.org/officeDocument/2006/relationships/hyperlink" Target="mailto:sanjay.laveriya@ploughmanagro.com" TargetMode="External"/><Relationship Id="rId14" Type="http://schemas.openxmlformats.org/officeDocument/2006/relationships/hyperlink" Target="mailto:sanjay.laveriya@ploughmanagro.com" TargetMode="External"/><Relationship Id="rId22" Type="http://schemas.openxmlformats.org/officeDocument/2006/relationships/hyperlink" Target="mailto:sanjay.laveriya@ploughmanagro.com"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albert.rozario@ploughmanagro.com" TargetMode="External"/><Relationship Id="rId13" Type="http://schemas.openxmlformats.org/officeDocument/2006/relationships/hyperlink" Target="mailto:albert.rozario@ploughmanagro.com" TargetMode="External"/><Relationship Id="rId18" Type="http://schemas.openxmlformats.org/officeDocument/2006/relationships/hyperlink" Target="mailto:albert.rozario@ploughmanagro.com" TargetMode="External"/><Relationship Id="rId3" Type="http://schemas.openxmlformats.org/officeDocument/2006/relationships/hyperlink" Target="mailto:albert.rozario@ploughmanagro.com" TargetMode="External"/><Relationship Id="rId21" Type="http://schemas.microsoft.com/office/2017/10/relationships/threadedComment" Target="../threadedComments/threadedComment2.xml"/><Relationship Id="rId7" Type="http://schemas.openxmlformats.org/officeDocument/2006/relationships/hyperlink" Target="mailto:albert.rozario@ploughmanagro.com" TargetMode="External"/><Relationship Id="rId12" Type="http://schemas.openxmlformats.org/officeDocument/2006/relationships/hyperlink" Target="mailto:albert.rozario@ploughmanagro.com" TargetMode="External"/><Relationship Id="rId17" Type="http://schemas.openxmlformats.org/officeDocument/2006/relationships/hyperlink" Target="mailto:albert.rozario@ploughmanagro.com" TargetMode="External"/><Relationship Id="rId2" Type="http://schemas.openxmlformats.org/officeDocument/2006/relationships/hyperlink" Target="mailto:albert.rozario@ploughmanagro.com" TargetMode="External"/><Relationship Id="rId16" Type="http://schemas.openxmlformats.org/officeDocument/2006/relationships/hyperlink" Target="mailto:albert.rozario@ploughmanagro.com" TargetMode="External"/><Relationship Id="rId20" Type="http://schemas.openxmlformats.org/officeDocument/2006/relationships/comments" Target="../comments2.xml"/><Relationship Id="rId1" Type="http://schemas.openxmlformats.org/officeDocument/2006/relationships/hyperlink" Target="mailto:albert.rozario@ploughmanagro.com" TargetMode="External"/><Relationship Id="rId6" Type="http://schemas.openxmlformats.org/officeDocument/2006/relationships/hyperlink" Target="mailto:albert.rozario@ploughmanagro.com" TargetMode="External"/><Relationship Id="rId11" Type="http://schemas.openxmlformats.org/officeDocument/2006/relationships/hyperlink" Target="mailto:albert.rozario@ploughmanagro.com" TargetMode="External"/><Relationship Id="rId5" Type="http://schemas.openxmlformats.org/officeDocument/2006/relationships/hyperlink" Target="mailto:albert.rozario@ploughmanagro.com" TargetMode="External"/><Relationship Id="rId15" Type="http://schemas.openxmlformats.org/officeDocument/2006/relationships/hyperlink" Target="mailto:albert.rozario@ploughmanagro.com" TargetMode="External"/><Relationship Id="rId10" Type="http://schemas.openxmlformats.org/officeDocument/2006/relationships/hyperlink" Target="mailto:albert.rozario@ploughmanagro.com" TargetMode="External"/><Relationship Id="rId19" Type="http://schemas.openxmlformats.org/officeDocument/2006/relationships/vmlDrawing" Target="../drawings/vmlDrawing2.vml"/><Relationship Id="rId4" Type="http://schemas.openxmlformats.org/officeDocument/2006/relationships/hyperlink" Target="mailto:albert.rozario@ploughmanagro.com" TargetMode="External"/><Relationship Id="rId9" Type="http://schemas.openxmlformats.org/officeDocument/2006/relationships/hyperlink" Target="mailto:albert.rozario@ploughmanagro.com" TargetMode="External"/><Relationship Id="rId14" Type="http://schemas.openxmlformats.org/officeDocument/2006/relationships/hyperlink" Target="mailto:albert.rozario@ploughmanagro.com"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anish.agnihotri@ploughmanagro.com" TargetMode="External"/><Relationship Id="rId3" Type="http://schemas.openxmlformats.org/officeDocument/2006/relationships/hyperlink" Target="mailto:anish.agnihotri@ploughmanagro.com" TargetMode="External"/><Relationship Id="rId7" Type="http://schemas.openxmlformats.org/officeDocument/2006/relationships/hyperlink" Target="mailto:anish.agnihotri@ploughmanagro.com" TargetMode="External"/><Relationship Id="rId2" Type="http://schemas.openxmlformats.org/officeDocument/2006/relationships/hyperlink" Target="mailto:anish.agnihotri@ploughmanagro.com" TargetMode="External"/><Relationship Id="rId1" Type="http://schemas.openxmlformats.org/officeDocument/2006/relationships/hyperlink" Target="mailto:anish.agnihotri@ploughmanagro.com" TargetMode="External"/><Relationship Id="rId6" Type="http://schemas.openxmlformats.org/officeDocument/2006/relationships/hyperlink" Target="mailto:anish.agnihotri@ploughmanagro.com" TargetMode="External"/><Relationship Id="rId11" Type="http://schemas.openxmlformats.org/officeDocument/2006/relationships/hyperlink" Target="mailto:anish.agnihotri@ploughmanagro.com" TargetMode="External"/><Relationship Id="rId5" Type="http://schemas.openxmlformats.org/officeDocument/2006/relationships/hyperlink" Target="mailto:anish.agnihotri@ploughmanagro.com" TargetMode="External"/><Relationship Id="rId10" Type="http://schemas.openxmlformats.org/officeDocument/2006/relationships/hyperlink" Target="mailto:anish.agnihotri@ploughmanagro.com" TargetMode="External"/><Relationship Id="rId4" Type="http://schemas.openxmlformats.org/officeDocument/2006/relationships/hyperlink" Target="mailto:anish.agnihotri@ploughmanagro.com" TargetMode="External"/><Relationship Id="rId9" Type="http://schemas.openxmlformats.org/officeDocument/2006/relationships/hyperlink" Target="mailto:anish.agnihotri@ploughmanagr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8C475-0DC5-4223-9C6E-77BE2C75E17B}">
  <dimension ref="A1:AC18"/>
  <sheetViews>
    <sheetView workbookViewId="0">
      <selection activeCell="F2" sqref="F2"/>
    </sheetView>
  </sheetViews>
  <sheetFormatPr defaultColWidth="9.5546875" defaultRowHeight="13.8" x14ac:dyDescent="0.25"/>
  <cols>
    <col min="1" max="1" width="15.6640625" style="34" customWidth="1"/>
    <col min="2" max="2" width="15.109375" style="34" bestFit="1" customWidth="1"/>
    <col min="3" max="3" width="32.6640625" style="34" bestFit="1" customWidth="1"/>
    <col min="4" max="4" width="11.88671875" style="34" customWidth="1"/>
    <col min="5" max="5" width="8.77734375" style="34" customWidth="1"/>
    <col min="6" max="6" width="10.88671875" style="34" customWidth="1"/>
    <col min="7" max="7" width="16.33203125" style="34" customWidth="1"/>
    <col min="8" max="8" width="8.88671875" style="34" bestFit="1" customWidth="1"/>
    <col min="9" max="9" width="14.21875" style="34" customWidth="1"/>
    <col min="10" max="13" width="10.88671875" style="34" bestFit="1" customWidth="1"/>
    <col min="14" max="14" width="13.33203125" style="34" bestFit="1" customWidth="1"/>
    <col min="15" max="15" width="149.33203125" style="34" bestFit="1" customWidth="1"/>
    <col min="16" max="16" width="21.77734375" style="34" bestFit="1" customWidth="1"/>
    <col min="17" max="17" width="14.109375" style="34" bestFit="1" customWidth="1"/>
    <col min="18" max="20" width="10" style="34" customWidth="1"/>
    <col min="21" max="21" width="9.44140625" style="34" customWidth="1"/>
    <col min="22" max="16384" width="9.5546875" style="34"/>
  </cols>
  <sheetData>
    <row r="1" spans="1:29" s="53" customFormat="1" ht="26.4" x14ac:dyDescent="0.25">
      <c r="A1" s="28" t="s">
        <v>123</v>
      </c>
      <c r="B1" s="30" t="s">
        <v>1</v>
      </c>
      <c r="C1" s="28" t="s">
        <v>2</v>
      </c>
      <c r="D1" s="30" t="s">
        <v>3</v>
      </c>
      <c r="E1" s="28" t="s">
        <v>4</v>
      </c>
      <c r="F1" s="28" t="s">
        <v>5</v>
      </c>
      <c r="G1" s="28" t="s">
        <v>6</v>
      </c>
      <c r="H1" s="28" t="s">
        <v>7</v>
      </c>
      <c r="I1" s="30" t="s">
        <v>8</v>
      </c>
      <c r="J1" s="28" t="s">
        <v>9</v>
      </c>
      <c r="K1" s="28" t="s">
        <v>10</v>
      </c>
      <c r="L1" s="28" t="s">
        <v>126</v>
      </c>
      <c r="M1" s="28" t="s">
        <v>127</v>
      </c>
      <c r="N1" s="28"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38">
        <v>7024101166</v>
      </c>
      <c r="B2" s="12" t="s">
        <v>184</v>
      </c>
      <c r="C2" s="43" t="s">
        <v>183</v>
      </c>
      <c r="D2" s="12" t="s">
        <v>185</v>
      </c>
      <c r="E2" s="12" t="s">
        <v>26</v>
      </c>
      <c r="F2" s="56" t="s">
        <v>59</v>
      </c>
      <c r="G2" s="54" t="s">
        <v>186</v>
      </c>
      <c r="H2" s="12" t="s">
        <v>13</v>
      </c>
      <c r="I2" s="12" t="s">
        <v>14</v>
      </c>
      <c r="J2" s="12"/>
      <c r="K2" s="12"/>
      <c r="L2" s="12"/>
      <c r="M2" s="12"/>
      <c r="N2" s="12" t="s">
        <v>16</v>
      </c>
      <c r="O2" s="13" t="s">
        <v>188</v>
      </c>
      <c r="P2" s="39" t="s">
        <v>21</v>
      </c>
      <c r="Q2" s="152">
        <v>1</v>
      </c>
      <c r="R2" s="56">
        <v>0</v>
      </c>
      <c r="S2" s="56">
        <v>0</v>
      </c>
      <c r="T2" s="56">
        <v>0</v>
      </c>
      <c r="U2" s="56">
        <v>0</v>
      </c>
      <c r="V2" s="152">
        <v>1</v>
      </c>
      <c r="W2" s="56">
        <v>0</v>
      </c>
      <c r="X2" s="56">
        <v>0</v>
      </c>
      <c r="Y2" s="56">
        <v>0</v>
      </c>
      <c r="Z2" s="56">
        <v>0</v>
      </c>
      <c r="AA2" s="56">
        <v>0</v>
      </c>
      <c r="AB2" s="56">
        <v>0</v>
      </c>
      <c r="AC2" s="56">
        <v>0</v>
      </c>
    </row>
    <row r="3" spans="1:29" ht="19.95" customHeight="1" x14ac:dyDescent="0.25">
      <c r="A3" s="38">
        <v>7024101166</v>
      </c>
      <c r="B3" s="12" t="s">
        <v>184</v>
      </c>
      <c r="C3" s="43" t="s">
        <v>183</v>
      </c>
      <c r="D3" s="12" t="s">
        <v>185</v>
      </c>
      <c r="E3" s="12" t="s">
        <v>26</v>
      </c>
      <c r="F3" s="56" t="s">
        <v>59</v>
      </c>
      <c r="G3" s="54" t="s">
        <v>186</v>
      </c>
      <c r="H3" s="12" t="s">
        <v>13</v>
      </c>
      <c r="I3" s="12" t="s">
        <v>14</v>
      </c>
      <c r="J3" s="12"/>
      <c r="K3" s="12"/>
      <c r="L3" s="12"/>
      <c r="M3" s="12"/>
      <c r="N3" s="12" t="s">
        <v>16</v>
      </c>
      <c r="O3" s="13" t="s">
        <v>187</v>
      </c>
      <c r="P3" s="39" t="s">
        <v>171</v>
      </c>
      <c r="Q3" s="55">
        <v>1</v>
      </c>
      <c r="R3" s="56">
        <v>0</v>
      </c>
      <c r="S3" s="56">
        <v>0</v>
      </c>
      <c r="T3" s="56">
        <v>0</v>
      </c>
      <c r="U3" s="56">
        <v>0</v>
      </c>
      <c r="V3" s="56">
        <v>1</v>
      </c>
      <c r="W3" s="56">
        <v>0</v>
      </c>
      <c r="X3" s="56">
        <v>0</v>
      </c>
      <c r="Y3" s="56">
        <v>0</v>
      </c>
      <c r="Z3" s="56">
        <v>0</v>
      </c>
      <c r="AA3" s="56">
        <v>0</v>
      </c>
      <c r="AB3" s="56">
        <v>0</v>
      </c>
      <c r="AC3" s="56">
        <v>0</v>
      </c>
    </row>
    <row r="4" spans="1:29" ht="19.95" customHeight="1" x14ac:dyDescent="0.25">
      <c r="A4" s="38">
        <v>7024101166</v>
      </c>
      <c r="B4" s="12" t="s">
        <v>184</v>
      </c>
      <c r="C4" s="43" t="s">
        <v>183</v>
      </c>
      <c r="D4" s="12" t="s">
        <v>185</v>
      </c>
      <c r="E4" s="12" t="s">
        <v>26</v>
      </c>
      <c r="F4" s="56" t="s">
        <v>59</v>
      </c>
      <c r="G4" s="54" t="s">
        <v>186</v>
      </c>
      <c r="H4" s="12" t="s">
        <v>13</v>
      </c>
      <c r="I4" s="12" t="s">
        <v>14</v>
      </c>
      <c r="J4" s="12"/>
      <c r="K4" s="12"/>
      <c r="L4" s="12"/>
      <c r="M4" s="12"/>
      <c r="N4" s="12" t="s">
        <v>16</v>
      </c>
      <c r="O4" s="13" t="s">
        <v>189</v>
      </c>
      <c r="P4" s="39" t="s">
        <v>171</v>
      </c>
      <c r="Q4" s="55">
        <v>1</v>
      </c>
      <c r="R4" s="56">
        <v>0</v>
      </c>
      <c r="S4" s="56">
        <v>0</v>
      </c>
      <c r="T4" s="56">
        <v>0</v>
      </c>
      <c r="U4" s="56">
        <v>0</v>
      </c>
      <c r="V4" s="56">
        <v>0</v>
      </c>
      <c r="W4" s="56">
        <v>1</v>
      </c>
      <c r="X4" s="56">
        <v>0</v>
      </c>
      <c r="Y4" s="56">
        <v>0</v>
      </c>
      <c r="Z4" s="56">
        <v>0</v>
      </c>
      <c r="AA4" s="56">
        <v>0</v>
      </c>
      <c r="AB4" s="56">
        <v>0</v>
      </c>
      <c r="AC4" s="56">
        <v>0</v>
      </c>
    </row>
    <row r="5" spans="1:29" ht="19.95" customHeight="1" x14ac:dyDescent="0.25">
      <c r="A5" s="38">
        <v>7024101166</v>
      </c>
      <c r="B5" s="12" t="s">
        <v>184</v>
      </c>
      <c r="C5" s="43" t="s">
        <v>183</v>
      </c>
      <c r="D5" s="12" t="s">
        <v>185</v>
      </c>
      <c r="E5" s="12" t="s">
        <v>26</v>
      </c>
      <c r="F5" s="56" t="s">
        <v>59</v>
      </c>
      <c r="G5" s="54" t="s">
        <v>186</v>
      </c>
      <c r="H5" s="12" t="s">
        <v>13</v>
      </c>
      <c r="I5" s="12" t="s">
        <v>14</v>
      </c>
      <c r="J5" s="12"/>
      <c r="K5" s="12"/>
      <c r="L5" s="12"/>
      <c r="M5" s="12"/>
      <c r="N5" s="12" t="s">
        <v>16</v>
      </c>
      <c r="O5" s="13" t="s">
        <v>175</v>
      </c>
      <c r="P5" s="39" t="s">
        <v>171</v>
      </c>
      <c r="Q5" s="55">
        <v>7</v>
      </c>
      <c r="R5" s="56">
        <v>0</v>
      </c>
      <c r="S5" s="56">
        <v>0</v>
      </c>
      <c r="T5" s="56">
        <v>0</v>
      </c>
      <c r="U5" s="56">
        <v>0</v>
      </c>
      <c r="V5" s="56">
        <v>0</v>
      </c>
      <c r="W5" s="56">
        <v>7</v>
      </c>
      <c r="X5" s="56">
        <v>0</v>
      </c>
      <c r="Y5" s="56">
        <v>0</v>
      </c>
      <c r="Z5" s="56">
        <v>0</v>
      </c>
      <c r="AA5" s="56">
        <v>0</v>
      </c>
      <c r="AB5" s="56">
        <v>0</v>
      </c>
      <c r="AC5" s="56">
        <v>0</v>
      </c>
    </row>
    <row r="6" spans="1:29" ht="19.95" customHeight="1" x14ac:dyDescent="0.25">
      <c r="A6" s="38">
        <v>7024101166</v>
      </c>
      <c r="B6" s="12" t="s">
        <v>184</v>
      </c>
      <c r="C6" s="43" t="s">
        <v>183</v>
      </c>
      <c r="D6" s="12" t="s">
        <v>185</v>
      </c>
      <c r="E6" s="12" t="s">
        <v>26</v>
      </c>
      <c r="F6" s="56" t="s">
        <v>59</v>
      </c>
      <c r="G6" s="54" t="s">
        <v>186</v>
      </c>
      <c r="H6" s="12" t="s">
        <v>13</v>
      </c>
      <c r="I6" s="12" t="s">
        <v>14</v>
      </c>
      <c r="J6" s="12"/>
      <c r="K6" s="12"/>
      <c r="L6" s="12"/>
      <c r="M6" s="12"/>
      <c r="N6" s="12" t="s">
        <v>16</v>
      </c>
      <c r="O6" s="13" t="s">
        <v>172</v>
      </c>
      <c r="P6" s="39" t="s">
        <v>171</v>
      </c>
      <c r="Q6" s="55">
        <v>1</v>
      </c>
      <c r="R6" s="56">
        <v>0</v>
      </c>
      <c r="S6" s="56">
        <v>0</v>
      </c>
      <c r="T6" s="56">
        <v>0</v>
      </c>
      <c r="U6" s="56">
        <v>0</v>
      </c>
      <c r="V6" s="56">
        <v>1</v>
      </c>
      <c r="W6" s="56">
        <v>0</v>
      </c>
      <c r="X6" s="56">
        <v>0</v>
      </c>
      <c r="Y6" s="56">
        <v>0</v>
      </c>
      <c r="Z6" s="56">
        <v>0</v>
      </c>
      <c r="AA6" s="56">
        <v>0</v>
      </c>
      <c r="AB6" s="56">
        <v>0</v>
      </c>
      <c r="AC6" s="56">
        <v>0</v>
      </c>
    </row>
    <row r="7" spans="1:29" ht="19.95" customHeight="1" x14ac:dyDescent="0.25">
      <c r="A7" s="38">
        <v>7024101166</v>
      </c>
      <c r="B7" s="12" t="s">
        <v>184</v>
      </c>
      <c r="C7" s="43" t="s">
        <v>183</v>
      </c>
      <c r="D7" s="12" t="s">
        <v>185</v>
      </c>
      <c r="E7" s="12" t="s">
        <v>26</v>
      </c>
      <c r="F7" s="56" t="s">
        <v>59</v>
      </c>
      <c r="G7" s="54" t="s">
        <v>186</v>
      </c>
      <c r="H7" s="12" t="s">
        <v>13</v>
      </c>
      <c r="I7" s="12" t="s">
        <v>14</v>
      </c>
      <c r="J7" s="12"/>
      <c r="K7" s="12"/>
      <c r="L7" s="12"/>
      <c r="M7" s="12"/>
      <c r="N7" s="12" t="s">
        <v>16</v>
      </c>
      <c r="O7" s="13" t="s">
        <v>192</v>
      </c>
      <c r="P7" s="39" t="s">
        <v>171</v>
      </c>
      <c r="Q7" s="55">
        <v>1</v>
      </c>
      <c r="R7" s="56">
        <v>0</v>
      </c>
      <c r="S7" s="56">
        <v>0</v>
      </c>
      <c r="T7" s="56">
        <v>0</v>
      </c>
      <c r="U7" s="56">
        <v>0</v>
      </c>
      <c r="V7" s="56">
        <v>0</v>
      </c>
      <c r="W7" s="56">
        <v>1</v>
      </c>
      <c r="X7" s="56">
        <v>0</v>
      </c>
      <c r="Y7" s="56">
        <v>0</v>
      </c>
      <c r="Z7" s="56">
        <v>0</v>
      </c>
      <c r="AA7" s="56">
        <v>0</v>
      </c>
      <c r="AB7" s="56">
        <v>0</v>
      </c>
      <c r="AC7" s="56">
        <v>0</v>
      </c>
    </row>
    <row r="8" spans="1:29" ht="19.95" customHeight="1" x14ac:dyDescent="0.25">
      <c r="A8" s="38">
        <v>7024101166</v>
      </c>
      <c r="B8" s="12" t="s">
        <v>184</v>
      </c>
      <c r="C8" s="43" t="s">
        <v>183</v>
      </c>
      <c r="D8" s="12" t="s">
        <v>185</v>
      </c>
      <c r="E8" s="12" t="s">
        <v>26</v>
      </c>
      <c r="F8" s="56" t="s">
        <v>59</v>
      </c>
      <c r="G8" s="54" t="s">
        <v>186</v>
      </c>
      <c r="H8" s="12" t="s">
        <v>13</v>
      </c>
      <c r="I8" s="12" t="s">
        <v>14</v>
      </c>
      <c r="J8" s="12"/>
      <c r="K8" s="12"/>
      <c r="L8" s="12"/>
      <c r="M8" s="12"/>
      <c r="N8" s="12" t="s">
        <v>16</v>
      </c>
      <c r="O8" s="13" t="s">
        <v>191</v>
      </c>
      <c r="P8" s="39" t="s">
        <v>171</v>
      </c>
      <c r="Q8" s="55">
        <v>15</v>
      </c>
      <c r="R8" s="56">
        <v>0</v>
      </c>
      <c r="S8" s="56">
        <v>0</v>
      </c>
      <c r="T8" s="56">
        <v>0</v>
      </c>
      <c r="U8" s="56">
        <v>0</v>
      </c>
      <c r="V8" s="56">
        <v>0</v>
      </c>
      <c r="W8" s="56">
        <v>9</v>
      </c>
      <c r="X8" s="56">
        <v>6</v>
      </c>
      <c r="Y8" s="56">
        <v>0</v>
      </c>
      <c r="Z8" s="56">
        <v>0</v>
      </c>
      <c r="AA8" s="56">
        <v>0</v>
      </c>
      <c r="AB8" s="56">
        <v>0</v>
      </c>
      <c r="AC8" s="56">
        <v>0</v>
      </c>
    </row>
    <row r="9" spans="1:29" ht="19.95" customHeight="1" x14ac:dyDescent="0.25">
      <c r="A9" s="38">
        <v>7024101166</v>
      </c>
      <c r="B9" s="12" t="s">
        <v>184</v>
      </c>
      <c r="C9" s="43" t="s">
        <v>183</v>
      </c>
      <c r="D9" s="12" t="s">
        <v>185</v>
      </c>
      <c r="E9" s="12" t="s">
        <v>26</v>
      </c>
      <c r="F9" s="56" t="s">
        <v>59</v>
      </c>
      <c r="G9" s="54" t="s">
        <v>186</v>
      </c>
      <c r="H9" s="12" t="s">
        <v>13</v>
      </c>
      <c r="I9" s="12" t="s">
        <v>14</v>
      </c>
      <c r="J9" s="12"/>
      <c r="K9" s="12"/>
      <c r="L9" s="12"/>
      <c r="M9" s="12"/>
      <c r="N9" s="12" t="s">
        <v>16</v>
      </c>
      <c r="O9" s="13" t="s">
        <v>190</v>
      </c>
      <c r="P9" s="39" t="s">
        <v>171</v>
      </c>
      <c r="Q9" s="55">
        <v>6</v>
      </c>
      <c r="R9" s="56">
        <v>0</v>
      </c>
      <c r="S9" s="56">
        <v>0</v>
      </c>
      <c r="T9" s="56">
        <v>0</v>
      </c>
      <c r="U9" s="56">
        <v>0</v>
      </c>
      <c r="V9" s="56">
        <v>0</v>
      </c>
      <c r="W9" s="56">
        <v>3</v>
      </c>
      <c r="X9" s="56">
        <v>3</v>
      </c>
      <c r="Y9" s="56">
        <v>0</v>
      </c>
      <c r="Z9" s="56">
        <v>0</v>
      </c>
      <c r="AA9" s="56">
        <v>0</v>
      </c>
      <c r="AB9" s="56">
        <v>0</v>
      </c>
      <c r="AC9" s="56">
        <v>0</v>
      </c>
    </row>
    <row r="10" spans="1:29" ht="19.95" customHeight="1" x14ac:dyDescent="0.25">
      <c r="A10" s="38">
        <v>7024101166</v>
      </c>
      <c r="B10" s="12" t="s">
        <v>184</v>
      </c>
      <c r="C10" s="43" t="s">
        <v>183</v>
      </c>
      <c r="D10" s="12" t="s">
        <v>185</v>
      </c>
      <c r="E10" s="12" t="s">
        <v>26</v>
      </c>
      <c r="F10" s="56" t="s">
        <v>59</v>
      </c>
      <c r="G10" s="54" t="s">
        <v>186</v>
      </c>
      <c r="H10" s="12" t="s">
        <v>13</v>
      </c>
      <c r="I10" s="12" t="s">
        <v>14</v>
      </c>
      <c r="J10" s="12"/>
      <c r="K10" s="12"/>
      <c r="L10" s="12"/>
      <c r="M10" s="12"/>
      <c r="N10" s="12" t="s">
        <v>16</v>
      </c>
      <c r="O10" s="13" t="s">
        <v>194</v>
      </c>
      <c r="P10" s="39" t="s">
        <v>171</v>
      </c>
      <c r="Q10" s="55">
        <v>2</v>
      </c>
      <c r="R10" s="56">
        <v>0</v>
      </c>
      <c r="S10" s="56">
        <v>0</v>
      </c>
      <c r="T10" s="56">
        <v>0</v>
      </c>
      <c r="U10" s="56">
        <v>0</v>
      </c>
      <c r="V10" s="56">
        <v>0</v>
      </c>
      <c r="W10" s="56">
        <v>0</v>
      </c>
      <c r="X10" s="56">
        <v>2</v>
      </c>
      <c r="Y10" s="56">
        <v>0</v>
      </c>
      <c r="Z10" s="56">
        <v>0</v>
      </c>
      <c r="AA10" s="56">
        <v>0</v>
      </c>
      <c r="AB10" s="56">
        <v>0</v>
      </c>
      <c r="AC10" s="56">
        <v>0</v>
      </c>
    </row>
    <row r="11" spans="1:29" ht="19.95" customHeight="1" x14ac:dyDescent="0.25">
      <c r="A11" s="38">
        <v>7024101166</v>
      </c>
      <c r="B11" s="12" t="s">
        <v>184</v>
      </c>
      <c r="C11" s="43" t="s">
        <v>183</v>
      </c>
      <c r="D11" s="12" t="s">
        <v>185</v>
      </c>
      <c r="E11" s="12" t="s">
        <v>26</v>
      </c>
      <c r="F11" s="56" t="s">
        <v>59</v>
      </c>
      <c r="G11" s="54" t="s">
        <v>186</v>
      </c>
      <c r="H11" s="12" t="s">
        <v>13</v>
      </c>
      <c r="I11" s="12" t="s">
        <v>14</v>
      </c>
      <c r="J11" s="12"/>
      <c r="K11" s="12"/>
      <c r="L11" s="12"/>
      <c r="M11" s="12"/>
      <c r="N11" s="12" t="s">
        <v>16</v>
      </c>
      <c r="O11" s="13" t="s">
        <v>193</v>
      </c>
      <c r="P11" s="39" t="s">
        <v>171</v>
      </c>
      <c r="Q11" s="55">
        <v>6</v>
      </c>
      <c r="R11" s="56">
        <v>0</v>
      </c>
      <c r="S11" s="56">
        <v>0</v>
      </c>
      <c r="T11" s="56">
        <v>0</v>
      </c>
      <c r="U11" s="56">
        <v>0</v>
      </c>
      <c r="V11" s="56">
        <v>0</v>
      </c>
      <c r="W11" s="56">
        <v>3</v>
      </c>
      <c r="X11" s="56">
        <v>3</v>
      </c>
      <c r="Y11" s="56">
        <v>0</v>
      </c>
      <c r="Z11" s="56">
        <v>0</v>
      </c>
      <c r="AA11" s="56">
        <v>0</v>
      </c>
      <c r="AB11" s="56">
        <v>0</v>
      </c>
      <c r="AC11" s="56">
        <v>0</v>
      </c>
    </row>
    <row r="12" spans="1:29" ht="19.95" customHeight="1" x14ac:dyDescent="0.25">
      <c r="A12" s="38">
        <v>7024101166</v>
      </c>
      <c r="B12" s="12" t="s">
        <v>184</v>
      </c>
      <c r="C12" s="43" t="s">
        <v>183</v>
      </c>
      <c r="D12" s="12" t="s">
        <v>185</v>
      </c>
      <c r="E12" s="12" t="s">
        <v>26</v>
      </c>
      <c r="F12" s="56" t="s">
        <v>59</v>
      </c>
      <c r="G12" s="54" t="s">
        <v>186</v>
      </c>
      <c r="H12" s="12" t="s">
        <v>13</v>
      </c>
      <c r="I12" s="12" t="s">
        <v>14</v>
      </c>
      <c r="J12" s="12"/>
      <c r="K12" s="12"/>
      <c r="L12" s="12"/>
      <c r="M12" s="12"/>
      <c r="N12" s="12" t="s">
        <v>16</v>
      </c>
      <c r="O12" s="13" t="s">
        <v>176</v>
      </c>
      <c r="P12" s="39" t="s">
        <v>171</v>
      </c>
      <c r="Q12" s="55">
        <v>12</v>
      </c>
      <c r="R12" s="56">
        <v>0</v>
      </c>
      <c r="S12" s="56">
        <v>0</v>
      </c>
      <c r="T12" s="56">
        <v>0</v>
      </c>
      <c r="U12" s="56">
        <v>0</v>
      </c>
      <c r="V12" s="56">
        <v>0</v>
      </c>
      <c r="W12" s="56">
        <v>6</v>
      </c>
      <c r="X12" s="56">
        <v>6</v>
      </c>
      <c r="Y12" s="56">
        <v>0</v>
      </c>
      <c r="Z12" s="56">
        <v>0</v>
      </c>
      <c r="AA12" s="56">
        <v>0</v>
      </c>
      <c r="AB12" s="56">
        <v>0</v>
      </c>
      <c r="AC12" s="56">
        <v>0</v>
      </c>
    </row>
    <row r="13" spans="1:29" ht="19.95" customHeight="1" x14ac:dyDescent="0.25">
      <c r="A13" s="38">
        <v>7024101166</v>
      </c>
      <c r="B13" s="12" t="s">
        <v>184</v>
      </c>
      <c r="C13" s="43" t="s">
        <v>183</v>
      </c>
      <c r="D13" s="12" t="s">
        <v>185</v>
      </c>
      <c r="E13" s="12" t="s">
        <v>26</v>
      </c>
      <c r="F13" s="56" t="s">
        <v>59</v>
      </c>
      <c r="G13" s="54" t="s">
        <v>186</v>
      </c>
      <c r="H13" s="12" t="s">
        <v>13</v>
      </c>
      <c r="I13" s="12" t="s">
        <v>14</v>
      </c>
      <c r="J13" s="12"/>
      <c r="K13" s="12"/>
      <c r="L13" s="12"/>
      <c r="M13" s="12"/>
      <c r="N13" s="12" t="s">
        <v>16</v>
      </c>
      <c r="O13" s="13" t="s">
        <v>177</v>
      </c>
      <c r="P13" s="39" t="s">
        <v>173</v>
      </c>
      <c r="Q13" s="55">
        <v>20000</v>
      </c>
      <c r="R13" s="56">
        <v>0</v>
      </c>
      <c r="S13" s="56">
        <v>0</v>
      </c>
      <c r="T13" s="56">
        <v>0</v>
      </c>
      <c r="U13" s="56">
        <v>0</v>
      </c>
      <c r="V13" s="56">
        <v>0</v>
      </c>
      <c r="W13" s="56">
        <v>0</v>
      </c>
      <c r="X13" s="56">
        <v>500</v>
      </c>
      <c r="Y13" s="56">
        <v>5000</v>
      </c>
      <c r="Z13" s="56">
        <v>6000</v>
      </c>
      <c r="AA13" s="56">
        <v>6000</v>
      </c>
      <c r="AB13" s="56">
        <v>2500</v>
      </c>
      <c r="AC13" s="56">
        <v>0</v>
      </c>
    </row>
    <row r="14" spans="1:29" ht="19.95" customHeight="1" x14ac:dyDescent="0.25">
      <c r="A14" s="38">
        <v>7024101166</v>
      </c>
      <c r="B14" s="12" t="s">
        <v>184</v>
      </c>
      <c r="C14" s="43" t="s">
        <v>183</v>
      </c>
      <c r="D14" s="12" t="s">
        <v>185</v>
      </c>
      <c r="E14" s="12" t="s">
        <v>26</v>
      </c>
      <c r="F14" s="56" t="s">
        <v>59</v>
      </c>
      <c r="G14" s="54" t="s">
        <v>186</v>
      </c>
      <c r="H14" s="12" t="s">
        <v>13</v>
      </c>
      <c r="I14" s="12" t="s">
        <v>14</v>
      </c>
      <c r="J14" s="12"/>
      <c r="K14" s="12"/>
      <c r="L14" s="12"/>
      <c r="M14" s="12"/>
      <c r="N14" s="12" t="s">
        <v>16</v>
      </c>
      <c r="O14" s="13" t="s">
        <v>178</v>
      </c>
      <c r="P14" s="39" t="s">
        <v>174</v>
      </c>
      <c r="Q14" s="56">
        <v>28750</v>
      </c>
      <c r="R14" s="56">
        <v>0</v>
      </c>
      <c r="S14" s="56">
        <v>0</v>
      </c>
      <c r="T14" s="56">
        <v>28750</v>
      </c>
      <c r="U14" s="56">
        <v>0</v>
      </c>
      <c r="V14" s="56">
        <v>0</v>
      </c>
      <c r="W14" s="56">
        <v>0</v>
      </c>
      <c r="X14" s="56">
        <v>0</v>
      </c>
      <c r="Y14" s="56">
        <v>0</v>
      </c>
      <c r="Z14" s="56">
        <v>0</v>
      </c>
      <c r="AA14" s="56">
        <v>0</v>
      </c>
      <c r="AB14" s="56">
        <v>0</v>
      </c>
      <c r="AC14" s="56">
        <v>0</v>
      </c>
    </row>
    <row r="15" spans="1:29" ht="19.95" customHeight="1" x14ac:dyDescent="0.25">
      <c r="A15" s="38">
        <v>7024101166</v>
      </c>
      <c r="B15" s="12" t="s">
        <v>184</v>
      </c>
      <c r="C15" s="43" t="s">
        <v>183</v>
      </c>
      <c r="D15" s="12" t="s">
        <v>185</v>
      </c>
      <c r="E15" s="12" t="s">
        <v>26</v>
      </c>
      <c r="F15" s="56" t="s">
        <v>59</v>
      </c>
      <c r="G15" s="54" t="s">
        <v>186</v>
      </c>
      <c r="H15" s="12" t="s">
        <v>13</v>
      </c>
      <c r="I15" s="12" t="s">
        <v>14</v>
      </c>
      <c r="J15" s="12"/>
      <c r="K15" s="12"/>
      <c r="L15" s="12"/>
      <c r="M15" s="12"/>
      <c r="N15" s="12" t="s">
        <v>16</v>
      </c>
      <c r="O15" s="13" t="s">
        <v>179</v>
      </c>
      <c r="P15" s="39" t="s">
        <v>21</v>
      </c>
      <c r="Q15" s="152">
        <v>1</v>
      </c>
      <c r="R15" s="152">
        <v>1</v>
      </c>
      <c r="S15" s="152">
        <v>1</v>
      </c>
      <c r="T15" s="152">
        <v>1</v>
      </c>
      <c r="U15" s="12">
        <v>0</v>
      </c>
      <c r="V15" s="12">
        <v>0</v>
      </c>
      <c r="W15" s="12">
        <v>0</v>
      </c>
      <c r="X15" s="12">
        <v>0</v>
      </c>
      <c r="Y15" s="152">
        <v>1</v>
      </c>
      <c r="Z15" s="152">
        <v>1</v>
      </c>
      <c r="AA15" s="152">
        <v>1</v>
      </c>
      <c r="AB15" s="152">
        <v>1</v>
      </c>
      <c r="AC15" s="152">
        <v>1</v>
      </c>
    </row>
    <row r="16" spans="1:29" ht="19.95" customHeight="1" x14ac:dyDescent="0.25">
      <c r="A16" s="38">
        <v>7024101166</v>
      </c>
      <c r="B16" s="12" t="s">
        <v>184</v>
      </c>
      <c r="C16" s="43" t="s">
        <v>183</v>
      </c>
      <c r="D16" s="12" t="s">
        <v>185</v>
      </c>
      <c r="E16" s="12" t="s">
        <v>26</v>
      </c>
      <c r="F16" s="56" t="s">
        <v>59</v>
      </c>
      <c r="G16" s="54" t="s">
        <v>186</v>
      </c>
      <c r="H16" s="12" t="s">
        <v>13</v>
      </c>
      <c r="I16" s="12" t="s">
        <v>14</v>
      </c>
      <c r="J16" s="12"/>
      <c r="K16" s="12"/>
      <c r="L16" s="12"/>
      <c r="M16" s="12"/>
      <c r="N16" s="12" t="s">
        <v>16</v>
      </c>
      <c r="O16" s="13" t="s">
        <v>180</v>
      </c>
      <c r="P16" s="39" t="s">
        <v>21</v>
      </c>
      <c r="Q16" s="152">
        <v>1</v>
      </c>
      <c r="R16" s="152">
        <v>1</v>
      </c>
      <c r="S16" s="152">
        <v>1</v>
      </c>
      <c r="T16" s="152">
        <v>1</v>
      </c>
      <c r="U16" s="12">
        <v>0</v>
      </c>
      <c r="V16" s="12">
        <v>0</v>
      </c>
      <c r="W16" s="12">
        <v>0</v>
      </c>
      <c r="X16" s="12">
        <v>0</v>
      </c>
      <c r="Y16" s="152">
        <v>1</v>
      </c>
      <c r="Z16" s="152">
        <v>1</v>
      </c>
      <c r="AA16" s="152">
        <v>1</v>
      </c>
      <c r="AB16" s="152">
        <v>1</v>
      </c>
      <c r="AC16" s="152">
        <v>1</v>
      </c>
    </row>
    <row r="17" spans="1:29" ht="19.95" customHeight="1" x14ac:dyDescent="0.25">
      <c r="A17" s="38">
        <v>7024101166</v>
      </c>
      <c r="B17" s="12" t="s">
        <v>184</v>
      </c>
      <c r="C17" s="43" t="s">
        <v>183</v>
      </c>
      <c r="D17" s="12" t="s">
        <v>185</v>
      </c>
      <c r="E17" s="12" t="s">
        <v>26</v>
      </c>
      <c r="F17" s="56" t="s">
        <v>59</v>
      </c>
      <c r="G17" s="54" t="s">
        <v>186</v>
      </c>
      <c r="H17" s="12" t="s">
        <v>13</v>
      </c>
      <c r="I17" s="12" t="s">
        <v>14</v>
      </c>
      <c r="J17" s="12"/>
      <c r="K17" s="12"/>
      <c r="L17" s="12"/>
      <c r="M17" s="12"/>
      <c r="N17" s="12" t="s">
        <v>16</v>
      </c>
      <c r="O17" s="13" t="s">
        <v>181</v>
      </c>
      <c r="P17" s="39" t="s">
        <v>21</v>
      </c>
      <c r="Q17" s="152">
        <v>1</v>
      </c>
      <c r="R17" s="152">
        <v>1</v>
      </c>
      <c r="S17" s="152">
        <v>1</v>
      </c>
      <c r="T17" s="152">
        <v>1</v>
      </c>
      <c r="U17" s="152">
        <v>1</v>
      </c>
      <c r="V17" s="152">
        <v>1</v>
      </c>
      <c r="W17" s="152">
        <v>1</v>
      </c>
      <c r="X17" s="152">
        <v>1</v>
      </c>
      <c r="Y17" s="152">
        <v>1</v>
      </c>
      <c r="Z17" s="152">
        <v>1</v>
      </c>
      <c r="AA17" s="152">
        <v>1</v>
      </c>
      <c r="AB17" s="152">
        <v>1</v>
      </c>
      <c r="AC17" s="152">
        <v>1</v>
      </c>
    </row>
    <row r="18" spans="1:29" ht="19.95" customHeight="1" x14ac:dyDescent="0.25">
      <c r="A18" s="38">
        <v>7024101166</v>
      </c>
      <c r="B18" s="12" t="s">
        <v>184</v>
      </c>
      <c r="C18" s="43" t="s">
        <v>183</v>
      </c>
      <c r="D18" s="12" t="s">
        <v>185</v>
      </c>
      <c r="E18" s="12" t="s">
        <v>26</v>
      </c>
      <c r="F18" s="56" t="s">
        <v>59</v>
      </c>
      <c r="G18" s="54" t="s">
        <v>186</v>
      </c>
      <c r="H18" s="12" t="s">
        <v>13</v>
      </c>
      <c r="I18" s="12" t="s">
        <v>14</v>
      </c>
      <c r="J18" s="12"/>
      <c r="K18" s="12"/>
      <c r="L18" s="12"/>
      <c r="M18" s="12"/>
      <c r="N18" s="12" t="s">
        <v>16</v>
      </c>
      <c r="O18" s="13" t="s">
        <v>182</v>
      </c>
      <c r="P18" s="39" t="s">
        <v>21</v>
      </c>
      <c r="Q18" s="152">
        <v>1</v>
      </c>
      <c r="R18" s="152">
        <v>1</v>
      </c>
      <c r="S18" s="152">
        <v>1</v>
      </c>
      <c r="T18" s="152">
        <v>1</v>
      </c>
      <c r="U18" s="12">
        <v>0</v>
      </c>
      <c r="V18" s="12">
        <v>0</v>
      </c>
      <c r="W18" s="12">
        <v>0</v>
      </c>
      <c r="X18" s="12">
        <v>0</v>
      </c>
      <c r="Y18" s="152">
        <v>1</v>
      </c>
      <c r="Z18" s="152">
        <v>1</v>
      </c>
      <c r="AA18" s="152">
        <v>1</v>
      </c>
      <c r="AB18" s="152">
        <v>1</v>
      </c>
      <c r="AC18" s="152">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26747-5E32-494E-AC98-9E493513B8BF}">
  <dimension ref="A1:AC26"/>
  <sheetViews>
    <sheetView workbookViewId="0">
      <selection activeCell="F2" sqref="F2"/>
    </sheetView>
  </sheetViews>
  <sheetFormatPr defaultColWidth="9.6640625" defaultRowHeight="15.6" x14ac:dyDescent="0.25"/>
  <cols>
    <col min="1" max="1" width="12.109375" style="7" bestFit="1" customWidth="1"/>
    <col min="2" max="2" width="12.21875" style="7" customWidth="1"/>
    <col min="3" max="3" width="30.109375" style="7" bestFit="1" customWidth="1"/>
    <col min="4" max="4" width="11" style="7" customWidth="1"/>
    <col min="5" max="5" width="9.33203125" style="7" customWidth="1"/>
    <col min="6" max="6" width="11" style="7" bestFit="1" customWidth="1"/>
    <col min="7" max="7" width="22" style="7" bestFit="1" customWidth="1"/>
    <col min="8" max="8" width="9.5546875" style="7" bestFit="1" customWidth="1"/>
    <col min="9" max="9" width="14.109375" style="7" customWidth="1"/>
    <col min="10" max="13" width="12.6640625" style="7" bestFit="1" customWidth="1"/>
    <col min="14" max="14" width="14.88671875" style="7" bestFit="1" customWidth="1"/>
    <col min="15" max="15" width="68.77734375" style="21" customWidth="1"/>
    <col min="16" max="16" width="21.77734375" style="7" bestFit="1" customWidth="1"/>
    <col min="17" max="17" width="14.109375" style="7" bestFit="1" customWidth="1"/>
    <col min="18" max="20" width="10" style="7" customWidth="1"/>
    <col min="21" max="23" width="9.44140625" style="8" customWidth="1"/>
    <col min="24" max="16384" width="9.6640625" style="7"/>
  </cols>
  <sheetData>
    <row r="1" spans="1:29" s="9" customFormat="1" ht="26.4" x14ac:dyDescent="0.25">
      <c r="A1" s="28" t="s">
        <v>123</v>
      </c>
      <c r="B1" s="30" t="s">
        <v>1</v>
      </c>
      <c r="C1" s="28" t="s">
        <v>2</v>
      </c>
      <c r="D1" s="30" t="s">
        <v>3</v>
      </c>
      <c r="E1" s="28" t="s">
        <v>4</v>
      </c>
      <c r="F1" s="28" t="s">
        <v>5</v>
      </c>
      <c r="G1" s="28" t="s">
        <v>6</v>
      </c>
      <c r="H1" s="28" t="s">
        <v>7</v>
      </c>
      <c r="I1" s="30" t="s">
        <v>8</v>
      </c>
      <c r="J1" s="28" t="s">
        <v>9</v>
      </c>
      <c r="K1" s="28" t="s">
        <v>10</v>
      </c>
      <c r="L1" s="28" t="s">
        <v>126</v>
      </c>
      <c r="M1" s="28" t="s">
        <v>127</v>
      </c>
      <c r="N1" s="28"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38">
        <v>9630092085</v>
      </c>
      <c r="B2" s="12" t="s">
        <v>106</v>
      </c>
      <c r="C2" s="43" t="s">
        <v>114</v>
      </c>
      <c r="D2" s="12" t="s">
        <v>115</v>
      </c>
      <c r="E2" s="12" t="s">
        <v>116</v>
      </c>
      <c r="F2" s="56" t="s">
        <v>59</v>
      </c>
      <c r="G2" s="12" t="s">
        <v>124</v>
      </c>
      <c r="H2" s="12" t="s">
        <v>15</v>
      </c>
      <c r="I2" s="12" t="s">
        <v>19</v>
      </c>
      <c r="J2" s="12"/>
      <c r="K2" s="12"/>
      <c r="L2" s="12"/>
      <c r="M2" s="12"/>
      <c r="N2" s="12" t="s">
        <v>16</v>
      </c>
      <c r="O2" s="121" t="s">
        <v>906</v>
      </c>
      <c r="P2" s="27" t="s">
        <v>18</v>
      </c>
      <c r="Q2" s="27">
        <v>5</v>
      </c>
      <c r="R2" s="26"/>
      <c r="S2" s="26"/>
      <c r="T2" s="26"/>
      <c r="U2" s="26"/>
      <c r="V2" s="26"/>
      <c r="W2" s="26">
        <v>5</v>
      </c>
      <c r="X2" s="26"/>
      <c r="Y2" s="26"/>
      <c r="Z2" s="26"/>
      <c r="AA2" s="26"/>
      <c r="AB2" s="26"/>
      <c r="AC2" s="26"/>
    </row>
    <row r="3" spans="1:29" ht="19.95" customHeight="1" x14ac:dyDescent="0.25">
      <c r="A3" s="38">
        <v>9630092085</v>
      </c>
      <c r="B3" s="12" t="s">
        <v>106</v>
      </c>
      <c r="C3" s="43" t="s">
        <v>114</v>
      </c>
      <c r="D3" s="12" t="s">
        <v>115</v>
      </c>
      <c r="E3" s="12" t="s">
        <v>116</v>
      </c>
      <c r="F3" s="56" t="s">
        <v>59</v>
      </c>
      <c r="G3" s="12" t="s">
        <v>124</v>
      </c>
      <c r="H3" s="12" t="s">
        <v>15</v>
      </c>
      <c r="I3" s="12" t="s">
        <v>19</v>
      </c>
      <c r="J3" s="12"/>
      <c r="K3" s="12"/>
      <c r="L3" s="12"/>
      <c r="M3" s="12"/>
      <c r="N3" s="12" t="s">
        <v>16</v>
      </c>
      <c r="O3" s="121" t="s">
        <v>907</v>
      </c>
      <c r="P3" s="27" t="s">
        <v>18</v>
      </c>
      <c r="Q3" s="27">
        <v>5</v>
      </c>
      <c r="R3" s="26"/>
      <c r="S3" s="26"/>
      <c r="T3" s="26"/>
      <c r="U3" s="26"/>
      <c r="V3" s="26"/>
      <c r="W3" s="26">
        <v>5</v>
      </c>
      <c r="X3" s="26"/>
      <c r="Y3" s="26"/>
      <c r="Z3" s="26"/>
      <c r="AA3" s="26"/>
      <c r="AB3" s="26"/>
      <c r="AC3" s="26"/>
    </row>
    <row r="4" spans="1:29" ht="19.95" customHeight="1" x14ac:dyDescent="0.25">
      <c r="A4" s="38">
        <v>9630092085</v>
      </c>
      <c r="B4" s="12" t="s">
        <v>106</v>
      </c>
      <c r="C4" s="43" t="s">
        <v>114</v>
      </c>
      <c r="D4" s="12" t="s">
        <v>115</v>
      </c>
      <c r="E4" s="12" t="s">
        <v>116</v>
      </c>
      <c r="F4" s="56" t="s">
        <v>59</v>
      </c>
      <c r="G4" s="12" t="s">
        <v>124</v>
      </c>
      <c r="H4" s="12" t="s">
        <v>15</v>
      </c>
      <c r="I4" s="12" t="s">
        <v>19</v>
      </c>
      <c r="J4" s="12"/>
      <c r="K4" s="12"/>
      <c r="L4" s="12"/>
      <c r="M4" s="12"/>
      <c r="N4" s="12" t="s">
        <v>16</v>
      </c>
      <c r="O4" s="121" t="s">
        <v>908</v>
      </c>
      <c r="P4" s="38" t="s">
        <v>21</v>
      </c>
      <c r="Q4" s="11">
        <v>1</v>
      </c>
      <c r="R4" s="12"/>
      <c r="S4" s="12"/>
      <c r="T4" s="12"/>
      <c r="U4" s="12"/>
      <c r="V4" s="11">
        <v>1</v>
      </c>
      <c r="W4" s="11">
        <v>1</v>
      </c>
      <c r="X4" s="11">
        <v>1</v>
      </c>
      <c r="Y4" s="11">
        <v>1</v>
      </c>
      <c r="Z4" s="11">
        <v>1</v>
      </c>
      <c r="AA4" s="12"/>
      <c r="AB4" s="12"/>
      <c r="AC4" s="12"/>
    </row>
    <row r="5" spans="1:29" ht="19.95" customHeight="1" x14ac:dyDescent="0.25">
      <c r="A5" s="38">
        <v>9630092085</v>
      </c>
      <c r="B5" s="12" t="s">
        <v>106</v>
      </c>
      <c r="C5" s="43" t="s">
        <v>114</v>
      </c>
      <c r="D5" s="12" t="s">
        <v>115</v>
      </c>
      <c r="E5" s="12" t="s">
        <v>116</v>
      </c>
      <c r="F5" s="56" t="s">
        <v>59</v>
      </c>
      <c r="G5" s="12" t="s">
        <v>124</v>
      </c>
      <c r="H5" s="12" t="s">
        <v>15</v>
      </c>
      <c r="I5" s="12" t="s">
        <v>19</v>
      </c>
      <c r="J5" s="12"/>
      <c r="K5" s="12"/>
      <c r="L5" s="12"/>
      <c r="M5" s="12"/>
      <c r="N5" s="12" t="s">
        <v>16</v>
      </c>
      <c r="O5" s="121" t="s">
        <v>107</v>
      </c>
      <c r="P5" s="38" t="s">
        <v>21</v>
      </c>
      <c r="Q5" s="11">
        <v>1</v>
      </c>
      <c r="R5" s="12"/>
      <c r="S5" s="12"/>
      <c r="T5" s="12"/>
      <c r="U5" s="12"/>
      <c r="V5" s="12"/>
      <c r="W5" s="12"/>
      <c r="X5" s="11">
        <v>1</v>
      </c>
      <c r="Y5" s="11">
        <v>1</v>
      </c>
      <c r="Z5" s="11">
        <v>1</v>
      </c>
      <c r="AA5" s="11">
        <v>1</v>
      </c>
      <c r="AB5" s="11">
        <v>1</v>
      </c>
      <c r="AC5" s="11">
        <v>1</v>
      </c>
    </row>
    <row r="6" spans="1:29" ht="19.95" customHeight="1" x14ac:dyDescent="0.25">
      <c r="A6" s="38">
        <v>9630092085</v>
      </c>
      <c r="B6" s="12" t="s">
        <v>106</v>
      </c>
      <c r="C6" s="43" t="s">
        <v>114</v>
      </c>
      <c r="D6" s="12" t="s">
        <v>115</v>
      </c>
      <c r="E6" s="12" t="s">
        <v>116</v>
      </c>
      <c r="F6" s="56" t="s">
        <v>59</v>
      </c>
      <c r="G6" s="12" t="s">
        <v>124</v>
      </c>
      <c r="H6" s="12" t="s">
        <v>15</v>
      </c>
      <c r="I6" s="12" t="s">
        <v>19</v>
      </c>
      <c r="J6" s="12"/>
      <c r="K6" s="12"/>
      <c r="L6" s="12"/>
      <c r="M6" s="12"/>
      <c r="N6" s="12" t="s">
        <v>16</v>
      </c>
      <c r="O6" s="121" t="s">
        <v>108</v>
      </c>
      <c r="P6" s="38" t="s">
        <v>21</v>
      </c>
      <c r="Q6" s="11">
        <v>1</v>
      </c>
      <c r="R6" s="12"/>
      <c r="S6" s="12"/>
      <c r="T6" s="12"/>
      <c r="U6" s="12"/>
      <c r="V6" s="12"/>
      <c r="W6" s="12"/>
      <c r="X6" s="12"/>
      <c r="Y6" s="11">
        <v>1</v>
      </c>
      <c r="Z6" s="11">
        <v>1</v>
      </c>
      <c r="AA6" s="11">
        <v>1</v>
      </c>
      <c r="AB6" s="11">
        <v>1</v>
      </c>
      <c r="AC6" s="11">
        <v>1</v>
      </c>
    </row>
    <row r="7" spans="1:29" ht="19.95" customHeight="1" x14ac:dyDescent="0.25">
      <c r="A7" s="38">
        <v>9630092085</v>
      </c>
      <c r="B7" s="12" t="s">
        <v>106</v>
      </c>
      <c r="C7" s="43" t="s">
        <v>114</v>
      </c>
      <c r="D7" s="12" t="s">
        <v>115</v>
      </c>
      <c r="E7" s="12" t="s">
        <v>116</v>
      </c>
      <c r="F7" s="56" t="s">
        <v>59</v>
      </c>
      <c r="G7" s="12" t="s">
        <v>124</v>
      </c>
      <c r="H7" s="12" t="s">
        <v>15</v>
      </c>
      <c r="I7" s="12" t="s">
        <v>19</v>
      </c>
      <c r="J7" s="12"/>
      <c r="K7" s="12"/>
      <c r="L7" s="12"/>
      <c r="M7" s="12"/>
      <c r="N7" s="12" t="s">
        <v>16</v>
      </c>
      <c r="O7" s="121" t="s">
        <v>909</v>
      </c>
      <c r="P7" s="38" t="s">
        <v>21</v>
      </c>
      <c r="Q7" s="11">
        <v>1</v>
      </c>
      <c r="R7" s="12"/>
      <c r="S7" s="12"/>
      <c r="T7" s="12"/>
      <c r="U7" s="12"/>
      <c r="V7" s="12"/>
      <c r="W7" s="12"/>
      <c r="X7" s="12"/>
      <c r="Y7" s="11">
        <v>1</v>
      </c>
      <c r="Z7" s="11">
        <v>1</v>
      </c>
      <c r="AA7" s="11">
        <v>1</v>
      </c>
      <c r="AB7" s="11">
        <v>1</v>
      </c>
      <c r="AC7" s="11">
        <v>1</v>
      </c>
    </row>
    <row r="8" spans="1:29" ht="19.95" customHeight="1" x14ac:dyDescent="0.25">
      <c r="A8" s="38">
        <v>9630092085</v>
      </c>
      <c r="B8" s="12" t="s">
        <v>106</v>
      </c>
      <c r="C8" s="43" t="s">
        <v>114</v>
      </c>
      <c r="D8" s="12" t="s">
        <v>115</v>
      </c>
      <c r="E8" s="12" t="s">
        <v>116</v>
      </c>
      <c r="F8" s="56" t="s">
        <v>59</v>
      </c>
      <c r="G8" s="12" t="s">
        <v>124</v>
      </c>
      <c r="H8" s="12" t="s">
        <v>15</v>
      </c>
      <c r="I8" s="12" t="s">
        <v>19</v>
      </c>
      <c r="J8" s="12"/>
      <c r="K8" s="12"/>
      <c r="L8" s="12"/>
      <c r="M8" s="12"/>
      <c r="N8" s="12" t="s">
        <v>16</v>
      </c>
      <c r="O8" s="121" t="s">
        <v>910</v>
      </c>
      <c r="P8" s="38" t="s">
        <v>21</v>
      </c>
      <c r="Q8" s="11">
        <v>1</v>
      </c>
      <c r="R8" s="12"/>
      <c r="S8" s="12"/>
      <c r="T8" s="12"/>
      <c r="U8" s="12"/>
      <c r="V8" s="12"/>
      <c r="W8" s="12"/>
      <c r="X8" s="12"/>
      <c r="Y8" s="11">
        <v>1</v>
      </c>
      <c r="Z8" s="11">
        <v>1</v>
      </c>
      <c r="AA8" s="11">
        <v>1</v>
      </c>
      <c r="AB8" s="11">
        <v>1</v>
      </c>
      <c r="AC8" s="11">
        <v>1</v>
      </c>
    </row>
    <row r="9" spans="1:29" ht="19.95" customHeight="1" x14ac:dyDescent="0.25">
      <c r="A9" s="38">
        <v>9630092085</v>
      </c>
      <c r="B9" s="12" t="s">
        <v>106</v>
      </c>
      <c r="C9" s="43" t="s">
        <v>114</v>
      </c>
      <c r="D9" s="12" t="s">
        <v>115</v>
      </c>
      <c r="E9" s="12" t="s">
        <v>116</v>
      </c>
      <c r="F9" s="56" t="s">
        <v>59</v>
      </c>
      <c r="G9" s="12" t="s">
        <v>124</v>
      </c>
      <c r="H9" s="12" t="s">
        <v>15</v>
      </c>
      <c r="I9" s="12" t="s">
        <v>19</v>
      </c>
      <c r="J9" s="12"/>
      <c r="K9" s="12"/>
      <c r="L9" s="12"/>
      <c r="M9" s="12"/>
      <c r="N9" s="12" t="s">
        <v>16</v>
      </c>
      <c r="O9" s="121" t="s">
        <v>911</v>
      </c>
      <c r="P9" s="38" t="s">
        <v>21</v>
      </c>
      <c r="Q9" s="11">
        <v>1</v>
      </c>
      <c r="R9" s="12"/>
      <c r="S9" s="12"/>
      <c r="T9" s="12"/>
      <c r="U9" s="12"/>
      <c r="V9" s="12"/>
      <c r="W9" s="12"/>
      <c r="X9" s="12"/>
      <c r="Y9" s="11">
        <v>1</v>
      </c>
      <c r="Z9" s="11">
        <v>1</v>
      </c>
      <c r="AA9" s="11">
        <v>1</v>
      </c>
      <c r="AB9" s="11">
        <v>1</v>
      </c>
      <c r="AC9" s="11">
        <v>1</v>
      </c>
    </row>
    <row r="10" spans="1:29" ht="19.95" customHeight="1" x14ac:dyDescent="0.25">
      <c r="A10" s="38">
        <v>9630092085</v>
      </c>
      <c r="B10" s="12" t="s">
        <v>106</v>
      </c>
      <c r="C10" s="43" t="s">
        <v>114</v>
      </c>
      <c r="D10" s="12" t="s">
        <v>115</v>
      </c>
      <c r="E10" s="12" t="s">
        <v>116</v>
      </c>
      <c r="F10" s="56" t="s">
        <v>59</v>
      </c>
      <c r="G10" s="12" t="s">
        <v>124</v>
      </c>
      <c r="H10" s="12" t="s">
        <v>15</v>
      </c>
      <c r="I10" s="12" t="s">
        <v>19</v>
      </c>
      <c r="J10" s="12"/>
      <c r="K10" s="12"/>
      <c r="L10" s="12"/>
      <c r="M10" s="12"/>
      <c r="N10" s="12" t="s">
        <v>16</v>
      </c>
      <c r="O10" s="121" t="s">
        <v>912</v>
      </c>
      <c r="P10" s="38" t="s">
        <v>21</v>
      </c>
      <c r="Q10" s="11">
        <v>1</v>
      </c>
      <c r="R10" s="12"/>
      <c r="S10" s="12"/>
      <c r="T10" s="12"/>
      <c r="U10" s="12"/>
      <c r="V10" s="12"/>
      <c r="W10" s="12"/>
      <c r="X10" s="12"/>
      <c r="Y10" s="11">
        <v>1</v>
      </c>
      <c r="Z10" s="11">
        <v>1</v>
      </c>
      <c r="AA10" s="11">
        <v>1</v>
      </c>
      <c r="AB10" s="11">
        <v>1</v>
      </c>
      <c r="AC10" s="11">
        <v>1</v>
      </c>
    </row>
    <row r="11" spans="1:29" ht="19.95" customHeight="1" x14ac:dyDescent="0.25">
      <c r="A11" s="38">
        <v>9630092085</v>
      </c>
      <c r="B11" s="12" t="s">
        <v>106</v>
      </c>
      <c r="C11" s="43" t="s">
        <v>114</v>
      </c>
      <c r="D11" s="12" t="s">
        <v>115</v>
      </c>
      <c r="E11" s="12" t="s">
        <v>116</v>
      </c>
      <c r="F11" s="56" t="s">
        <v>59</v>
      </c>
      <c r="G11" s="12" t="s">
        <v>124</v>
      </c>
      <c r="H11" s="12" t="s">
        <v>15</v>
      </c>
      <c r="I11" s="12" t="s">
        <v>19</v>
      </c>
      <c r="J11" s="12"/>
      <c r="K11" s="12"/>
      <c r="L11" s="12"/>
      <c r="M11" s="12"/>
      <c r="N11" s="12" t="s">
        <v>16</v>
      </c>
      <c r="O11" s="121" t="s">
        <v>913</v>
      </c>
      <c r="P11" s="26" t="s">
        <v>18</v>
      </c>
      <c r="Q11" s="27">
        <v>12</v>
      </c>
      <c r="R11" s="26"/>
      <c r="S11" s="26"/>
      <c r="T11" s="26">
        <v>1</v>
      </c>
      <c r="U11" s="26">
        <v>3</v>
      </c>
      <c r="V11" s="26">
        <v>4</v>
      </c>
      <c r="W11" s="26">
        <v>4</v>
      </c>
      <c r="X11" s="26"/>
      <c r="Y11" s="26"/>
      <c r="Z11" s="26"/>
      <c r="AA11" s="26"/>
      <c r="AB11" s="26"/>
      <c r="AC11" s="26"/>
    </row>
    <row r="12" spans="1:29" ht="19.95" customHeight="1" x14ac:dyDescent="0.25">
      <c r="A12" s="38">
        <v>9630092085</v>
      </c>
      <c r="B12" s="12" t="s">
        <v>106</v>
      </c>
      <c r="C12" s="43" t="s">
        <v>114</v>
      </c>
      <c r="D12" s="12" t="s">
        <v>115</v>
      </c>
      <c r="E12" s="12" t="s">
        <v>116</v>
      </c>
      <c r="F12" s="56" t="s">
        <v>59</v>
      </c>
      <c r="G12" s="12" t="s">
        <v>124</v>
      </c>
      <c r="H12" s="12" t="s">
        <v>15</v>
      </c>
      <c r="I12" s="12" t="s">
        <v>19</v>
      </c>
      <c r="J12" s="12"/>
      <c r="K12" s="12"/>
      <c r="L12" s="12"/>
      <c r="M12" s="12"/>
      <c r="N12" s="12" t="s">
        <v>16</v>
      </c>
      <c r="O12" s="121" t="s">
        <v>914</v>
      </c>
      <c r="P12" s="12" t="s">
        <v>21</v>
      </c>
      <c r="Q12" s="11">
        <v>1</v>
      </c>
      <c r="R12" s="11">
        <v>1</v>
      </c>
      <c r="S12" s="11">
        <v>1</v>
      </c>
      <c r="T12" s="11">
        <v>1</v>
      </c>
      <c r="U12" s="11">
        <v>1</v>
      </c>
      <c r="V12" s="11">
        <v>1</v>
      </c>
      <c r="W12" s="11">
        <v>1</v>
      </c>
      <c r="X12" s="11">
        <v>1</v>
      </c>
      <c r="Y12" s="11">
        <v>1</v>
      </c>
      <c r="Z12" s="11">
        <v>1</v>
      </c>
      <c r="AA12" s="11">
        <v>1</v>
      </c>
      <c r="AB12" s="11">
        <v>1</v>
      </c>
      <c r="AC12" s="11">
        <v>1</v>
      </c>
    </row>
    <row r="13" spans="1:29" ht="19.95" customHeight="1" x14ac:dyDescent="0.25">
      <c r="A13" s="38">
        <v>9630092085</v>
      </c>
      <c r="B13" s="12" t="s">
        <v>106</v>
      </c>
      <c r="C13" s="43" t="s">
        <v>114</v>
      </c>
      <c r="D13" s="12" t="s">
        <v>115</v>
      </c>
      <c r="E13" s="12" t="s">
        <v>116</v>
      </c>
      <c r="F13" s="56" t="s">
        <v>59</v>
      </c>
      <c r="G13" s="12" t="s">
        <v>124</v>
      </c>
      <c r="H13" s="12" t="s">
        <v>15</v>
      </c>
      <c r="I13" s="12" t="s">
        <v>19</v>
      </c>
      <c r="J13" s="12"/>
      <c r="K13" s="12"/>
      <c r="L13" s="12"/>
      <c r="M13" s="12"/>
      <c r="N13" s="12" t="s">
        <v>16</v>
      </c>
      <c r="O13" s="121" t="s">
        <v>915</v>
      </c>
      <c r="P13" s="26" t="s">
        <v>18</v>
      </c>
      <c r="Q13" s="27">
        <v>3</v>
      </c>
      <c r="R13" s="26"/>
      <c r="S13" s="26"/>
      <c r="T13" s="26"/>
      <c r="U13" s="26"/>
      <c r="V13" s="26"/>
      <c r="W13" s="26">
        <v>1</v>
      </c>
      <c r="X13" s="26"/>
      <c r="Y13" s="26"/>
      <c r="Z13" s="26">
        <v>1</v>
      </c>
      <c r="AA13" s="26"/>
      <c r="AB13" s="26"/>
      <c r="AC13" s="26">
        <v>1</v>
      </c>
    </row>
    <row r="14" spans="1:29" ht="19.95" customHeight="1" x14ac:dyDescent="0.25">
      <c r="A14" s="38">
        <v>9630092085</v>
      </c>
      <c r="B14" s="12" t="s">
        <v>106</v>
      </c>
      <c r="C14" s="43" t="s">
        <v>114</v>
      </c>
      <c r="D14" s="12" t="s">
        <v>115</v>
      </c>
      <c r="E14" s="12" t="s">
        <v>116</v>
      </c>
      <c r="F14" s="56" t="s">
        <v>59</v>
      </c>
      <c r="G14" s="12" t="s">
        <v>124</v>
      </c>
      <c r="H14" s="12" t="s">
        <v>15</v>
      </c>
      <c r="I14" s="12" t="s">
        <v>19</v>
      </c>
      <c r="J14" s="12"/>
      <c r="K14" s="12"/>
      <c r="L14" s="12"/>
      <c r="M14" s="12"/>
      <c r="N14" s="12" t="s">
        <v>16</v>
      </c>
      <c r="O14" s="121" t="s">
        <v>916</v>
      </c>
      <c r="P14" s="26" t="s">
        <v>18</v>
      </c>
      <c r="Q14" s="27">
        <v>3</v>
      </c>
      <c r="R14" s="26"/>
      <c r="S14" s="26"/>
      <c r="T14" s="26"/>
      <c r="U14" s="26"/>
      <c r="V14" s="26"/>
      <c r="W14" s="26">
        <v>1</v>
      </c>
      <c r="X14" s="26"/>
      <c r="Y14" s="26"/>
      <c r="Z14" s="26">
        <v>1</v>
      </c>
      <c r="AA14" s="26"/>
      <c r="AB14" s="26"/>
      <c r="AC14" s="26">
        <v>1</v>
      </c>
    </row>
    <row r="15" spans="1:29" ht="19.95" customHeight="1" x14ac:dyDescent="0.25">
      <c r="A15" s="38">
        <v>9630092085</v>
      </c>
      <c r="B15" s="12" t="s">
        <v>106</v>
      </c>
      <c r="C15" s="43" t="s">
        <v>114</v>
      </c>
      <c r="D15" s="12" t="s">
        <v>115</v>
      </c>
      <c r="E15" s="12" t="s">
        <v>116</v>
      </c>
      <c r="F15" s="56" t="s">
        <v>59</v>
      </c>
      <c r="G15" s="12" t="s">
        <v>124</v>
      </c>
      <c r="H15" s="12" t="s">
        <v>15</v>
      </c>
      <c r="I15" s="12" t="s">
        <v>19</v>
      </c>
      <c r="J15" s="12"/>
      <c r="K15" s="12"/>
      <c r="L15" s="12"/>
      <c r="M15" s="12"/>
      <c r="N15" s="12" t="s">
        <v>16</v>
      </c>
      <c r="O15" s="121" t="s">
        <v>917</v>
      </c>
      <c r="P15" s="26" t="s">
        <v>18</v>
      </c>
      <c r="Q15" s="27">
        <v>11</v>
      </c>
      <c r="R15" s="26"/>
      <c r="S15" s="26"/>
      <c r="T15" s="26"/>
      <c r="U15" s="26"/>
      <c r="V15" s="26"/>
      <c r="W15" s="26"/>
      <c r="X15" s="26"/>
      <c r="Y15" s="26">
        <v>4</v>
      </c>
      <c r="Z15" s="26">
        <v>4</v>
      </c>
      <c r="AA15" s="26">
        <v>3</v>
      </c>
      <c r="AB15" s="26"/>
      <c r="AC15" s="26"/>
    </row>
    <row r="16" spans="1:29" ht="19.95" customHeight="1" x14ac:dyDescent="0.25">
      <c r="A16" s="38">
        <v>9630092085</v>
      </c>
      <c r="B16" s="12" t="s">
        <v>106</v>
      </c>
      <c r="C16" s="43" t="s">
        <v>114</v>
      </c>
      <c r="D16" s="12" t="s">
        <v>115</v>
      </c>
      <c r="E16" s="12" t="s">
        <v>116</v>
      </c>
      <c r="F16" s="56" t="s">
        <v>59</v>
      </c>
      <c r="G16" s="12" t="s">
        <v>124</v>
      </c>
      <c r="H16" s="12" t="s">
        <v>15</v>
      </c>
      <c r="I16" s="12" t="s">
        <v>19</v>
      </c>
      <c r="J16" s="12"/>
      <c r="K16" s="12"/>
      <c r="L16" s="12"/>
      <c r="M16" s="12"/>
      <c r="N16" s="12" t="s">
        <v>16</v>
      </c>
      <c r="O16" s="121" t="s">
        <v>918</v>
      </c>
      <c r="P16" s="26" t="s">
        <v>117</v>
      </c>
      <c r="Q16" s="27">
        <v>50000</v>
      </c>
      <c r="R16" s="26"/>
      <c r="S16" s="26"/>
      <c r="T16" s="26"/>
      <c r="U16" s="26"/>
      <c r="V16" s="26"/>
      <c r="W16" s="26"/>
      <c r="X16" s="26"/>
      <c r="Y16" s="26">
        <v>10000</v>
      </c>
      <c r="Z16" s="26">
        <v>15000</v>
      </c>
      <c r="AA16" s="26">
        <v>15000</v>
      </c>
      <c r="AB16" s="26">
        <v>10000</v>
      </c>
      <c r="AC16" s="26"/>
    </row>
    <row r="17" spans="1:29" ht="19.95" customHeight="1" x14ac:dyDescent="0.25">
      <c r="A17" s="38">
        <v>9630092085</v>
      </c>
      <c r="B17" s="12" t="s">
        <v>106</v>
      </c>
      <c r="C17" s="43" t="s">
        <v>114</v>
      </c>
      <c r="D17" s="12" t="s">
        <v>115</v>
      </c>
      <c r="E17" s="12" t="s">
        <v>116</v>
      </c>
      <c r="F17" s="56" t="s">
        <v>59</v>
      </c>
      <c r="G17" s="12" t="s">
        <v>124</v>
      </c>
      <c r="H17" s="12" t="s">
        <v>15</v>
      </c>
      <c r="I17" s="12" t="s">
        <v>19</v>
      </c>
      <c r="J17" s="12"/>
      <c r="K17" s="12"/>
      <c r="L17" s="12"/>
      <c r="M17" s="12"/>
      <c r="N17" s="12" t="s">
        <v>16</v>
      </c>
      <c r="O17" s="121" t="s">
        <v>919</v>
      </c>
      <c r="P17" s="12" t="s">
        <v>21</v>
      </c>
      <c r="Q17" s="11">
        <v>1</v>
      </c>
      <c r="R17" s="11">
        <v>1</v>
      </c>
      <c r="S17" s="11">
        <v>1</v>
      </c>
      <c r="T17" s="11">
        <v>1</v>
      </c>
      <c r="U17" s="11">
        <v>1</v>
      </c>
      <c r="V17" s="11">
        <v>1</v>
      </c>
      <c r="W17" s="11">
        <v>1</v>
      </c>
      <c r="X17" s="11">
        <v>1</v>
      </c>
      <c r="Y17" s="11">
        <v>1</v>
      </c>
      <c r="Z17" s="11">
        <v>1</v>
      </c>
      <c r="AA17" s="11">
        <v>1</v>
      </c>
      <c r="AB17" s="11">
        <v>1</v>
      </c>
      <c r="AC17" s="11">
        <v>1</v>
      </c>
    </row>
    <row r="18" spans="1:29" ht="19.95" customHeight="1" x14ac:dyDescent="0.25">
      <c r="A18" s="38">
        <v>9630092085</v>
      </c>
      <c r="B18" s="12" t="s">
        <v>106</v>
      </c>
      <c r="C18" s="43" t="s">
        <v>114</v>
      </c>
      <c r="D18" s="12" t="s">
        <v>115</v>
      </c>
      <c r="E18" s="12" t="s">
        <v>116</v>
      </c>
      <c r="F18" s="56" t="s">
        <v>59</v>
      </c>
      <c r="G18" s="12" t="s">
        <v>124</v>
      </c>
      <c r="H18" s="12" t="s">
        <v>15</v>
      </c>
      <c r="I18" s="12" t="s">
        <v>19</v>
      </c>
      <c r="J18" s="12"/>
      <c r="K18" s="12"/>
      <c r="L18" s="12"/>
      <c r="M18" s="12"/>
      <c r="N18" s="12" t="s">
        <v>16</v>
      </c>
      <c r="O18" s="121" t="s">
        <v>920</v>
      </c>
      <c r="P18" s="26" t="s">
        <v>18</v>
      </c>
      <c r="Q18" s="27">
        <v>3</v>
      </c>
      <c r="R18" s="26"/>
      <c r="S18" s="26"/>
      <c r="T18" s="26"/>
      <c r="U18" s="26"/>
      <c r="V18" s="26"/>
      <c r="W18" s="26">
        <v>1</v>
      </c>
      <c r="X18" s="26"/>
      <c r="Y18" s="26"/>
      <c r="Z18" s="26">
        <v>1</v>
      </c>
      <c r="AA18" s="26"/>
      <c r="AB18" s="26"/>
      <c r="AC18" s="26">
        <v>1</v>
      </c>
    </row>
    <row r="19" spans="1:29" ht="19.95" customHeight="1" x14ac:dyDescent="0.25">
      <c r="A19" s="38">
        <v>9630092085</v>
      </c>
      <c r="B19" s="12" t="s">
        <v>106</v>
      </c>
      <c r="C19" s="43" t="s">
        <v>114</v>
      </c>
      <c r="D19" s="12" t="s">
        <v>115</v>
      </c>
      <c r="E19" s="12" t="s">
        <v>116</v>
      </c>
      <c r="F19" s="56" t="s">
        <v>59</v>
      </c>
      <c r="G19" s="12" t="s">
        <v>124</v>
      </c>
      <c r="H19" s="12" t="s">
        <v>15</v>
      </c>
      <c r="I19" s="12" t="s">
        <v>19</v>
      </c>
      <c r="J19" s="12"/>
      <c r="K19" s="12"/>
      <c r="L19" s="12"/>
      <c r="M19" s="12"/>
      <c r="N19" s="12" t="s">
        <v>16</v>
      </c>
      <c r="O19" s="121" t="s">
        <v>921</v>
      </c>
      <c r="P19" s="26" t="s">
        <v>18</v>
      </c>
      <c r="Q19" s="27">
        <v>3</v>
      </c>
      <c r="R19" s="26"/>
      <c r="S19" s="26"/>
      <c r="T19" s="26"/>
      <c r="U19" s="26"/>
      <c r="V19" s="26"/>
      <c r="W19" s="26">
        <v>1</v>
      </c>
      <c r="X19" s="26"/>
      <c r="Y19" s="26"/>
      <c r="Z19" s="26">
        <v>1</v>
      </c>
      <c r="AA19" s="26"/>
      <c r="AB19" s="26"/>
      <c r="AC19" s="26">
        <v>1</v>
      </c>
    </row>
    <row r="20" spans="1:29" ht="19.95" customHeight="1" x14ac:dyDescent="0.25">
      <c r="A20" s="38">
        <v>9630092085</v>
      </c>
      <c r="B20" s="12" t="s">
        <v>106</v>
      </c>
      <c r="C20" s="43" t="s">
        <v>114</v>
      </c>
      <c r="D20" s="12" t="s">
        <v>115</v>
      </c>
      <c r="E20" s="12" t="s">
        <v>116</v>
      </c>
      <c r="F20" s="56" t="s">
        <v>59</v>
      </c>
      <c r="G20" s="12" t="s">
        <v>124</v>
      </c>
      <c r="H20" s="12" t="s">
        <v>15</v>
      </c>
      <c r="I20" s="12" t="s">
        <v>19</v>
      </c>
      <c r="J20" s="12"/>
      <c r="K20" s="12"/>
      <c r="L20" s="12"/>
      <c r="M20" s="12"/>
      <c r="N20" s="12" t="s">
        <v>16</v>
      </c>
      <c r="O20" s="121" t="s">
        <v>922</v>
      </c>
      <c r="P20" s="26" t="s">
        <v>18</v>
      </c>
      <c r="Q20" s="27">
        <v>8</v>
      </c>
      <c r="R20" s="26"/>
      <c r="S20" s="26"/>
      <c r="T20" s="26"/>
      <c r="U20" s="26"/>
      <c r="V20" s="26"/>
      <c r="W20" s="26"/>
      <c r="X20" s="26"/>
      <c r="Y20" s="26"/>
      <c r="Z20" s="26">
        <v>4</v>
      </c>
      <c r="AA20" s="26">
        <v>4</v>
      </c>
      <c r="AB20" s="26"/>
      <c r="AC20" s="26"/>
    </row>
    <row r="21" spans="1:29" ht="19.95" customHeight="1" x14ac:dyDescent="0.25">
      <c r="A21" s="38">
        <v>9630092085</v>
      </c>
      <c r="B21" s="12" t="s">
        <v>106</v>
      </c>
      <c r="C21" s="43" t="s">
        <v>114</v>
      </c>
      <c r="D21" s="12" t="s">
        <v>115</v>
      </c>
      <c r="E21" s="12" t="s">
        <v>116</v>
      </c>
      <c r="F21" s="56" t="s">
        <v>59</v>
      </c>
      <c r="G21" s="12" t="s">
        <v>124</v>
      </c>
      <c r="H21" s="12" t="s">
        <v>15</v>
      </c>
      <c r="I21" s="12" t="s">
        <v>19</v>
      </c>
      <c r="J21" s="12"/>
      <c r="K21" s="12"/>
      <c r="L21" s="12"/>
      <c r="M21" s="12"/>
      <c r="N21" s="12" t="s">
        <v>16</v>
      </c>
      <c r="O21" s="121" t="s">
        <v>923</v>
      </c>
      <c r="P21" s="26" t="s">
        <v>117</v>
      </c>
      <c r="Q21" s="27">
        <v>30000</v>
      </c>
      <c r="R21" s="26"/>
      <c r="S21" s="26"/>
      <c r="T21" s="26"/>
      <c r="U21" s="26"/>
      <c r="V21" s="26"/>
      <c r="W21" s="26"/>
      <c r="X21" s="26"/>
      <c r="Y21" s="26"/>
      <c r="Z21" s="26">
        <v>10000</v>
      </c>
      <c r="AA21" s="26">
        <v>15000</v>
      </c>
      <c r="AB21" s="26">
        <v>5000</v>
      </c>
      <c r="AC21" s="26"/>
    </row>
    <row r="22" spans="1:29" ht="19.95" customHeight="1" x14ac:dyDescent="0.25">
      <c r="A22" s="38">
        <v>9630092085</v>
      </c>
      <c r="B22" s="12" t="s">
        <v>106</v>
      </c>
      <c r="C22" s="43" t="s">
        <v>114</v>
      </c>
      <c r="D22" s="12" t="s">
        <v>115</v>
      </c>
      <c r="E22" s="12" t="s">
        <v>116</v>
      </c>
      <c r="F22" s="56" t="s">
        <v>59</v>
      </c>
      <c r="G22" s="12" t="s">
        <v>124</v>
      </c>
      <c r="H22" s="12" t="s">
        <v>15</v>
      </c>
      <c r="I22" s="12" t="s">
        <v>19</v>
      </c>
      <c r="J22" s="12"/>
      <c r="K22" s="12"/>
      <c r="L22" s="12"/>
      <c r="M22" s="12"/>
      <c r="N22" s="12" t="s">
        <v>16</v>
      </c>
      <c r="O22" s="121" t="s">
        <v>924</v>
      </c>
      <c r="P22" s="27" t="s">
        <v>109</v>
      </c>
      <c r="Q22" s="26">
        <v>32</v>
      </c>
      <c r="R22" s="26">
        <v>15</v>
      </c>
      <c r="S22" s="26">
        <v>10</v>
      </c>
      <c r="T22" s="26">
        <v>5</v>
      </c>
      <c r="U22" s="26"/>
      <c r="V22" s="26"/>
      <c r="W22" s="26"/>
      <c r="X22" s="26"/>
      <c r="Y22" s="26"/>
      <c r="Z22" s="26"/>
      <c r="AA22" s="26"/>
      <c r="AB22" s="26"/>
      <c r="AC22" s="26"/>
    </row>
    <row r="23" spans="1:29" ht="19.95" customHeight="1" x14ac:dyDescent="0.25">
      <c r="A23" s="38">
        <v>9630092085</v>
      </c>
      <c r="B23" s="12" t="s">
        <v>106</v>
      </c>
      <c r="C23" s="43" t="s">
        <v>114</v>
      </c>
      <c r="D23" s="12" t="s">
        <v>115</v>
      </c>
      <c r="E23" s="12" t="s">
        <v>116</v>
      </c>
      <c r="F23" s="56" t="s">
        <v>59</v>
      </c>
      <c r="G23" s="12" t="s">
        <v>124</v>
      </c>
      <c r="H23" s="12" t="s">
        <v>15</v>
      </c>
      <c r="I23" s="12" t="s">
        <v>19</v>
      </c>
      <c r="J23" s="12"/>
      <c r="K23" s="12"/>
      <c r="L23" s="12"/>
      <c r="M23" s="12"/>
      <c r="N23" s="12" t="s">
        <v>16</v>
      </c>
      <c r="O23" s="121" t="s">
        <v>110</v>
      </c>
      <c r="P23" s="27" t="s">
        <v>109</v>
      </c>
      <c r="Q23" s="26">
        <v>32</v>
      </c>
      <c r="R23" s="26">
        <v>15</v>
      </c>
      <c r="S23" s="26">
        <v>10</v>
      </c>
      <c r="T23" s="26">
        <v>5</v>
      </c>
      <c r="U23" s="26"/>
      <c r="V23" s="26"/>
      <c r="W23" s="26"/>
      <c r="X23" s="26"/>
      <c r="Y23" s="26"/>
      <c r="Z23" s="26"/>
      <c r="AA23" s="26"/>
      <c r="AB23" s="26"/>
      <c r="AC23" s="26"/>
    </row>
    <row r="24" spans="1:29" ht="19.95" customHeight="1" x14ac:dyDescent="0.25">
      <c r="A24" s="38">
        <v>9630092085</v>
      </c>
      <c r="B24" s="12" t="s">
        <v>106</v>
      </c>
      <c r="C24" s="43" t="s">
        <v>114</v>
      </c>
      <c r="D24" s="12" t="s">
        <v>115</v>
      </c>
      <c r="E24" s="12" t="s">
        <v>116</v>
      </c>
      <c r="F24" s="56" t="s">
        <v>59</v>
      </c>
      <c r="G24" s="12" t="s">
        <v>124</v>
      </c>
      <c r="H24" s="12" t="s">
        <v>15</v>
      </c>
      <c r="I24" s="12" t="s">
        <v>19</v>
      </c>
      <c r="J24" s="12"/>
      <c r="K24" s="12"/>
      <c r="L24" s="12"/>
      <c r="M24" s="12"/>
      <c r="N24" s="12" t="s">
        <v>16</v>
      </c>
      <c r="O24" s="121" t="s">
        <v>111</v>
      </c>
      <c r="P24" s="27" t="s">
        <v>109</v>
      </c>
      <c r="Q24" s="26">
        <v>32</v>
      </c>
      <c r="R24" s="26">
        <v>15</v>
      </c>
      <c r="S24" s="26">
        <v>10</v>
      </c>
      <c r="T24" s="26">
        <v>5</v>
      </c>
      <c r="U24" s="26"/>
      <c r="V24" s="26"/>
      <c r="W24" s="26"/>
      <c r="X24" s="26"/>
      <c r="Y24" s="26"/>
      <c r="Z24" s="26"/>
      <c r="AA24" s="26"/>
      <c r="AB24" s="26"/>
      <c r="AC24" s="26"/>
    </row>
    <row r="25" spans="1:29" ht="19.95" customHeight="1" x14ac:dyDescent="0.25">
      <c r="A25" s="38">
        <v>9630092085</v>
      </c>
      <c r="B25" s="12" t="s">
        <v>106</v>
      </c>
      <c r="C25" s="43" t="s">
        <v>114</v>
      </c>
      <c r="D25" s="12" t="s">
        <v>115</v>
      </c>
      <c r="E25" s="12" t="s">
        <v>116</v>
      </c>
      <c r="F25" s="56" t="s">
        <v>59</v>
      </c>
      <c r="G25" s="12" t="s">
        <v>124</v>
      </c>
      <c r="H25" s="12" t="s">
        <v>15</v>
      </c>
      <c r="I25" s="12" t="s">
        <v>19</v>
      </c>
      <c r="J25" s="12"/>
      <c r="K25" s="12"/>
      <c r="L25" s="12"/>
      <c r="M25" s="12"/>
      <c r="N25" s="12" t="s">
        <v>16</v>
      </c>
      <c r="O25" s="121" t="s">
        <v>112</v>
      </c>
      <c r="P25" s="38" t="s">
        <v>21</v>
      </c>
      <c r="Q25" s="11">
        <v>1</v>
      </c>
      <c r="R25" s="12"/>
      <c r="S25" s="12"/>
      <c r="T25" s="12"/>
      <c r="U25" s="12"/>
      <c r="V25" s="12"/>
      <c r="W25" s="12"/>
      <c r="X25" s="12"/>
      <c r="Y25" s="12"/>
      <c r="Z25" s="12"/>
      <c r="AA25" s="12"/>
      <c r="AB25" s="12"/>
      <c r="AC25" s="12"/>
    </row>
    <row r="26" spans="1:29" ht="19.95" customHeight="1" x14ac:dyDescent="0.25">
      <c r="A26" s="38">
        <v>9630092085</v>
      </c>
      <c r="B26" s="12" t="s">
        <v>106</v>
      </c>
      <c r="C26" s="43" t="s">
        <v>114</v>
      </c>
      <c r="D26" s="12" t="s">
        <v>115</v>
      </c>
      <c r="E26" s="12" t="s">
        <v>116</v>
      </c>
      <c r="F26" s="56" t="s">
        <v>59</v>
      </c>
      <c r="G26" s="12" t="s">
        <v>124</v>
      </c>
      <c r="H26" s="12" t="s">
        <v>15</v>
      </c>
      <c r="I26" s="12" t="s">
        <v>19</v>
      </c>
      <c r="J26" s="12"/>
      <c r="K26" s="12"/>
      <c r="L26" s="12"/>
      <c r="M26" s="12"/>
      <c r="N26" s="12" t="s">
        <v>16</v>
      </c>
      <c r="O26" s="121" t="s">
        <v>925</v>
      </c>
      <c r="P26" s="27" t="s">
        <v>113</v>
      </c>
      <c r="Q26" s="26">
        <v>7000</v>
      </c>
      <c r="R26" s="26">
        <v>4357</v>
      </c>
      <c r="S26" s="26">
        <v>2542</v>
      </c>
      <c r="T26" s="26">
        <v>101</v>
      </c>
      <c r="U26" s="26"/>
      <c r="V26" s="26"/>
      <c r="W26" s="26"/>
      <c r="X26" s="26"/>
      <c r="Y26" s="26"/>
      <c r="Z26" s="26"/>
      <c r="AA26" s="26"/>
      <c r="AB26" s="26"/>
      <c r="AC26" s="26"/>
    </row>
  </sheetData>
  <phoneticPr fontId="2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6DC62-27FA-48A0-84EA-F443F1268F35}">
  <dimension ref="A1:AC36"/>
  <sheetViews>
    <sheetView topLeftCell="K1" workbookViewId="0">
      <selection activeCell="AE6" sqref="AE6"/>
    </sheetView>
  </sheetViews>
  <sheetFormatPr defaultColWidth="9.6640625" defaultRowHeight="15.6" x14ac:dyDescent="0.25"/>
  <cols>
    <col min="1" max="1" width="12.6640625" style="7" customWidth="1"/>
    <col min="2" max="2" width="17.5546875" style="7" bestFit="1" customWidth="1"/>
    <col min="3" max="3" width="38.21875" style="7" bestFit="1" customWidth="1"/>
    <col min="4" max="4" width="10.5546875" style="7" customWidth="1"/>
    <col min="5" max="5" width="8.6640625" style="7" bestFit="1" customWidth="1"/>
    <col min="6" max="6" width="9" style="7" bestFit="1" customWidth="1"/>
    <col min="7" max="7" width="12.44140625" style="7" bestFit="1" customWidth="1"/>
    <col min="8" max="8" width="9.5546875" style="7" bestFit="1" customWidth="1"/>
    <col min="9" max="9" width="14.21875" style="7" customWidth="1"/>
    <col min="10" max="13" width="11.44140625" style="7" bestFit="1" customWidth="1"/>
    <col min="14" max="14" width="14.5546875" style="7" bestFit="1" customWidth="1"/>
    <col min="15" max="15" width="66.33203125" style="21" customWidth="1"/>
    <col min="16" max="16" width="21.77734375" style="7" bestFit="1" customWidth="1"/>
    <col min="17" max="17" width="13.33203125" style="7" customWidth="1"/>
    <col min="18" max="20" width="10" style="7" customWidth="1"/>
    <col min="21" max="23" width="9.44140625" style="8" customWidth="1"/>
    <col min="24" max="16384" width="9.6640625" style="7"/>
  </cols>
  <sheetData>
    <row r="1" spans="1:29" s="9" customFormat="1" ht="27.6" x14ac:dyDescent="0.25">
      <c r="A1" s="59" t="s">
        <v>0</v>
      </c>
      <c r="B1" s="59" t="s">
        <v>1</v>
      </c>
      <c r="C1" s="59" t="s">
        <v>2</v>
      </c>
      <c r="D1" s="60" t="s">
        <v>3</v>
      </c>
      <c r="E1" s="59" t="s">
        <v>4</v>
      </c>
      <c r="F1" s="59" t="s">
        <v>5</v>
      </c>
      <c r="G1" s="59" t="s">
        <v>6</v>
      </c>
      <c r="H1" s="59" t="s">
        <v>7</v>
      </c>
      <c r="I1" s="60" t="s">
        <v>8</v>
      </c>
      <c r="J1" s="59" t="s">
        <v>9</v>
      </c>
      <c r="K1" s="59" t="s">
        <v>10</v>
      </c>
      <c r="L1" s="59" t="s">
        <v>126</v>
      </c>
      <c r="M1" s="59" t="s">
        <v>127</v>
      </c>
      <c r="N1" s="59"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38">
        <v>7747047755</v>
      </c>
      <c r="B2" s="12" t="s">
        <v>195</v>
      </c>
      <c r="C2" s="43" t="s">
        <v>232</v>
      </c>
      <c r="D2" s="12" t="s">
        <v>233</v>
      </c>
      <c r="E2" s="12" t="s">
        <v>234</v>
      </c>
      <c r="F2" s="12" t="s">
        <v>235</v>
      </c>
      <c r="G2" s="12" t="s">
        <v>236</v>
      </c>
      <c r="H2" s="12" t="s">
        <v>115</v>
      </c>
      <c r="I2" s="12" t="s">
        <v>106</v>
      </c>
      <c r="J2" s="12"/>
      <c r="K2" s="12"/>
      <c r="L2" s="12"/>
      <c r="M2" s="12"/>
      <c r="N2" s="12" t="s">
        <v>16</v>
      </c>
      <c r="O2" s="61" t="s">
        <v>197</v>
      </c>
      <c r="P2" s="56" t="s">
        <v>18</v>
      </c>
      <c r="Q2" s="38">
        <v>1</v>
      </c>
      <c r="R2" s="12"/>
      <c r="S2" s="12"/>
      <c r="T2" s="12"/>
      <c r="U2" s="12"/>
      <c r="V2" s="12"/>
      <c r="W2" s="38">
        <v>1</v>
      </c>
      <c r="X2" s="12"/>
      <c r="Y2" s="12"/>
      <c r="Z2" s="12"/>
      <c r="AA2" s="12"/>
      <c r="AB2" s="12"/>
      <c r="AC2" s="12"/>
    </row>
    <row r="3" spans="1:29" ht="19.95" customHeight="1" x14ac:dyDescent="0.25">
      <c r="A3" s="38">
        <v>7747047755</v>
      </c>
      <c r="B3" s="12" t="s">
        <v>195</v>
      </c>
      <c r="C3" s="43" t="s">
        <v>232</v>
      </c>
      <c r="D3" s="12" t="s">
        <v>233</v>
      </c>
      <c r="E3" s="12" t="s">
        <v>234</v>
      </c>
      <c r="F3" s="12" t="s">
        <v>235</v>
      </c>
      <c r="G3" s="12" t="s">
        <v>236</v>
      </c>
      <c r="H3" s="12" t="s">
        <v>115</v>
      </c>
      <c r="I3" s="12" t="s">
        <v>106</v>
      </c>
      <c r="J3" s="12"/>
      <c r="K3" s="12"/>
      <c r="L3" s="12"/>
      <c r="M3" s="12"/>
      <c r="N3" s="12" t="s">
        <v>16</v>
      </c>
      <c r="O3" s="61" t="s">
        <v>198</v>
      </c>
      <c r="P3" s="56" t="s">
        <v>18</v>
      </c>
      <c r="Q3" s="38">
        <v>1</v>
      </c>
      <c r="R3" s="12"/>
      <c r="S3" s="12"/>
      <c r="T3" s="12"/>
      <c r="U3" s="12"/>
      <c r="V3" s="12"/>
      <c r="W3" s="38">
        <v>1</v>
      </c>
      <c r="X3" s="12"/>
      <c r="Y3" s="12"/>
      <c r="Z3" s="12"/>
      <c r="AA3" s="12"/>
      <c r="AB3" s="12"/>
      <c r="AC3" s="12"/>
    </row>
    <row r="4" spans="1:29" ht="19.95" customHeight="1" x14ac:dyDescent="0.25">
      <c r="A4" s="38">
        <v>7747047755</v>
      </c>
      <c r="B4" s="12" t="s">
        <v>195</v>
      </c>
      <c r="C4" s="43" t="s">
        <v>232</v>
      </c>
      <c r="D4" s="12" t="s">
        <v>233</v>
      </c>
      <c r="E4" s="12" t="s">
        <v>234</v>
      </c>
      <c r="F4" s="12" t="s">
        <v>235</v>
      </c>
      <c r="G4" s="12" t="s">
        <v>236</v>
      </c>
      <c r="H4" s="12" t="s">
        <v>115</v>
      </c>
      <c r="I4" s="12" t="s">
        <v>106</v>
      </c>
      <c r="J4" s="12"/>
      <c r="K4" s="12"/>
      <c r="L4" s="12"/>
      <c r="M4" s="12"/>
      <c r="N4" s="12" t="s">
        <v>16</v>
      </c>
      <c r="O4" s="61" t="s">
        <v>199</v>
      </c>
      <c r="P4" s="56" t="s">
        <v>18</v>
      </c>
      <c r="Q4" s="38">
        <v>1</v>
      </c>
      <c r="R4" s="12"/>
      <c r="S4" s="12"/>
      <c r="T4" s="12"/>
      <c r="U4" s="12"/>
      <c r="V4" s="12"/>
      <c r="W4" s="38">
        <v>1</v>
      </c>
      <c r="X4" s="12"/>
      <c r="Y4" s="12"/>
      <c r="Z4" s="12"/>
      <c r="AA4" s="12"/>
      <c r="AB4" s="12"/>
      <c r="AC4" s="12"/>
    </row>
    <row r="5" spans="1:29" ht="19.95" customHeight="1" x14ac:dyDescent="0.25">
      <c r="A5" s="38">
        <v>7747047755</v>
      </c>
      <c r="B5" s="12" t="s">
        <v>195</v>
      </c>
      <c r="C5" s="43" t="s">
        <v>232</v>
      </c>
      <c r="D5" s="12" t="s">
        <v>233</v>
      </c>
      <c r="E5" s="12" t="s">
        <v>234</v>
      </c>
      <c r="F5" s="12" t="s">
        <v>235</v>
      </c>
      <c r="G5" s="12" t="s">
        <v>236</v>
      </c>
      <c r="H5" s="12" t="s">
        <v>115</v>
      </c>
      <c r="I5" s="12" t="s">
        <v>106</v>
      </c>
      <c r="J5" s="12"/>
      <c r="K5" s="12"/>
      <c r="L5" s="12"/>
      <c r="M5" s="12"/>
      <c r="N5" s="12" t="s">
        <v>16</v>
      </c>
      <c r="O5" s="61" t="s">
        <v>200</v>
      </c>
      <c r="P5" s="56" t="s">
        <v>18</v>
      </c>
      <c r="Q5" s="38">
        <v>1</v>
      </c>
      <c r="R5" s="12"/>
      <c r="S5" s="12"/>
      <c r="T5" s="12"/>
      <c r="U5" s="12"/>
      <c r="V5" s="12"/>
      <c r="W5" s="38">
        <v>1</v>
      </c>
      <c r="X5" s="12"/>
      <c r="Y5" s="12"/>
      <c r="Z5" s="12"/>
      <c r="AA5" s="12"/>
      <c r="AB5" s="12"/>
      <c r="AC5" s="12"/>
    </row>
    <row r="6" spans="1:29" ht="19.95" customHeight="1" x14ac:dyDescent="0.25">
      <c r="A6" s="38">
        <v>7747047755</v>
      </c>
      <c r="B6" s="12" t="s">
        <v>195</v>
      </c>
      <c r="C6" s="43" t="s">
        <v>232</v>
      </c>
      <c r="D6" s="12" t="s">
        <v>233</v>
      </c>
      <c r="E6" s="12" t="s">
        <v>234</v>
      </c>
      <c r="F6" s="12" t="s">
        <v>235</v>
      </c>
      <c r="G6" s="12" t="s">
        <v>236</v>
      </c>
      <c r="H6" s="12" t="s">
        <v>115</v>
      </c>
      <c r="I6" s="12" t="s">
        <v>106</v>
      </c>
      <c r="J6" s="12"/>
      <c r="K6" s="12"/>
      <c r="L6" s="12"/>
      <c r="M6" s="12"/>
      <c r="N6" s="12" t="s">
        <v>16</v>
      </c>
      <c r="O6" s="61" t="s">
        <v>201</v>
      </c>
      <c r="P6" s="56" t="s">
        <v>18</v>
      </c>
      <c r="Q6" s="38">
        <v>5</v>
      </c>
      <c r="R6" s="12"/>
      <c r="S6" s="12"/>
      <c r="T6" s="12"/>
      <c r="U6" s="12"/>
      <c r="V6" s="12"/>
      <c r="W6" s="38">
        <v>5</v>
      </c>
      <c r="X6" s="12"/>
      <c r="Y6" s="12"/>
      <c r="Z6" s="12"/>
      <c r="AA6" s="12"/>
      <c r="AB6" s="12"/>
      <c r="AC6" s="12"/>
    </row>
    <row r="7" spans="1:29" ht="19.95" customHeight="1" x14ac:dyDescent="0.25">
      <c r="A7" s="38">
        <v>7747047755</v>
      </c>
      <c r="B7" s="12" t="s">
        <v>195</v>
      </c>
      <c r="C7" s="43" t="s">
        <v>232</v>
      </c>
      <c r="D7" s="12" t="s">
        <v>233</v>
      </c>
      <c r="E7" s="12" t="s">
        <v>234</v>
      </c>
      <c r="F7" s="12" t="s">
        <v>235</v>
      </c>
      <c r="G7" s="12" t="s">
        <v>236</v>
      </c>
      <c r="H7" s="12" t="s">
        <v>115</v>
      </c>
      <c r="I7" s="12" t="s">
        <v>106</v>
      </c>
      <c r="J7" s="12"/>
      <c r="K7" s="12"/>
      <c r="L7" s="12"/>
      <c r="M7" s="12"/>
      <c r="N7" s="12" t="s">
        <v>16</v>
      </c>
      <c r="O7" s="61" t="s">
        <v>202</v>
      </c>
      <c r="P7" s="56" t="s">
        <v>18</v>
      </c>
      <c r="Q7" s="38">
        <v>5</v>
      </c>
      <c r="R7" s="12"/>
      <c r="S7" s="12"/>
      <c r="T7" s="12"/>
      <c r="U7" s="12"/>
      <c r="V7" s="12"/>
      <c r="W7" s="38">
        <v>5</v>
      </c>
      <c r="X7" s="12"/>
      <c r="Y7" s="12"/>
      <c r="Z7" s="12"/>
      <c r="AA7" s="12"/>
      <c r="AB7" s="12"/>
      <c r="AC7" s="12"/>
    </row>
    <row r="8" spans="1:29" ht="19.95" customHeight="1" x14ac:dyDescent="0.25">
      <c r="A8" s="38">
        <v>7747047755</v>
      </c>
      <c r="B8" s="12" t="s">
        <v>195</v>
      </c>
      <c r="C8" s="43" t="s">
        <v>232</v>
      </c>
      <c r="D8" s="12" t="s">
        <v>233</v>
      </c>
      <c r="E8" s="12" t="s">
        <v>234</v>
      </c>
      <c r="F8" s="12" t="s">
        <v>235</v>
      </c>
      <c r="G8" s="12" t="s">
        <v>236</v>
      </c>
      <c r="H8" s="12" t="s">
        <v>115</v>
      </c>
      <c r="I8" s="12" t="s">
        <v>106</v>
      </c>
      <c r="J8" s="12"/>
      <c r="K8" s="12"/>
      <c r="L8" s="12"/>
      <c r="M8" s="12"/>
      <c r="N8" s="12" t="s">
        <v>16</v>
      </c>
      <c r="O8" s="61" t="s">
        <v>203</v>
      </c>
      <c r="P8" s="56" t="s">
        <v>18</v>
      </c>
      <c r="Q8" s="38">
        <v>5</v>
      </c>
      <c r="R8" s="12"/>
      <c r="S8" s="12"/>
      <c r="T8" s="12"/>
      <c r="U8" s="12"/>
      <c r="V8" s="12"/>
      <c r="W8" s="38">
        <v>5</v>
      </c>
      <c r="X8" s="12"/>
      <c r="Y8" s="12"/>
      <c r="Z8" s="12"/>
      <c r="AA8" s="12"/>
      <c r="AB8" s="12"/>
      <c r="AC8" s="12"/>
    </row>
    <row r="9" spans="1:29" ht="19.95" customHeight="1" x14ac:dyDescent="0.25">
      <c r="A9" s="38">
        <v>7747047755</v>
      </c>
      <c r="B9" s="12" t="s">
        <v>195</v>
      </c>
      <c r="C9" s="43" t="s">
        <v>232</v>
      </c>
      <c r="D9" s="12" t="s">
        <v>233</v>
      </c>
      <c r="E9" s="12" t="s">
        <v>234</v>
      </c>
      <c r="F9" s="12" t="s">
        <v>235</v>
      </c>
      <c r="G9" s="12" t="s">
        <v>236</v>
      </c>
      <c r="H9" s="12" t="s">
        <v>115</v>
      </c>
      <c r="I9" s="12" t="s">
        <v>106</v>
      </c>
      <c r="J9" s="12"/>
      <c r="K9" s="12"/>
      <c r="L9" s="12"/>
      <c r="M9" s="12"/>
      <c r="N9" s="12" t="s">
        <v>16</v>
      </c>
      <c r="O9" s="61" t="s">
        <v>204</v>
      </c>
      <c r="P9" s="56" t="s">
        <v>18</v>
      </c>
      <c r="Q9" s="38">
        <v>5</v>
      </c>
      <c r="R9" s="12"/>
      <c r="S9" s="12"/>
      <c r="T9" s="12"/>
      <c r="U9" s="12"/>
      <c r="V9" s="12"/>
      <c r="W9" s="38">
        <v>5</v>
      </c>
      <c r="X9" s="12"/>
      <c r="Y9" s="12"/>
      <c r="Z9" s="12"/>
      <c r="AA9" s="12"/>
      <c r="AB9" s="12"/>
      <c r="AC9" s="12"/>
    </row>
    <row r="10" spans="1:29" ht="19.95" customHeight="1" x14ac:dyDescent="0.25">
      <c r="A10" s="38">
        <v>7747047755</v>
      </c>
      <c r="B10" s="12" t="s">
        <v>195</v>
      </c>
      <c r="C10" s="43" t="s">
        <v>232</v>
      </c>
      <c r="D10" s="12" t="s">
        <v>233</v>
      </c>
      <c r="E10" s="12" t="s">
        <v>234</v>
      </c>
      <c r="F10" s="12" t="s">
        <v>235</v>
      </c>
      <c r="G10" s="12" t="s">
        <v>236</v>
      </c>
      <c r="H10" s="12" t="s">
        <v>115</v>
      </c>
      <c r="I10" s="12" t="s">
        <v>106</v>
      </c>
      <c r="J10" s="12"/>
      <c r="K10" s="12"/>
      <c r="L10" s="12"/>
      <c r="M10" s="12"/>
      <c r="N10" s="12" t="s">
        <v>16</v>
      </c>
      <c r="O10" s="61" t="s">
        <v>205</v>
      </c>
      <c r="P10" s="56" t="s">
        <v>196</v>
      </c>
      <c r="Q10" s="38">
        <v>16000</v>
      </c>
      <c r="R10" s="12"/>
      <c r="S10" s="12"/>
      <c r="T10" s="12"/>
      <c r="U10" s="12"/>
      <c r="V10" s="12"/>
      <c r="W10" s="12"/>
      <c r="X10" s="12">
        <v>500</v>
      </c>
      <c r="Y10" s="12">
        <v>3300</v>
      </c>
      <c r="Z10" s="12">
        <v>4300</v>
      </c>
      <c r="AA10" s="12">
        <v>4400</v>
      </c>
      <c r="AB10" s="12">
        <v>2500</v>
      </c>
      <c r="AC10" s="12">
        <v>1000</v>
      </c>
    </row>
    <row r="11" spans="1:29" ht="19.95" customHeight="1" x14ac:dyDescent="0.25">
      <c r="A11" s="38">
        <v>7747047755</v>
      </c>
      <c r="B11" s="12" t="s">
        <v>195</v>
      </c>
      <c r="C11" s="43" t="s">
        <v>232</v>
      </c>
      <c r="D11" s="12" t="s">
        <v>233</v>
      </c>
      <c r="E11" s="12" t="s">
        <v>234</v>
      </c>
      <c r="F11" s="12" t="s">
        <v>235</v>
      </c>
      <c r="G11" s="12" t="s">
        <v>236</v>
      </c>
      <c r="H11" s="12" t="s">
        <v>115</v>
      </c>
      <c r="I11" s="12" t="s">
        <v>106</v>
      </c>
      <c r="J11" s="12"/>
      <c r="K11" s="12"/>
      <c r="L11" s="12"/>
      <c r="M11" s="12"/>
      <c r="N11" s="12" t="s">
        <v>16</v>
      </c>
      <c r="O11" s="61" t="s">
        <v>206</v>
      </c>
      <c r="P11" s="56" t="s">
        <v>21</v>
      </c>
      <c r="Q11" s="11">
        <v>1</v>
      </c>
      <c r="R11" s="12"/>
      <c r="S11" s="12"/>
      <c r="T11" s="12"/>
      <c r="U11" s="12"/>
      <c r="V11" s="12"/>
      <c r="W11" s="12"/>
      <c r="X11" s="11">
        <v>1</v>
      </c>
      <c r="Y11" s="11">
        <v>1</v>
      </c>
      <c r="Z11" s="11">
        <v>1</v>
      </c>
      <c r="AA11" s="11">
        <v>1</v>
      </c>
      <c r="AB11" s="11">
        <v>1</v>
      </c>
      <c r="AC11" s="11">
        <v>1</v>
      </c>
    </row>
    <row r="12" spans="1:29" ht="19.95" customHeight="1" x14ac:dyDescent="0.25">
      <c r="A12" s="38">
        <v>7747047755</v>
      </c>
      <c r="B12" s="12" t="s">
        <v>195</v>
      </c>
      <c r="C12" s="43" t="s">
        <v>232</v>
      </c>
      <c r="D12" s="12" t="s">
        <v>233</v>
      </c>
      <c r="E12" s="12" t="s">
        <v>234</v>
      </c>
      <c r="F12" s="12" t="s">
        <v>235</v>
      </c>
      <c r="G12" s="12" t="s">
        <v>236</v>
      </c>
      <c r="H12" s="12" t="s">
        <v>115</v>
      </c>
      <c r="I12" s="12" t="s">
        <v>106</v>
      </c>
      <c r="J12" s="12"/>
      <c r="K12" s="12"/>
      <c r="L12" s="12"/>
      <c r="M12" s="12"/>
      <c r="N12" s="12" t="s">
        <v>16</v>
      </c>
      <c r="O12" s="61" t="s">
        <v>207</v>
      </c>
      <c r="P12" s="56" t="s">
        <v>196</v>
      </c>
      <c r="Q12" s="38">
        <v>16000</v>
      </c>
      <c r="R12" s="12"/>
      <c r="S12" s="12"/>
      <c r="T12" s="12"/>
      <c r="U12" s="12"/>
      <c r="V12" s="12"/>
      <c r="W12" s="12"/>
      <c r="X12" s="12">
        <v>500</v>
      </c>
      <c r="Y12" s="12">
        <v>3300</v>
      </c>
      <c r="Z12" s="12">
        <v>4300</v>
      </c>
      <c r="AA12" s="12">
        <v>4400</v>
      </c>
      <c r="AB12" s="12">
        <v>2500</v>
      </c>
      <c r="AC12" s="12">
        <v>1000</v>
      </c>
    </row>
    <row r="13" spans="1:29" ht="19.95" customHeight="1" x14ac:dyDescent="0.25">
      <c r="A13" s="38">
        <v>7747047755</v>
      </c>
      <c r="B13" s="12" t="s">
        <v>195</v>
      </c>
      <c r="C13" s="43" t="s">
        <v>232</v>
      </c>
      <c r="D13" s="12" t="s">
        <v>233</v>
      </c>
      <c r="E13" s="12" t="s">
        <v>234</v>
      </c>
      <c r="F13" s="12" t="s">
        <v>235</v>
      </c>
      <c r="G13" s="12" t="s">
        <v>236</v>
      </c>
      <c r="H13" s="12" t="s">
        <v>115</v>
      </c>
      <c r="I13" s="12" t="s">
        <v>106</v>
      </c>
      <c r="J13" s="12"/>
      <c r="K13" s="12"/>
      <c r="L13" s="12"/>
      <c r="M13" s="12"/>
      <c r="N13" s="12" t="s">
        <v>16</v>
      </c>
      <c r="O13" s="61" t="s">
        <v>208</v>
      </c>
      <c r="P13" s="56" t="s">
        <v>21</v>
      </c>
      <c r="Q13" s="11">
        <v>1</v>
      </c>
      <c r="R13" s="12"/>
      <c r="S13" s="12"/>
      <c r="T13" s="12"/>
      <c r="U13" s="12"/>
      <c r="V13" s="12"/>
      <c r="W13" s="12"/>
      <c r="X13" s="11">
        <v>1</v>
      </c>
      <c r="Y13" s="11">
        <v>1</v>
      </c>
      <c r="Z13" s="11">
        <v>1</v>
      </c>
      <c r="AA13" s="11">
        <v>1</v>
      </c>
      <c r="AB13" s="11">
        <v>1</v>
      </c>
      <c r="AC13" s="11">
        <v>1</v>
      </c>
    </row>
    <row r="14" spans="1:29" ht="19.95" customHeight="1" x14ac:dyDescent="0.25">
      <c r="A14" s="38">
        <v>7747047755</v>
      </c>
      <c r="B14" s="12" t="s">
        <v>195</v>
      </c>
      <c r="C14" s="43" t="s">
        <v>232</v>
      </c>
      <c r="D14" s="12" t="s">
        <v>233</v>
      </c>
      <c r="E14" s="12" t="s">
        <v>234</v>
      </c>
      <c r="F14" s="12" t="s">
        <v>235</v>
      </c>
      <c r="G14" s="12" t="s">
        <v>236</v>
      </c>
      <c r="H14" s="12" t="s">
        <v>115</v>
      </c>
      <c r="I14" s="12" t="s">
        <v>106</v>
      </c>
      <c r="J14" s="12"/>
      <c r="K14" s="12"/>
      <c r="L14" s="12"/>
      <c r="M14" s="12"/>
      <c r="N14" s="12" t="s">
        <v>16</v>
      </c>
      <c r="O14" s="61" t="s">
        <v>209</v>
      </c>
      <c r="P14" s="56" t="s">
        <v>21</v>
      </c>
      <c r="Q14" s="11">
        <v>1</v>
      </c>
      <c r="R14" s="12"/>
      <c r="S14" s="12"/>
      <c r="T14" s="12"/>
      <c r="U14" s="12"/>
      <c r="V14" s="12"/>
      <c r="W14" s="12"/>
      <c r="X14" s="11">
        <v>1</v>
      </c>
      <c r="Y14" s="11">
        <v>1</v>
      </c>
      <c r="Z14" s="11">
        <v>1</v>
      </c>
      <c r="AA14" s="11">
        <v>1</v>
      </c>
      <c r="AB14" s="11">
        <v>1</v>
      </c>
      <c r="AC14" s="11">
        <v>1</v>
      </c>
    </row>
    <row r="15" spans="1:29" ht="19.95" customHeight="1" x14ac:dyDescent="0.25">
      <c r="A15" s="38">
        <v>7747047755</v>
      </c>
      <c r="B15" s="12" t="s">
        <v>195</v>
      </c>
      <c r="C15" s="43" t="s">
        <v>232</v>
      </c>
      <c r="D15" s="12" t="s">
        <v>233</v>
      </c>
      <c r="E15" s="12" t="s">
        <v>234</v>
      </c>
      <c r="F15" s="12" t="s">
        <v>235</v>
      </c>
      <c r="G15" s="12" t="s">
        <v>236</v>
      </c>
      <c r="H15" s="12" t="s">
        <v>115</v>
      </c>
      <c r="I15" s="12" t="s">
        <v>106</v>
      </c>
      <c r="J15" s="12"/>
      <c r="K15" s="12"/>
      <c r="L15" s="12"/>
      <c r="M15" s="12"/>
      <c r="N15" s="12" t="s">
        <v>16</v>
      </c>
      <c r="O15" s="61" t="s">
        <v>210</v>
      </c>
      <c r="P15" s="56" t="s">
        <v>21</v>
      </c>
      <c r="Q15" s="11">
        <v>1</v>
      </c>
      <c r="R15" s="12"/>
      <c r="S15" s="12"/>
      <c r="T15" s="12"/>
      <c r="U15" s="12"/>
      <c r="V15" s="12"/>
      <c r="W15" s="12"/>
      <c r="X15" s="11">
        <v>1</v>
      </c>
      <c r="Y15" s="11">
        <v>1</v>
      </c>
      <c r="Z15" s="11">
        <v>1</v>
      </c>
      <c r="AA15" s="11">
        <v>1</v>
      </c>
      <c r="AB15" s="11">
        <v>1</v>
      </c>
      <c r="AC15" s="11">
        <v>1</v>
      </c>
    </row>
    <row r="16" spans="1:29" ht="19.95" customHeight="1" x14ac:dyDescent="0.25">
      <c r="A16" s="38">
        <v>7747047755</v>
      </c>
      <c r="B16" s="12" t="s">
        <v>195</v>
      </c>
      <c r="C16" s="43" t="s">
        <v>232</v>
      </c>
      <c r="D16" s="12" t="s">
        <v>233</v>
      </c>
      <c r="E16" s="12" t="s">
        <v>234</v>
      </c>
      <c r="F16" s="12" t="s">
        <v>235</v>
      </c>
      <c r="G16" s="12" t="s">
        <v>236</v>
      </c>
      <c r="H16" s="12" t="s">
        <v>115</v>
      </c>
      <c r="I16" s="12" t="s">
        <v>106</v>
      </c>
      <c r="J16" s="12"/>
      <c r="K16" s="12"/>
      <c r="L16" s="12"/>
      <c r="M16" s="12"/>
      <c r="N16" s="12" t="s">
        <v>16</v>
      </c>
      <c r="O16" s="61" t="s">
        <v>211</v>
      </c>
      <c r="P16" s="56" t="s">
        <v>196</v>
      </c>
      <c r="Q16" s="38">
        <v>16000</v>
      </c>
      <c r="R16" s="12"/>
      <c r="S16" s="12"/>
      <c r="T16" s="12"/>
      <c r="U16" s="12"/>
      <c r="V16" s="12"/>
      <c r="W16" s="12"/>
      <c r="X16" s="12">
        <v>500</v>
      </c>
      <c r="Y16" s="12">
        <v>3300</v>
      </c>
      <c r="Z16" s="12">
        <v>4300</v>
      </c>
      <c r="AA16" s="12">
        <v>4400</v>
      </c>
      <c r="AB16" s="12">
        <v>2500</v>
      </c>
      <c r="AC16" s="12">
        <v>1000</v>
      </c>
    </row>
    <row r="17" spans="1:29" ht="19.95" customHeight="1" x14ac:dyDescent="0.25">
      <c r="A17" s="38">
        <v>7747047755</v>
      </c>
      <c r="B17" s="12" t="s">
        <v>195</v>
      </c>
      <c r="C17" s="43" t="s">
        <v>232</v>
      </c>
      <c r="D17" s="12" t="s">
        <v>233</v>
      </c>
      <c r="E17" s="12" t="s">
        <v>234</v>
      </c>
      <c r="F17" s="12" t="s">
        <v>235</v>
      </c>
      <c r="G17" s="12" t="s">
        <v>236</v>
      </c>
      <c r="H17" s="12" t="s">
        <v>115</v>
      </c>
      <c r="I17" s="12" t="s">
        <v>106</v>
      </c>
      <c r="J17" s="12"/>
      <c r="K17" s="12"/>
      <c r="L17" s="12"/>
      <c r="M17" s="12"/>
      <c r="N17" s="12" t="s">
        <v>16</v>
      </c>
      <c r="O17" s="61" t="s">
        <v>212</v>
      </c>
      <c r="P17" s="56" t="s">
        <v>196</v>
      </c>
      <c r="Q17" s="38">
        <v>16000</v>
      </c>
      <c r="R17" s="12"/>
      <c r="S17" s="12"/>
      <c r="T17" s="12"/>
      <c r="U17" s="12"/>
      <c r="V17" s="12"/>
      <c r="W17" s="12"/>
      <c r="X17" s="12">
        <v>500</v>
      </c>
      <c r="Y17" s="12">
        <v>3300</v>
      </c>
      <c r="Z17" s="12">
        <v>4300</v>
      </c>
      <c r="AA17" s="12">
        <v>4400</v>
      </c>
      <c r="AB17" s="12">
        <v>2500</v>
      </c>
      <c r="AC17" s="12">
        <v>1000</v>
      </c>
    </row>
    <row r="18" spans="1:29" ht="19.95" customHeight="1" x14ac:dyDescent="0.25">
      <c r="A18" s="38">
        <v>7747047755</v>
      </c>
      <c r="B18" s="12" t="s">
        <v>195</v>
      </c>
      <c r="C18" s="43" t="s">
        <v>232</v>
      </c>
      <c r="D18" s="12" t="s">
        <v>233</v>
      </c>
      <c r="E18" s="12" t="s">
        <v>234</v>
      </c>
      <c r="F18" s="12" t="s">
        <v>235</v>
      </c>
      <c r="G18" s="12" t="s">
        <v>236</v>
      </c>
      <c r="H18" s="12" t="s">
        <v>115</v>
      </c>
      <c r="I18" s="12" t="s">
        <v>106</v>
      </c>
      <c r="J18" s="12"/>
      <c r="K18" s="12"/>
      <c r="L18" s="12"/>
      <c r="M18" s="12"/>
      <c r="N18" s="12" t="s">
        <v>16</v>
      </c>
      <c r="O18" s="61" t="s">
        <v>213</v>
      </c>
      <c r="P18" s="56" t="s">
        <v>196</v>
      </c>
      <c r="Q18" s="38">
        <v>16000</v>
      </c>
      <c r="R18" s="12"/>
      <c r="S18" s="12"/>
      <c r="T18" s="12"/>
      <c r="U18" s="12"/>
      <c r="V18" s="12"/>
      <c r="W18" s="12"/>
      <c r="X18" s="12">
        <v>500</v>
      </c>
      <c r="Y18" s="12">
        <v>3300</v>
      </c>
      <c r="Z18" s="12">
        <v>4300</v>
      </c>
      <c r="AA18" s="12">
        <v>4400</v>
      </c>
      <c r="AB18" s="12">
        <v>2500</v>
      </c>
      <c r="AC18" s="12">
        <v>1000</v>
      </c>
    </row>
    <row r="19" spans="1:29" ht="19.95" customHeight="1" x14ac:dyDescent="0.25">
      <c r="A19" s="38">
        <v>7747047755</v>
      </c>
      <c r="B19" s="12" t="s">
        <v>195</v>
      </c>
      <c r="C19" s="43" t="s">
        <v>232</v>
      </c>
      <c r="D19" s="12" t="s">
        <v>233</v>
      </c>
      <c r="E19" s="12" t="s">
        <v>234</v>
      </c>
      <c r="F19" s="12" t="s">
        <v>235</v>
      </c>
      <c r="G19" s="12" t="s">
        <v>236</v>
      </c>
      <c r="H19" s="12" t="s">
        <v>115</v>
      </c>
      <c r="I19" s="12" t="s">
        <v>106</v>
      </c>
      <c r="J19" s="12"/>
      <c r="K19" s="12"/>
      <c r="L19" s="12"/>
      <c r="M19" s="12"/>
      <c r="N19" s="12" t="s">
        <v>16</v>
      </c>
      <c r="O19" s="61" t="s">
        <v>214</v>
      </c>
      <c r="P19" s="56" t="s">
        <v>196</v>
      </c>
      <c r="Q19" s="38">
        <v>16000</v>
      </c>
      <c r="R19" s="12"/>
      <c r="S19" s="12"/>
      <c r="T19" s="12"/>
      <c r="U19" s="12"/>
      <c r="V19" s="12"/>
      <c r="W19" s="12"/>
      <c r="X19" s="12"/>
      <c r="Y19" s="12">
        <v>2000</v>
      </c>
      <c r="Z19" s="12">
        <v>5200</v>
      </c>
      <c r="AA19" s="12">
        <v>4500</v>
      </c>
      <c r="AB19" s="12">
        <v>3300</v>
      </c>
      <c r="AC19" s="12">
        <v>1000</v>
      </c>
    </row>
    <row r="20" spans="1:29" ht="19.95" customHeight="1" x14ac:dyDescent="0.25">
      <c r="A20" s="38">
        <v>7747047755</v>
      </c>
      <c r="B20" s="12" t="s">
        <v>195</v>
      </c>
      <c r="C20" s="43" t="s">
        <v>232</v>
      </c>
      <c r="D20" s="12" t="s">
        <v>233</v>
      </c>
      <c r="E20" s="12" t="s">
        <v>234</v>
      </c>
      <c r="F20" s="12" t="s">
        <v>235</v>
      </c>
      <c r="G20" s="12" t="s">
        <v>236</v>
      </c>
      <c r="H20" s="12" t="s">
        <v>115</v>
      </c>
      <c r="I20" s="12" t="s">
        <v>106</v>
      </c>
      <c r="J20" s="12"/>
      <c r="K20" s="12"/>
      <c r="L20" s="12"/>
      <c r="M20" s="12"/>
      <c r="N20" s="12" t="s">
        <v>16</v>
      </c>
      <c r="O20" s="61" t="s">
        <v>215</v>
      </c>
      <c r="P20" s="56" t="s">
        <v>196</v>
      </c>
      <c r="Q20" s="38">
        <v>5280</v>
      </c>
      <c r="R20" s="12"/>
      <c r="S20" s="12"/>
      <c r="T20" s="12"/>
      <c r="U20" s="12"/>
      <c r="V20" s="12"/>
      <c r="W20" s="12"/>
      <c r="X20" s="12"/>
      <c r="Y20" s="12">
        <v>660</v>
      </c>
      <c r="Z20" s="12">
        <v>1716</v>
      </c>
      <c r="AA20" s="12">
        <v>1485</v>
      </c>
      <c r="AB20" s="12">
        <v>1089</v>
      </c>
      <c r="AC20" s="12">
        <v>330</v>
      </c>
    </row>
    <row r="21" spans="1:29" ht="19.95" customHeight="1" x14ac:dyDescent="0.25">
      <c r="A21" s="38">
        <v>7747047755</v>
      </c>
      <c r="B21" s="12" t="s">
        <v>195</v>
      </c>
      <c r="C21" s="43" t="s">
        <v>232</v>
      </c>
      <c r="D21" s="12" t="s">
        <v>233</v>
      </c>
      <c r="E21" s="12" t="s">
        <v>234</v>
      </c>
      <c r="F21" s="12" t="s">
        <v>235</v>
      </c>
      <c r="G21" s="12" t="s">
        <v>236</v>
      </c>
      <c r="H21" s="12" t="s">
        <v>115</v>
      </c>
      <c r="I21" s="12" t="s">
        <v>106</v>
      </c>
      <c r="J21" s="12"/>
      <c r="K21" s="12"/>
      <c r="L21" s="12"/>
      <c r="M21" s="12"/>
      <c r="N21" s="12" t="s">
        <v>16</v>
      </c>
      <c r="O21" s="61" t="s">
        <v>216</v>
      </c>
      <c r="P21" s="56" t="s">
        <v>21</v>
      </c>
      <c r="Q21" s="38">
        <v>33</v>
      </c>
      <c r="R21" s="12"/>
      <c r="S21" s="12"/>
      <c r="T21" s="12"/>
      <c r="U21" s="12"/>
      <c r="V21" s="12"/>
      <c r="W21" s="12"/>
      <c r="X21" s="12"/>
      <c r="Y21" s="12">
        <v>32.5</v>
      </c>
      <c r="Z21" s="12">
        <v>33</v>
      </c>
      <c r="AA21" s="12">
        <v>33</v>
      </c>
      <c r="AB21" s="12">
        <v>33</v>
      </c>
      <c r="AC21" s="12">
        <v>33.5</v>
      </c>
    </row>
    <row r="22" spans="1:29" ht="19.95" customHeight="1" x14ac:dyDescent="0.25">
      <c r="A22" s="38">
        <v>7747047755</v>
      </c>
      <c r="B22" s="12" t="s">
        <v>195</v>
      </c>
      <c r="C22" s="43" t="s">
        <v>232</v>
      </c>
      <c r="D22" s="12" t="s">
        <v>233</v>
      </c>
      <c r="E22" s="12" t="s">
        <v>234</v>
      </c>
      <c r="F22" s="12" t="s">
        <v>235</v>
      </c>
      <c r="G22" s="12" t="s">
        <v>236</v>
      </c>
      <c r="H22" s="12" t="s">
        <v>115</v>
      </c>
      <c r="I22" s="12" t="s">
        <v>106</v>
      </c>
      <c r="J22" s="12"/>
      <c r="K22" s="12"/>
      <c r="L22" s="12"/>
      <c r="M22" s="12"/>
      <c r="N22" s="12" t="s">
        <v>16</v>
      </c>
      <c r="O22" s="61" t="s">
        <v>217</v>
      </c>
      <c r="P22" s="56" t="s">
        <v>21</v>
      </c>
      <c r="Q22" s="12">
        <v>9</v>
      </c>
      <c r="R22" s="12"/>
      <c r="S22" s="12"/>
      <c r="T22" s="12"/>
      <c r="U22" s="12"/>
      <c r="V22" s="12"/>
      <c r="W22" s="12"/>
      <c r="X22" s="12"/>
      <c r="Y22" s="12">
        <v>9</v>
      </c>
      <c r="Z22" s="12">
        <v>9</v>
      </c>
      <c r="AA22" s="12">
        <v>9</v>
      </c>
      <c r="AB22" s="12">
        <v>9</v>
      </c>
      <c r="AC22" s="12">
        <v>9</v>
      </c>
    </row>
    <row r="23" spans="1:29" ht="19.95" customHeight="1" x14ac:dyDescent="0.25">
      <c r="A23" s="38">
        <v>7747047755</v>
      </c>
      <c r="B23" s="12" t="s">
        <v>195</v>
      </c>
      <c r="C23" s="43" t="s">
        <v>232</v>
      </c>
      <c r="D23" s="12" t="s">
        <v>233</v>
      </c>
      <c r="E23" s="12" t="s">
        <v>234</v>
      </c>
      <c r="F23" s="12" t="s">
        <v>235</v>
      </c>
      <c r="G23" s="12" t="s">
        <v>236</v>
      </c>
      <c r="H23" s="12" t="s">
        <v>115</v>
      </c>
      <c r="I23" s="12" t="s">
        <v>106</v>
      </c>
      <c r="J23" s="12"/>
      <c r="K23" s="12"/>
      <c r="L23" s="12"/>
      <c r="M23" s="12"/>
      <c r="N23" s="12" t="s">
        <v>16</v>
      </c>
      <c r="O23" s="61" t="s">
        <v>218</v>
      </c>
      <c r="P23" s="56" t="s">
        <v>21</v>
      </c>
      <c r="Q23" s="12">
        <v>63.5</v>
      </c>
      <c r="R23" s="12"/>
      <c r="S23" s="12"/>
      <c r="T23" s="12"/>
      <c r="U23" s="12"/>
      <c r="V23" s="12"/>
      <c r="W23" s="12"/>
      <c r="X23" s="12"/>
      <c r="Y23" s="12">
        <v>63.5</v>
      </c>
      <c r="Z23" s="12">
        <v>63.5</v>
      </c>
      <c r="AA23" s="12">
        <v>63.5</v>
      </c>
      <c r="AB23" s="12">
        <v>63.5</v>
      </c>
      <c r="AC23" s="12">
        <v>63.5</v>
      </c>
    </row>
    <row r="24" spans="1:29" ht="19.95" customHeight="1" x14ac:dyDescent="0.25">
      <c r="A24" s="38">
        <v>7747047755</v>
      </c>
      <c r="B24" s="12" t="s">
        <v>195</v>
      </c>
      <c r="C24" s="43" t="s">
        <v>232</v>
      </c>
      <c r="D24" s="12" t="s">
        <v>233</v>
      </c>
      <c r="E24" s="12" t="s">
        <v>234</v>
      </c>
      <c r="F24" s="12" t="s">
        <v>235</v>
      </c>
      <c r="G24" s="12" t="s">
        <v>236</v>
      </c>
      <c r="H24" s="12" t="s">
        <v>115</v>
      </c>
      <c r="I24" s="12" t="s">
        <v>106</v>
      </c>
      <c r="J24" s="12"/>
      <c r="K24" s="12"/>
      <c r="L24" s="12"/>
      <c r="M24" s="12"/>
      <c r="N24" s="12" t="s">
        <v>16</v>
      </c>
      <c r="O24" s="61" t="s">
        <v>219</v>
      </c>
      <c r="P24" s="56" t="s">
        <v>21</v>
      </c>
      <c r="Q24" s="11">
        <v>1</v>
      </c>
      <c r="R24" s="12"/>
      <c r="S24" s="12"/>
      <c r="T24" s="12"/>
      <c r="U24" s="12"/>
      <c r="V24" s="12"/>
      <c r="W24" s="12"/>
      <c r="X24" s="12"/>
      <c r="Y24" s="11">
        <v>1</v>
      </c>
      <c r="Z24" s="11">
        <v>1</v>
      </c>
      <c r="AA24" s="11">
        <v>1</v>
      </c>
      <c r="AB24" s="11">
        <v>1</v>
      </c>
      <c r="AC24" s="11">
        <v>1</v>
      </c>
    </row>
    <row r="25" spans="1:29" ht="19.95" customHeight="1" x14ac:dyDescent="0.25">
      <c r="A25" s="38">
        <v>7747047755</v>
      </c>
      <c r="B25" s="12" t="s">
        <v>195</v>
      </c>
      <c r="C25" s="43" t="s">
        <v>232</v>
      </c>
      <c r="D25" s="12" t="s">
        <v>233</v>
      </c>
      <c r="E25" s="12" t="s">
        <v>234</v>
      </c>
      <c r="F25" s="12" t="s">
        <v>235</v>
      </c>
      <c r="G25" s="12" t="s">
        <v>236</v>
      </c>
      <c r="H25" s="12" t="s">
        <v>115</v>
      </c>
      <c r="I25" s="12" t="s">
        <v>106</v>
      </c>
      <c r="J25" s="12"/>
      <c r="K25" s="12"/>
      <c r="L25" s="12"/>
      <c r="M25" s="12"/>
      <c r="N25" s="12" t="s">
        <v>16</v>
      </c>
      <c r="O25" s="61" t="s">
        <v>220</v>
      </c>
      <c r="P25" s="56" t="s">
        <v>18</v>
      </c>
      <c r="Q25" s="12">
        <v>32000</v>
      </c>
      <c r="R25" s="12"/>
      <c r="S25" s="12"/>
      <c r="T25" s="12"/>
      <c r="U25" s="12"/>
      <c r="V25" s="12"/>
      <c r="W25" s="12"/>
      <c r="X25" s="12">
        <v>0</v>
      </c>
      <c r="Y25" s="12">
        <v>4000</v>
      </c>
      <c r="Z25" s="12">
        <v>10400</v>
      </c>
      <c r="AA25" s="12">
        <v>9000</v>
      </c>
      <c r="AB25" s="12">
        <v>6600</v>
      </c>
      <c r="AC25" s="12">
        <v>2000</v>
      </c>
    </row>
    <row r="26" spans="1:29" ht="19.95" customHeight="1" x14ac:dyDescent="0.25">
      <c r="A26" s="38">
        <v>7747047755</v>
      </c>
      <c r="B26" s="12" t="s">
        <v>195</v>
      </c>
      <c r="C26" s="43" t="s">
        <v>232</v>
      </c>
      <c r="D26" s="12" t="s">
        <v>233</v>
      </c>
      <c r="E26" s="12" t="s">
        <v>234</v>
      </c>
      <c r="F26" s="12" t="s">
        <v>235</v>
      </c>
      <c r="G26" s="12" t="s">
        <v>236</v>
      </c>
      <c r="H26" s="12" t="s">
        <v>115</v>
      </c>
      <c r="I26" s="12" t="s">
        <v>106</v>
      </c>
      <c r="J26" s="12"/>
      <c r="K26" s="12"/>
      <c r="L26" s="12"/>
      <c r="M26" s="12"/>
      <c r="N26" s="12" t="s">
        <v>16</v>
      </c>
      <c r="O26" s="61" t="s">
        <v>221</v>
      </c>
      <c r="P26" s="56" t="s">
        <v>18</v>
      </c>
      <c r="Q26" s="12">
        <v>214</v>
      </c>
      <c r="R26" s="12"/>
      <c r="S26" s="12"/>
      <c r="T26" s="12"/>
      <c r="U26" s="12"/>
      <c r="V26" s="12"/>
      <c r="W26" s="12"/>
      <c r="X26" s="12">
        <v>0</v>
      </c>
      <c r="Y26" s="12">
        <v>27</v>
      </c>
      <c r="Z26" s="12">
        <v>69</v>
      </c>
      <c r="AA26" s="12">
        <v>60</v>
      </c>
      <c r="AB26" s="12">
        <v>44</v>
      </c>
      <c r="AC26" s="12">
        <v>14</v>
      </c>
    </row>
    <row r="27" spans="1:29" ht="19.95" customHeight="1" x14ac:dyDescent="0.25">
      <c r="A27" s="38">
        <v>7747047755</v>
      </c>
      <c r="B27" s="12" t="s">
        <v>195</v>
      </c>
      <c r="C27" s="43" t="s">
        <v>232</v>
      </c>
      <c r="D27" s="12" t="s">
        <v>233</v>
      </c>
      <c r="E27" s="12" t="s">
        <v>234</v>
      </c>
      <c r="F27" s="12" t="s">
        <v>235</v>
      </c>
      <c r="G27" s="12" t="s">
        <v>236</v>
      </c>
      <c r="H27" s="12" t="s">
        <v>115</v>
      </c>
      <c r="I27" s="12" t="s">
        <v>106</v>
      </c>
      <c r="J27" s="12"/>
      <c r="K27" s="12"/>
      <c r="L27" s="12"/>
      <c r="M27" s="12"/>
      <c r="N27" s="12" t="s">
        <v>16</v>
      </c>
      <c r="O27" s="61" t="s">
        <v>222</v>
      </c>
      <c r="P27" s="56" t="s">
        <v>18</v>
      </c>
      <c r="Q27" s="12">
        <v>28000</v>
      </c>
      <c r="R27" s="12"/>
      <c r="S27" s="12"/>
      <c r="T27" s="12"/>
      <c r="U27" s="12"/>
      <c r="V27" s="12"/>
      <c r="W27" s="12"/>
      <c r="X27" s="12">
        <v>0</v>
      </c>
      <c r="Y27" s="12">
        <v>0</v>
      </c>
      <c r="Z27" s="12">
        <v>5000</v>
      </c>
      <c r="AA27" s="12">
        <v>7000</v>
      </c>
      <c r="AB27" s="12">
        <v>7000</v>
      </c>
      <c r="AC27" s="12">
        <v>9000</v>
      </c>
    </row>
    <row r="28" spans="1:29" ht="19.95" customHeight="1" x14ac:dyDescent="0.25">
      <c r="A28" s="38">
        <v>7747047755</v>
      </c>
      <c r="B28" s="12" t="s">
        <v>195</v>
      </c>
      <c r="C28" s="43" t="s">
        <v>232</v>
      </c>
      <c r="D28" s="12" t="s">
        <v>233</v>
      </c>
      <c r="E28" s="12" t="s">
        <v>234</v>
      </c>
      <c r="F28" s="12" t="s">
        <v>235</v>
      </c>
      <c r="G28" s="12" t="s">
        <v>236</v>
      </c>
      <c r="H28" s="12" t="s">
        <v>115</v>
      </c>
      <c r="I28" s="12" t="s">
        <v>106</v>
      </c>
      <c r="J28" s="12"/>
      <c r="K28" s="12"/>
      <c r="L28" s="12"/>
      <c r="M28" s="12"/>
      <c r="N28" s="12" t="s">
        <v>16</v>
      </c>
      <c r="O28" s="61" t="s">
        <v>223</v>
      </c>
      <c r="P28" s="56" t="s">
        <v>196</v>
      </c>
      <c r="Q28" s="12">
        <v>4620</v>
      </c>
      <c r="R28" s="12"/>
      <c r="S28" s="12"/>
      <c r="T28" s="12"/>
      <c r="U28" s="12"/>
      <c r="V28" s="12"/>
      <c r="W28" s="12"/>
      <c r="X28" s="12">
        <v>0</v>
      </c>
      <c r="Y28" s="12">
        <v>0</v>
      </c>
      <c r="Z28" s="12">
        <v>825</v>
      </c>
      <c r="AA28" s="12">
        <v>1155</v>
      </c>
      <c r="AB28" s="12">
        <v>1155</v>
      </c>
      <c r="AC28" s="12">
        <v>1485</v>
      </c>
    </row>
    <row r="29" spans="1:29" ht="19.95" customHeight="1" x14ac:dyDescent="0.25">
      <c r="A29" s="38">
        <v>7747047755</v>
      </c>
      <c r="B29" s="12" t="s">
        <v>195</v>
      </c>
      <c r="C29" s="43" t="s">
        <v>232</v>
      </c>
      <c r="D29" s="12" t="s">
        <v>233</v>
      </c>
      <c r="E29" s="12" t="s">
        <v>234</v>
      </c>
      <c r="F29" s="12" t="s">
        <v>235</v>
      </c>
      <c r="G29" s="12" t="s">
        <v>236</v>
      </c>
      <c r="H29" s="12" t="s">
        <v>115</v>
      </c>
      <c r="I29" s="12" t="s">
        <v>106</v>
      </c>
      <c r="J29" s="12"/>
      <c r="K29" s="12"/>
      <c r="L29" s="12"/>
      <c r="M29" s="12"/>
      <c r="N29" s="12" t="s">
        <v>16</v>
      </c>
      <c r="O29" s="61" t="s">
        <v>224</v>
      </c>
      <c r="P29" s="56" t="s">
        <v>18</v>
      </c>
      <c r="Q29" s="12">
        <v>15000</v>
      </c>
      <c r="R29" s="12"/>
      <c r="S29" s="12"/>
      <c r="T29" s="12"/>
      <c r="U29" s="12"/>
      <c r="V29" s="12"/>
      <c r="W29" s="12"/>
      <c r="X29" s="12">
        <v>0</v>
      </c>
      <c r="Y29" s="12">
        <v>0</v>
      </c>
      <c r="Z29" s="12">
        <v>3000</v>
      </c>
      <c r="AA29" s="12">
        <v>8000</v>
      </c>
      <c r="AB29" s="12">
        <v>2000</v>
      </c>
      <c r="AC29" s="12">
        <v>2000</v>
      </c>
    </row>
    <row r="30" spans="1:29" ht="19.95" customHeight="1" x14ac:dyDescent="0.25">
      <c r="A30" s="38">
        <v>7747047755</v>
      </c>
      <c r="B30" s="12" t="s">
        <v>195</v>
      </c>
      <c r="C30" s="43" t="s">
        <v>232</v>
      </c>
      <c r="D30" s="12" t="s">
        <v>233</v>
      </c>
      <c r="E30" s="12" t="s">
        <v>234</v>
      </c>
      <c r="F30" s="12" t="s">
        <v>235</v>
      </c>
      <c r="G30" s="12" t="s">
        <v>236</v>
      </c>
      <c r="H30" s="12" t="s">
        <v>115</v>
      </c>
      <c r="I30" s="12" t="s">
        <v>106</v>
      </c>
      <c r="J30" s="12"/>
      <c r="K30" s="12"/>
      <c r="L30" s="12"/>
      <c r="M30" s="12"/>
      <c r="N30" s="12" t="s">
        <v>16</v>
      </c>
      <c r="O30" s="61" t="s">
        <v>225</v>
      </c>
      <c r="P30" s="56" t="s">
        <v>18</v>
      </c>
      <c r="Q30" s="12">
        <v>7000</v>
      </c>
      <c r="R30" s="12">
        <v>4357</v>
      </c>
      <c r="S30" s="12">
        <v>2542</v>
      </c>
      <c r="T30" s="12">
        <v>101</v>
      </c>
      <c r="U30" s="12"/>
      <c r="V30" s="12"/>
      <c r="W30" s="12"/>
      <c r="X30" s="12"/>
      <c r="Y30" s="12"/>
      <c r="Z30" s="12"/>
      <c r="AA30" s="12"/>
      <c r="AB30" s="12"/>
      <c r="AC30" s="12"/>
    </row>
    <row r="31" spans="1:29" ht="19.95" customHeight="1" x14ac:dyDescent="0.25">
      <c r="A31" s="38">
        <v>7747047755</v>
      </c>
      <c r="B31" s="12" t="s">
        <v>195</v>
      </c>
      <c r="C31" s="43" t="s">
        <v>232</v>
      </c>
      <c r="D31" s="12" t="s">
        <v>233</v>
      </c>
      <c r="E31" s="12" t="s">
        <v>234</v>
      </c>
      <c r="F31" s="12" t="s">
        <v>235</v>
      </c>
      <c r="G31" s="12" t="s">
        <v>236</v>
      </c>
      <c r="H31" s="12" t="s">
        <v>115</v>
      </c>
      <c r="I31" s="12" t="s">
        <v>106</v>
      </c>
      <c r="J31" s="12"/>
      <c r="K31" s="12"/>
      <c r="L31" s="12"/>
      <c r="M31" s="12"/>
      <c r="N31" s="12" t="s">
        <v>16</v>
      </c>
      <c r="O31" s="61" t="s">
        <v>226</v>
      </c>
      <c r="P31" s="56" t="s">
        <v>18</v>
      </c>
      <c r="Q31" s="12">
        <v>13</v>
      </c>
      <c r="R31" s="12"/>
      <c r="S31" s="12"/>
      <c r="T31" s="12"/>
      <c r="U31" s="12"/>
      <c r="V31" s="12"/>
      <c r="W31" s="12"/>
      <c r="X31" s="12">
        <v>0</v>
      </c>
      <c r="Y31" s="12">
        <v>2</v>
      </c>
      <c r="Z31" s="12">
        <v>4</v>
      </c>
      <c r="AA31" s="12">
        <v>3</v>
      </c>
      <c r="AB31" s="12">
        <v>2</v>
      </c>
      <c r="AC31" s="12">
        <v>2</v>
      </c>
    </row>
    <row r="32" spans="1:29" ht="19.95" customHeight="1" x14ac:dyDescent="0.25">
      <c r="A32" s="38">
        <v>7747047755</v>
      </c>
      <c r="B32" s="12" t="s">
        <v>195</v>
      </c>
      <c r="C32" s="43" t="s">
        <v>232</v>
      </c>
      <c r="D32" s="12" t="s">
        <v>233</v>
      </c>
      <c r="E32" s="12" t="s">
        <v>234</v>
      </c>
      <c r="F32" s="12" t="s">
        <v>235</v>
      </c>
      <c r="G32" s="12" t="s">
        <v>236</v>
      </c>
      <c r="H32" s="12" t="s">
        <v>115</v>
      </c>
      <c r="I32" s="12" t="s">
        <v>106</v>
      </c>
      <c r="J32" s="12"/>
      <c r="K32" s="12"/>
      <c r="L32" s="12"/>
      <c r="M32" s="12"/>
      <c r="N32" s="12" t="s">
        <v>16</v>
      </c>
      <c r="O32" s="61" t="s">
        <v>227</v>
      </c>
      <c r="P32" s="56" t="s">
        <v>18</v>
      </c>
      <c r="Q32" s="12">
        <v>214</v>
      </c>
      <c r="R32" s="12"/>
      <c r="S32" s="12"/>
      <c r="T32" s="12"/>
      <c r="U32" s="12"/>
      <c r="V32" s="12"/>
      <c r="W32" s="12"/>
      <c r="X32" s="12">
        <v>0</v>
      </c>
      <c r="Y32" s="12">
        <v>27</v>
      </c>
      <c r="Z32" s="12">
        <v>69</v>
      </c>
      <c r="AA32" s="12">
        <v>60</v>
      </c>
      <c r="AB32" s="12">
        <v>44</v>
      </c>
      <c r="AC32" s="12">
        <v>14</v>
      </c>
    </row>
    <row r="33" spans="1:29" ht="19.95" customHeight="1" x14ac:dyDescent="0.25">
      <c r="A33" s="38">
        <v>7747047755</v>
      </c>
      <c r="B33" s="12" t="s">
        <v>195</v>
      </c>
      <c r="C33" s="43" t="s">
        <v>232</v>
      </c>
      <c r="D33" s="12" t="s">
        <v>233</v>
      </c>
      <c r="E33" s="12" t="s">
        <v>234</v>
      </c>
      <c r="F33" s="12" t="s">
        <v>235</v>
      </c>
      <c r="G33" s="12" t="s">
        <v>236</v>
      </c>
      <c r="H33" s="12" t="s">
        <v>115</v>
      </c>
      <c r="I33" s="12" t="s">
        <v>106</v>
      </c>
      <c r="J33" s="12"/>
      <c r="K33" s="12"/>
      <c r="L33" s="12"/>
      <c r="M33" s="12"/>
      <c r="N33" s="12" t="s">
        <v>16</v>
      </c>
      <c r="O33" s="61" t="s">
        <v>228</v>
      </c>
      <c r="P33" s="56" t="s">
        <v>18</v>
      </c>
      <c r="Q33" s="12"/>
      <c r="R33" s="12"/>
      <c r="S33" s="12"/>
      <c r="T33" s="12"/>
      <c r="U33" s="12"/>
      <c r="V33" s="12"/>
      <c r="W33" s="12"/>
      <c r="X33" s="12">
        <v>0</v>
      </c>
      <c r="Y33" s="12">
        <v>0</v>
      </c>
      <c r="Z33" s="12">
        <v>1</v>
      </c>
      <c r="AA33" s="12">
        <v>3</v>
      </c>
      <c r="AB33" s="12">
        <v>2</v>
      </c>
      <c r="AC33" s="12">
        <v>0</v>
      </c>
    </row>
    <row r="34" spans="1:29" ht="19.95" customHeight="1" x14ac:dyDescent="0.25">
      <c r="A34" s="38">
        <v>7747047755</v>
      </c>
      <c r="B34" s="12" t="s">
        <v>195</v>
      </c>
      <c r="C34" s="43" t="s">
        <v>232</v>
      </c>
      <c r="D34" s="12" t="s">
        <v>233</v>
      </c>
      <c r="E34" s="12" t="s">
        <v>234</v>
      </c>
      <c r="F34" s="12" t="s">
        <v>235</v>
      </c>
      <c r="G34" s="12" t="s">
        <v>236</v>
      </c>
      <c r="H34" s="12" t="s">
        <v>115</v>
      </c>
      <c r="I34" s="12" t="s">
        <v>106</v>
      </c>
      <c r="J34" s="12"/>
      <c r="K34" s="12"/>
      <c r="L34" s="12"/>
      <c r="M34" s="12"/>
      <c r="N34" s="12" t="s">
        <v>16</v>
      </c>
      <c r="O34" s="61" t="s">
        <v>229</v>
      </c>
      <c r="P34" s="56" t="s">
        <v>21</v>
      </c>
      <c r="Q34" s="11">
        <v>1</v>
      </c>
      <c r="R34" s="12"/>
      <c r="S34" s="12"/>
      <c r="T34" s="12"/>
      <c r="U34" s="12"/>
      <c r="V34" s="12"/>
      <c r="W34" s="12"/>
      <c r="X34" s="12">
        <v>0</v>
      </c>
      <c r="Y34" s="11">
        <v>1</v>
      </c>
      <c r="Z34" s="11">
        <v>1</v>
      </c>
      <c r="AA34" s="11">
        <v>1</v>
      </c>
      <c r="AB34" s="11">
        <v>1</v>
      </c>
      <c r="AC34" s="11">
        <v>1</v>
      </c>
    </row>
    <row r="35" spans="1:29" ht="19.95" customHeight="1" x14ac:dyDescent="0.25">
      <c r="A35" s="38">
        <v>7747047755</v>
      </c>
      <c r="B35" s="12" t="s">
        <v>195</v>
      </c>
      <c r="C35" s="43" t="s">
        <v>232</v>
      </c>
      <c r="D35" s="12" t="s">
        <v>233</v>
      </c>
      <c r="E35" s="12" t="s">
        <v>234</v>
      </c>
      <c r="F35" s="12" t="s">
        <v>235</v>
      </c>
      <c r="G35" s="12" t="s">
        <v>236</v>
      </c>
      <c r="H35" s="12" t="s">
        <v>115</v>
      </c>
      <c r="I35" s="12" t="s">
        <v>106</v>
      </c>
      <c r="J35" s="12"/>
      <c r="K35" s="12"/>
      <c r="L35" s="12"/>
      <c r="M35" s="12"/>
      <c r="N35" s="12" t="s">
        <v>16</v>
      </c>
      <c r="O35" s="61" t="s">
        <v>230</v>
      </c>
      <c r="P35" s="56" t="s">
        <v>21</v>
      </c>
      <c r="Q35" s="11">
        <v>1</v>
      </c>
      <c r="R35" s="12"/>
      <c r="S35" s="12"/>
      <c r="T35" s="12"/>
      <c r="U35" s="12"/>
      <c r="V35" s="12"/>
      <c r="W35" s="12"/>
      <c r="X35" s="12">
        <v>0</v>
      </c>
      <c r="Y35" s="11">
        <v>1</v>
      </c>
      <c r="Z35" s="11">
        <v>1</v>
      </c>
      <c r="AA35" s="11">
        <v>1</v>
      </c>
      <c r="AB35" s="11">
        <v>1</v>
      </c>
      <c r="AC35" s="11">
        <v>1</v>
      </c>
    </row>
    <row r="36" spans="1:29" ht="19.95" customHeight="1" x14ac:dyDescent="0.25">
      <c r="A36" s="38">
        <v>7747047755</v>
      </c>
      <c r="B36" s="12" t="s">
        <v>195</v>
      </c>
      <c r="C36" s="43" t="s">
        <v>232</v>
      </c>
      <c r="D36" s="12" t="s">
        <v>233</v>
      </c>
      <c r="E36" s="12" t="s">
        <v>234</v>
      </c>
      <c r="F36" s="12" t="s">
        <v>235</v>
      </c>
      <c r="G36" s="12" t="s">
        <v>236</v>
      </c>
      <c r="H36" s="12" t="s">
        <v>115</v>
      </c>
      <c r="I36" s="12" t="s">
        <v>106</v>
      </c>
      <c r="J36" s="12"/>
      <c r="K36" s="12"/>
      <c r="L36" s="12"/>
      <c r="M36" s="12"/>
      <c r="N36" s="12" t="s">
        <v>16</v>
      </c>
      <c r="O36" s="61" t="s">
        <v>231</v>
      </c>
      <c r="P36" s="56" t="s">
        <v>18</v>
      </c>
      <c r="Q36" s="12">
        <v>12</v>
      </c>
      <c r="R36" s="12"/>
      <c r="S36" s="12"/>
      <c r="T36" s="12">
        <v>1</v>
      </c>
      <c r="U36" s="12">
        <v>3</v>
      </c>
      <c r="V36" s="12">
        <v>4</v>
      </c>
      <c r="W36" s="12">
        <v>4</v>
      </c>
      <c r="X36" s="12">
        <v>0</v>
      </c>
      <c r="Y36" s="12">
        <v>0</v>
      </c>
      <c r="Z36" s="12">
        <v>0</v>
      </c>
      <c r="AA36" s="12">
        <v>0</v>
      </c>
      <c r="AB36" s="12">
        <v>0</v>
      </c>
      <c r="AC36" s="1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14D69-29BE-45B9-B99D-0EE243F2DB57}">
  <dimension ref="A1:AC34"/>
  <sheetViews>
    <sheetView topLeftCell="P1" workbookViewId="0">
      <selection activeCell="AF6" sqref="AF6"/>
    </sheetView>
  </sheetViews>
  <sheetFormatPr defaultRowHeight="13.2" x14ac:dyDescent="0.25"/>
  <cols>
    <col min="1" max="1" width="12.109375" bestFit="1" customWidth="1"/>
    <col min="2" max="2" width="18.109375" bestFit="1" customWidth="1"/>
    <col min="3" max="3" width="27.88671875" bestFit="1" customWidth="1"/>
    <col min="4" max="4" width="14.44140625" bestFit="1" customWidth="1"/>
    <col min="5" max="5" width="11.88671875" bestFit="1" customWidth="1"/>
    <col min="6" max="6" width="8.44140625" bestFit="1" customWidth="1"/>
    <col min="7" max="7" width="11.44140625" bestFit="1" customWidth="1"/>
    <col min="8" max="8" width="8.88671875" bestFit="1" customWidth="1"/>
    <col min="9" max="9" width="17.44140625" bestFit="1" customWidth="1"/>
    <col min="10" max="13" width="10.88671875" bestFit="1" customWidth="1"/>
    <col min="14" max="14" width="13.33203125" bestFit="1" customWidth="1"/>
    <col min="15" max="15" width="72.21875" style="66" customWidth="1"/>
    <col min="16" max="16" width="21.77734375" bestFit="1" customWidth="1"/>
    <col min="17" max="17" width="14.109375" bestFit="1" customWidth="1"/>
  </cols>
  <sheetData>
    <row r="1" spans="1:29" ht="26.4" x14ac:dyDescent="0.25">
      <c r="A1" s="62" t="s">
        <v>123</v>
      </c>
      <c r="B1" s="63" t="s">
        <v>1</v>
      </c>
      <c r="C1" s="62" t="s">
        <v>2</v>
      </c>
      <c r="D1" s="63" t="s">
        <v>3</v>
      </c>
      <c r="E1" s="62" t="s">
        <v>4</v>
      </c>
      <c r="F1" s="62" t="s">
        <v>5</v>
      </c>
      <c r="G1" s="62" t="s">
        <v>6</v>
      </c>
      <c r="H1" s="62" t="s">
        <v>7</v>
      </c>
      <c r="I1" s="63" t="s">
        <v>8</v>
      </c>
      <c r="J1" s="62" t="s">
        <v>9</v>
      </c>
      <c r="K1" s="62" t="s">
        <v>10</v>
      </c>
      <c r="L1" s="62" t="s">
        <v>126</v>
      </c>
      <c r="M1" s="62" t="s">
        <v>127</v>
      </c>
      <c r="N1" s="62"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38">
        <v>6371558394</v>
      </c>
      <c r="B2" s="56" t="s">
        <v>817</v>
      </c>
      <c r="C2" s="146" t="s">
        <v>818</v>
      </c>
      <c r="D2" s="56" t="s">
        <v>272</v>
      </c>
      <c r="E2" s="56" t="s">
        <v>247</v>
      </c>
      <c r="F2" s="56" t="s">
        <v>819</v>
      </c>
      <c r="G2" s="56" t="s">
        <v>236</v>
      </c>
      <c r="H2" s="56" t="s">
        <v>233</v>
      </c>
      <c r="I2" s="56" t="s">
        <v>195</v>
      </c>
      <c r="J2" s="56" t="s">
        <v>115</v>
      </c>
      <c r="K2" s="56"/>
      <c r="L2" s="56"/>
      <c r="M2" s="56"/>
      <c r="N2" s="56" t="s">
        <v>16</v>
      </c>
      <c r="O2" s="61" t="s">
        <v>197</v>
      </c>
      <c r="P2" s="56" t="s">
        <v>18</v>
      </c>
      <c r="Q2" s="56">
        <v>1</v>
      </c>
      <c r="R2" s="118"/>
      <c r="S2" s="118"/>
      <c r="T2" s="118"/>
      <c r="U2" s="118"/>
      <c r="V2" s="118"/>
      <c r="W2" s="118">
        <v>1</v>
      </c>
      <c r="X2" s="118"/>
      <c r="Y2" s="118"/>
      <c r="Z2" s="118"/>
      <c r="AA2" s="118"/>
      <c r="AB2" s="118"/>
      <c r="AC2" s="118"/>
    </row>
    <row r="3" spans="1:29" ht="19.95" customHeight="1" x14ac:dyDescent="0.25">
      <c r="A3" s="38">
        <v>6371558394</v>
      </c>
      <c r="B3" s="56" t="s">
        <v>817</v>
      </c>
      <c r="C3" s="146" t="s">
        <v>818</v>
      </c>
      <c r="D3" s="56" t="s">
        <v>272</v>
      </c>
      <c r="E3" s="56" t="s">
        <v>247</v>
      </c>
      <c r="F3" s="56" t="s">
        <v>819</v>
      </c>
      <c r="G3" s="56" t="s">
        <v>236</v>
      </c>
      <c r="H3" s="56" t="s">
        <v>233</v>
      </c>
      <c r="I3" s="56" t="s">
        <v>195</v>
      </c>
      <c r="J3" s="56" t="s">
        <v>115</v>
      </c>
      <c r="K3" s="56"/>
      <c r="L3" s="56"/>
      <c r="M3" s="56"/>
      <c r="N3" s="56" t="s">
        <v>16</v>
      </c>
      <c r="O3" s="61" t="s">
        <v>198</v>
      </c>
      <c r="P3" s="56" t="s">
        <v>18</v>
      </c>
      <c r="Q3" s="56">
        <v>1</v>
      </c>
      <c r="R3" s="118"/>
      <c r="S3" s="118"/>
      <c r="T3" s="118"/>
      <c r="U3" s="118"/>
      <c r="V3" s="118"/>
      <c r="W3" s="118">
        <v>1</v>
      </c>
      <c r="X3" s="118"/>
      <c r="Y3" s="118"/>
      <c r="Z3" s="118"/>
      <c r="AA3" s="118"/>
      <c r="AB3" s="118"/>
      <c r="AC3" s="118"/>
    </row>
    <row r="4" spans="1:29" ht="19.95" customHeight="1" x14ac:dyDescent="0.25">
      <c r="A4" s="38">
        <v>6371558394</v>
      </c>
      <c r="B4" s="56" t="s">
        <v>817</v>
      </c>
      <c r="C4" s="146" t="s">
        <v>818</v>
      </c>
      <c r="D4" s="56" t="s">
        <v>272</v>
      </c>
      <c r="E4" s="56" t="s">
        <v>247</v>
      </c>
      <c r="F4" s="56" t="s">
        <v>819</v>
      </c>
      <c r="G4" s="56" t="s">
        <v>236</v>
      </c>
      <c r="H4" s="56" t="s">
        <v>233</v>
      </c>
      <c r="I4" s="56" t="s">
        <v>195</v>
      </c>
      <c r="J4" s="56" t="s">
        <v>115</v>
      </c>
      <c r="K4" s="56"/>
      <c r="L4" s="56"/>
      <c r="M4" s="56"/>
      <c r="N4" s="56" t="s">
        <v>16</v>
      </c>
      <c r="O4" s="61" t="s">
        <v>199</v>
      </c>
      <c r="P4" s="56" t="s">
        <v>18</v>
      </c>
      <c r="Q4" s="56">
        <v>1</v>
      </c>
      <c r="R4" s="118"/>
      <c r="S4" s="118"/>
      <c r="T4" s="118"/>
      <c r="U4" s="118"/>
      <c r="V4" s="118"/>
      <c r="W4" s="118">
        <v>1</v>
      </c>
      <c r="X4" s="118"/>
      <c r="Y4" s="118"/>
      <c r="Z4" s="118"/>
      <c r="AA4" s="118"/>
      <c r="AB4" s="118"/>
      <c r="AC4" s="118"/>
    </row>
    <row r="5" spans="1:29" ht="19.95" customHeight="1" x14ac:dyDescent="0.25">
      <c r="A5" s="38">
        <v>6371558394</v>
      </c>
      <c r="B5" s="56" t="s">
        <v>817</v>
      </c>
      <c r="C5" s="146" t="s">
        <v>818</v>
      </c>
      <c r="D5" s="56" t="s">
        <v>272</v>
      </c>
      <c r="E5" s="56" t="s">
        <v>247</v>
      </c>
      <c r="F5" s="56" t="s">
        <v>819</v>
      </c>
      <c r="G5" s="56" t="s">
        <v>236</v>
      </c>
      <c r="H5" s="56" t="s">
        <v>233</v>
      </c>
      <c r="I5" s="56" t="s">
        <v>195</v>
      </c>
      <c r="J5" s="56" t="s">
        <v>115</v>
      </c>
      <c r="K5" s="56"/>
      <c r="L5" s="56"/>
      <c r="M5" s="56"/>
      <c r="N5" s="56" t="s">
        <v>16</v>
      </c>
      <c r="O5" s="61" t="s">
        <v>200</v>
      </c>
      <c r="P5" s="56" t="s">
        <v>18</v>
      </c>
      <c r="Q5" s="56">
        <v>1</v>
      </c>
      <c r="R5" s="118"/>
      <c r="S5" s="118"/>
      <c r="T5" s="118"/>
      <c r="U5" s="118"/>
      <c r="V5" s="118"/>
      <c r="W5" s="118">
        <v>1</v>
      </c>
      <c r="X5" s="118"/>
      <c r="Y5" s="118"/>
      <c r="Z5" s="118"/>
      <c r="AA5" s="118"/>
      <c r="AB5" s="118"/>
      <c r="AC5" s="118"/>
    </row>
    <row r="6" spans="1:29" ht="19.95" customHeight="1" x14ac:dyDescent="0.25">
      <c r="A6" s="38">
        <v>6371558394</v>
      </c>
      <c r="B6" s="56" t="s">
        <v>817</v>
      </c>
      <c r="C6" s="146" t="s">
        <v>818</v>
      </c>
      <c r="D6" s="56" t="s">
        <v>272</v>
      </c>
      <c r="E6" s="56" t="s">
        <v>247</v>
      </c>
      <c r="F6" s="56" t="s">
        <v>819</v>
      </c>
      <c r="G6" s="56" t="s">
        <v>236</v>
      </c>
      <c r="H6" s="56" t="s">
        <v>233</v>
      </c>
      <c r="I6" s="56" t="s">
        <v>195</v>
      </c>
      <c r="J6" s="56" t="s">
        <v>115</v>
      </c>
      <c r="K6" s="56"/>
      <c r="L6" s="56"/>
      <c r="M6" s="56"/>
      <c r="N6" s="56" t="s">
        <v>16</v>
      </c>
      <c r="O6" s="61" t="s">
        <v>201</v>
      </c>
      <c r="P6" s="56" t="s">
        <v>18</v>
      </c>
      <c r="Q6" s="56">
        <v>1</v>
      </c>
      <c r="R6" s="118"/>
      <c r="S6" s="118"/>
      <c r="T6" s="118"/>
      <c r="U6" s="118"/>
      <c r="V6" s="118"/>
      <c r="W6" s="118">
        <v>1</v>
      </c>
      <c r="X6" s="118"/>
      <c r="Y6" s="118"/>
      <c r="Z6" s="118"/>
      <c r="AA6" s="118"/>
      <c r="AB6" s="118"/>
      <c r="AC6" s="118"/>
    </row>
    <row r="7" spans="1:29" ht="19.95" customHeight="1" x14ac:dyDescent="0.25">
      <c r="A7" s="38">
        <v>6371558394</v>
      </c>
      <c r="B7" s="56" t="s">
        <v>817</v>
      </c>
      <c r="C7" s="146" t="s">
        <v>818</v>
      </c>
      <c r="D7" s="56" t="s">
        <v>272</v>
      </c>
      <c r="E7" s="56" t="s">
        <v>247</v>
      </c>
      <c r="F7" s="56" t="s">
        <v>819</v>
      </c>
      <c r="G7" s="56" t="s">
        <v>236</v>
      </c>
      <c r="H7" s="56" t="s">
        <v>233</v>
      </c>
      <c r="I7" s="56" t="s">
        <v>195</v>
      </c>
      <c r="J7" s="56" t="s">
        <v>115</v>
      </c>
      <c r="K7" s="56"/>
      <c r="L7" s="56"/>
      <c r="M7" s="56"/>
      <c r="N7" s="56" t="s">
        <v>16</v>
      </c>
      <c r="O7" s="61" t="s">
        <v>202</v>
      </c>
      <c r="P7" s="56" t="s">
        <v>18</v>
      </c>
      <c r="Q7" s="56"/>
      <c r="R7" s="118"/>
      <c r="S7" s="118"/>
      <c r="T7" s="118"/>
      <c r="U7" s="118"/>
      <c r="V7" s="118"/>
      <c r="W7" s="118"/>
      <c r="X7" s="118"/>
      <c r="Y7" s="118"/>
      <c r="Z7" s="118"/>
      <c r="AA7" s="118"/>
      <c r="AB7" s="118"/>
      <c r="AC7" s="118"/>
    </row>
    <row r="8" spans="1:29" ht="19.95" customHeight="1" x14ac:dyDescent="0.25">
      <c r="A8" s="38">
        <v>6371558394</v>
      </c>
      <c r="B8" s="56" t="s">
        <v>817</v>
      </c>
      <c r="C8" s="146" t="s">
        <v>818</v>
      </c>
      <c r="D8" s="56" t="s">
        <v>272</v>
      </c>
      <c r="E8" s="56" t="s">
        <v>247</v>
      </c>
      <c r="F8" s="56" t="s">
        <v>819</v>
      </c>
      <c r="G8" s="56" t="s">
        <v>236</v>
      </c>
      <c r="H8" s="56" t="s">
        <v>233</v>
      </c>
      <c r="I8" s="56" t="s">
        <v>195</v>
      </c>
      <c r="J8" s="56" t="s">
        <v>115</v>
      </c>
      <c r="K8" s="56"/>
      <c r="L8" s="56"/>
      <c r="M8" s="56"/>
      <c r="N8" s="56" t="s">
        <v>16</v>
      </c>
      <c r="O8" s="61" t="s">
        <v>203</v>
      </c>
      <c r="P8" s="56" t="s">
        <v>18</v>
      </c>
      <c r="Q8" s="56"/>
      <c r="R8" s="118"/>
      <c r="S8" s="118"/>
      <c r="T8" s="118"/>
      <c r="U8" s="118"/>
      <c r="V8" s="118"/>
      <c r="W8" s="118"/>
      <c r="X8" s="118"/>
      <c r="Y8" s="118"/>
      <c r="Z8" s="118"/>
      <c r="AA8" s="118"/>
      <c r="AB8" s="118"/>
      <c r="AC8" s="118"/>
    </row>
    <row r="9" spans="1:29" ht="19.95" customHeight="1" x14ac:dyDescent="0.25">
      <c r="A9" s="38">
        <v>6371558394</v>
      </c>
      <c r="B9" s="56" t="s">
        <v>817</v>
      </c>
      <c r="C9" s="146" t="s">
        <v>818</v>
      </c>
      <c r="D9" s="56" t="s">
        <v>272</v>
      </c>
      <c r="E9" s="56" t="s">
        <v>247</v>
      </c>
      <c r="F9" s="56" t="s">
        <v>819</v>
      </c>
      <c r="G9" s="56" t="s">
        <v>236</v>
      </c>
      <c r="H9" s="56" t="s">
        <v>233</v>
      </c>
      <c r="I9" s="56" t="s">
        <v>195</v>
      </c>
      <c r="J9" s="56" t="s">
        <v>115</v>
      </c>
      <c r="K9" s="56"/>
      <c r="L9" s="56"/>
      <c r="M9" s="56"/>
      <c r="N9" s="56" t="s">
        <v>16</v>
      </c>
      <c r="O9" s="61" t="s">
        <v>204</v>
      </c>
      <c r="P9" s="56" t="s">
        <v>18</v>
      </c>
      <c r="Q9" s="56">
        <v>1</v>
      </c>
      <c r="R9" s="118"/>
      <c r="S9" s="118"/>
      <c r="T9" s="118"/>
      <c r="U9" s="118"/>
      <c r="V9" s="118"/>
      <c r="W9" s="118">
        <v>1</v>
      </c>
      <c r="X9" s="118"/>
      <c r="Y9" s="118"/>
      <c r="Z9" s="118"/>
      <c r="AA9" s="118"/>
      <c r="AB9" s="118"/>
      <c r="AC9" s="118"/>
    </row>
    <row r="10" spans="1:29" ht="19.95" customHeight="1" x14ac:dyDescent="0.25">
      <c r="A10" s="38">
        <v>6371558394</v>
      </c>
      <c r="B10" s="56" t="s">
        <v>817</v>
      </c>
      <c r="C10" s="146" t="s">
        <v>818</v>
      </c>
      <c r="D10" s="56" t="s">
        <v>272</v>
      </c>
      <c r="E10" s="56" t="s">
        <v>247</v>
      </c>
      <c r="F10" s="56" t="s">
        <v>819</v>
      </c>
      <c r="G10" s="56" t="s">
        <v>236</v>
      </c>
      <c r="H10" s="56" t="s">
        <v>233</v>
      </c>
      <c r="I10" s="56" t="s">
        <v>195</v>
      </c>
      <c r="J10" s="56" t="s">
        <v>115</v>
      </c>
      <c r="K10" s="56"/>
      <c r="L10" s="56"/>
      <c r="M10" s="56"/>
      <c r="N10" s="56" t="s">
        <v>16</v>
      </c>
      <c r="O10" s="61" t="s">
        <v>205</v>
      </c>
      <c r="P10" s="56" t="s">
        <v>196</v>
      </c>
      <c r="Q10" s="56">
        <f>X10+Y10+Z10+AA10+AB10</f>
        <v>4000</v>
      </c>
      <c r="R10" s="118"/>
      <c r="S10" s="118"/>
      <c r="T10" s="118"/>
      <c r="U10" s="118"/>
      <c r="V10" s="118"/>
      <c r="W10" s="118"/>
      <c r="X10" s="130"/>
      <c r="Y10" s="130">
        <v>400</v>
      </c>
      <c r="Z10" s="130">
        <v>1500</v>
      </c>
      <c r="AA10" s="130">
        <v>1500</v>
      </c>
      <c r="AB10" s="130">
        <v>600</v>
      </c>
      <c r="AC10" s="130"/>
    </row>
    <row r="11" spans="1:29" ht="19.95" customHeight="1" x14ac:dyDescent="0.25">
      <c r="A11" s="38">
        <v>6371558394</v>
      </c>
      <c r="B11" s="56" t="s">
        <v>817</v>
      </c>
      <c r="C11" s="146" t="s">
        <v>818</v>
      </c>
      <c r="D11" s="56" t="s">
        <v>272</v>
      </c>
      <c r="E11" s="56" t="s">
        <v>247</v>
      </c>
      <c r="F11" s="56" t="s">
        <v>819</v>
      </c>
      <c r="G11" s="56" t="s">
        <v>236</v>
      </c>
      <c r="H11" s="56" t="s">
        <v>233</v>
      </c>
      <c r="I11" s="56" t="s">
        <v>195</v>
      </c>
      <c r="J11" s="56" t="s">
        <v>115</v>
      </c>
      <c r="K11" s="56"/>
      <c r="L11" s="56"/>
      <c r="M11" s="56"/>
      <c r="N11" s="56" t="s">
        <v>16</v>
      </c>
      <c r="O11" s="61" t="s">
        <v>206</v>
      </c>
      <c r="P11" s="56" t="s">
        <v>21</v>
      </c>
      <c r="Q11" s="107">
        <v>1</v>
      </c>
      <c r="R11" s="118"/>
      <c r="S11" s="118"/>
      <c r="T11" s="118"/>
      <c r="U11" s="118"/>
      <c r="V11" s="118"/>
      <c r="W11" s="118"/>
      <c r="X11" s="107">
        <v>1</v>
      </c>
      <c r="Y11" s="107">
        <v>1</v>
      </c>
      <c r="Z11" s="107">
        <v>1</v>
      </c>
      <c r="AA11" s="107">
        <v>1</v>
      </c>
      <c r="AB11" s="107">
        <v>1</v>
      </c>
      <c r="AC11" s="130"/>
    </row>
    <row r="12" spans="1:29" ht="19.95" customHeight="1" x14ac:dyDescent="0.25">
      <c r="A12" s="38">
        <v>6371558394</v>
      </c>
      <c r="B12" s="56" t="s">
        <v>817</v>
      </c>
      <c r="C12" s="146" t="s">
        <v>818</v>
      </c>
      <c r="D12" s="56" t="s">
        <v>272</v>
      </c>
      <c r="E12" s="56" t="s">
        <v>247</v>
      </c>
      <c r="F12" s="56" t="s">
        <v>819</v>
      </c>
      <c r="G12" s="56" t="s">
        <v>236</v>
      </c>
      <c r="H12" s="56" t="s">
        <v>233</v>
      </c>
      <c r="I12" s="56" t="s">
        <v>195</v>
      </c>
      <c r="J12" s="56" t="s">
        <v>115</v>
      </c>
      <c r="K12" s="56"/>
      <c r="L12" s="56"/>
      <c r="M12" s="56"/>
      <c r="N12" s="56" t="s">
        <v>16</v>
      </c>
      <c r="O12" s="61" t="s">
        <v>207</v>
      </c>
      <c r="P12" s="56" t="s">
        <v>196</v>
      </c>
      <c r="Q12" s="56">
        <f>Y12+Z12+AA12+AB12</f>
        <v>4000</v>
      </c>
      <c r="R12" s="118"/>
      <c r="S12" s="118"/>
      <c r="T12" s="118"/>
      <c r="U12" s="118"/>
      <c r="V12" s="118"/>
      <c r="W12" s="118"/>
      <c r="X12" s="130"/>
      <c r="Y12" s="130">
        <v>400</v>
      </c>
      <c r="Z12" s="130">
        <v>1500</v>
      </c>
      <c r="AA12" s="130">
        <v>1500</v>
      </c>
      <c r="AB12" s="130">
        <v>600</v>
      </c>
      <c r="AC12" s="130"/>
    </row>
    <row r="13" spans="1:29" ht="19.95" customHeight="1" x14ac:dyDescent="0.25">
      <c r="A13" s="38">
        <v>6371558394</v>
      </c>
      <c r="B13" s="56" t="s">
        <v>817</v>
      </c>
      <c r="C13" s="146" t="s">
        <v>818</v>
      </c>
      <c r="D13" s="56" t="s">
        <v>272</v>
      </c>
      <c r="E13" s="56" t="s">
        <v>247</v>
      </c>
      <c r="F13" s="56" t="s">
        <v>819</v>
      </c>
      <c r="G13" s="56" t="s">
        <v>236</v>
      </c>
      <c r="H13" s="56" t="s">
        <v>233</v>
      </c>
      <c r="I13" s="56" t="s">
        <v>195</v>
      </c>
      <c r="J13" s="56" t="s">
        <v>115</v>
      </c>
      <c r="K13" s="56"/>
      <c r="L13" s="56"/>
      <c r="M13" s="56"/>
      <c r="N13" s="56" t="s">
        <v>16</v>
      </c>
      <c r="O13" s="61" t="s">
        <v>208</v>
      </c>
      <c r="P13" s="56" t="s">
        <v>21</v>
      </c>
      <c r="Q13" s="107">
        <v>1</v>
      </c>
      <c r="R13" s="118"/>
      <c r="S13" s="118"/>
      <c r="T13" s="118"/>
      <c r="U13" s="118"/>
      <c r="V13" s="118"/>
      <c r="W13" s="118"/>
      <c r="X13" s="118"/>
      <c r="Y13" s="107">
        <v>1</v>
      </c>
      <c r="Z13" s="107">
        <v>1</v>
      </c>
      <c r="AA13" s="107">
        <v>1</v>
      </c>
      <c r="AB13" s="107">
        <v>1</v>
      </c>
      <c r="AC13" s="130"/>
    </row>
    <row r="14" spans="1:29" ht="19.95" customHeight="1" x14ac:dyDescent="0.25">
      <c r="A14" s="38">
        <v>6371558394</v>
      </c>
      <c r="B14" s="56" t="s">
        <v>817</v>
      </c>
      <c r="C14" s="146" t="s">
        <v>818</v>
      </c>
      <c r="D14" s="56" t="s">
        <v>272</v>
      </c>
      <c r="E14" s="56" t="s">
        <v>247</v>
      </c>
      <c r="F14" s="56" t="s">
        <v>819</v>
      </c>
      <c r="G14" s="56" t="s">
        <v>236</v>
      </c>
      <c r="H14" s="56" t="s">
        <v>233</v>
      </c>
      <c r="I14" s="56" t="s">
        <v>195</v>
      </c>
      <c r="J14" s="56" t="s">
        <v>115</v>
      </c>
      <c r="K14" s="56"/>
      <c r="L14" s="56"/>
      <c r="M14" s="56"/>
      <c r="N14" s="56" t="s">
        <v>16</v>
      </c>
      <c r="O14" s="61" t="s">
        <v>209</v>
      </c>
      <c r="P14" s="56" t="s">
        <v>21</v>
      </c>
      <c r="Q14" s="107">
        <v>1</v>
      </c>
      <c r="R14" s="118"/>
      <c r="S14" s="118"/>
      <c r="T14" s="118"/>
      <c r="U14" s="118"/>
      <c r="V14" s="118"/>
      <c r="W14" s="118"/>
      <c r="X14" s="107">
        <v>1</v>
      </c>
      <c r="Y14" s="107">
        <v>1</v>
      </c>
      <c r="Z14" s="107">
        <v>1</v>
      </c>
      <c r="AA14" s="107">
        <v>1</v>
      </c>
      <c r="AB14" s="107">
        <v>1</v>
      </c>
      <c r="AC14" s="130"/>
    </row>
    <row r="15" spans="1:29" ht="19.95" customHeight="1" x14ac:dyDescent="0.25">
      <c r="A15" s="38">
        <v>6371558394</v>
      </c>
      <c r="B15" s="56" t="s">
        <v>817</v>
      </c>
      <c r="C15" s="146" t="s">
        <v>818</v>
      </c>
      <c r="D15" s="56" t="s">
        <v>272</v>
      </c>
      <c r="E15" s="56" t="s">
        <v>247</v>
      </c>
      <c r="F15" s="56" t="s">
        <v>819</v>
      </c>
      <c r="G15" s="56" t="s">
        <v>236</v>
      </c>
      <c r="H15" s="56" t="s">
        <v>233</v>
      </c>
      <c r="I15" s="56" t="s">
        <v>195</v>
      </c>
      <c r="J15" s="56" t="s">
        <v>115</v>
      </c>
      <c r="K15" s="56"/>
      <c r="L15" s="56"/>
      <c r="M15" s="56"/>
      <c r="N15" s="56" t="s">
        <v>16</v>
      </c>
      <c r="O15" s="61" t="s">
        <v>210</v>
      </c>
      <c r="P15" s="56" t="s">
        <v>21</v>
      </c>
      <c r="Q15" s="107">
        <v>1</v>
      </c>
      <c r="R15" s="118"/>
      <c r="S15" s="118"/>
      <c r="T15" s="118"/>
      <c r="U15" s="118"/>
      <c r="V15" s="118"/>
      <c r="W15" s="118"/>
      <c r="X15" s="107">
        <v>1</v>
      </c>
      <c r="Y15" s="107">
        <v>1</v>
      </c>
      <c r="Z15" s="107">
        <v>1</v>
      </c>
      <c r="AA15" s="107">
        <v>1</v>
      </c>
      <c r="AB15" s="107">
        <v>1</v>
      </c>
      <c r="AC15" s="130"/>
    </row>
    <row r="16" spans="1:29" ht="19.95" customHeight="1" x14ac:dyDescent="0.25">
      <c r="A16" s="38">
        <v>6371558394</v>
      </c>
      <c r="B16" s="56" t="s">
        <v>817</v>
      </c>
      <c r="C16" s="146" t="s">
        <v>818</v>
      </c>
      <c r="D16" s="56" t="s">
        <v>272</v>
      </c>
      <c r="E16" s="56" t="s">
        <v>247</v>
      </c>
      <c r="F16" s="56" t="s">
        <v>819</v>
      </c>
      <c r="G16" s="56" t="s">
        <v>236</v>
      </c>
      <c r="H16" s="56" t="s">
        <v>233</v>
      </c>
      <c r="I16" s="56" t="s">
        <v>195</v>
      </c>
      <c r="J16" s="56" t="s">
        <v>115</v>
      </c>
      <c r="K16" s="56"/>
      <c r="L16" s="56"/>
      <c r="M16" s="56"/>
      <c r="N16" s="56" t="s">
        <v>16</v>
      </c>
      <c r="O16" s="61" t="s">
        <v>211</v>
      </c>
      <c r="P16" s="56" t="s">
        <v>196</v>
      </c>
      <c r="Q16" s="56">
        <f>Y16+Z16+AA16+AB16</f>
        <v>4000</v>
      </c>
      <c r="R16" s="118"/>
      <c r="S16" s="118"/>
      <c r="T16" s="118"/>
      <c r="U16" s="118"/>
      <c r="V16" s="118"/>
      <c r="W16" s="118"/>
      <c r="X16" s="130"/>
      <c r="Y16" s="130">
        <v>400</v>
      </c>
      <c r="Z16" s="130">
        <v>1500</v>
      </c>
      <c r="AA16" s="130">
        <v>1500</v>
      </c>
      <c r="AB16" s="130">
        <v>600</v>
      </c>
      <c r="AC16" s="130"/>
    </row>
    <row r="17" spans="1:29" ht="19.95" customHeight="1" x14ac:dyDescent="0.25">
      <c r="A17" s="38">
        <v>6371558394</v>
      </c>
      <c r="B17" s="56" t="s">
        <v>817</v>
      </c>
      <c r="C17" s="146" t="s">
        <v>818</v>
      </c>
      <c r="D17" s="56" t="s">
        <v>272</v>
      </c>
      <c r="E17" s="56" t="s">
        <v>247</v>
      </c>
      <c r="F17" s="56" t="s">
        <v>819</v>
      </c>
      <c r="G17" s="56" t="s">
        <v>236</v>
      </c>
      <c r="H17" s="56" t="s">
        <v>233</v>
      </c>
      <c r="I17" s="56" t="s">
        <v>195</v>
      </c>
      <c r="J17" s="56" t="s">
        <v>115</v>
      </c>
      <c r="K17" s="56"/>
      <c r="L17" s="56"/>
      <c r="M17" s="56"/>
      <c r="N17" s="56" t="s">
        <v>16</v>
      </c>
      <c r="O17" s="61" t="s">
        <v>212</v>
      </c>
      <c r="P17" s="56" t="s">
        <v>196</v>
      </c>
      <c r="Q17" s="56">
        <f>Y17+Z17+AA17+AB17</f>
        <v>4000</v>
      </c>
      <c r="R17" s="118"/>
      <c r="S17" s="118"/>
      <c r="T17" s="118"/>
      <c r="U17" s="118"/>
      <c r="V17" s="118"/>
      <c r="W17" s="118"/>
      <c r="X17" s="130"/>
      <c r="Y17" s="130">
        <v>400</v>
      </c>
      <c r="Z17" s="130">
        <v>1500</v>
      </c>
      <c r="AA17" s="130">
        <v>1500</v>
      </c>
      <c r="AB17" s="130">
        <v>600</v>
      </c>
      <c r="AC17" s="130"/>
    </row>
    <row r="18" spans="1:29" ht="19.95" customHeight="1" x14ac:dyDescent="0.25">
      <c r="A18" s="38">
        <v>6371558394</v>
      </c>
      <c r="B18" s="56" t="s">
        <v>817</v>
      </c>
      <c r="C18" s="146" t="s">
        <v>818</v>
      </c>
      <c r="D18" s="56" t="s">
        <v>272</v>
      </c>
      <c r="E18" s="56" t="s">
        <v>247</v>
      </c>
      <c r="F18" s="56" t="s">
        <v>819</v>
      </c>
      <c r="G18" s="56" t="s">
        <v>236</v>
      </c>
      <c r="H18" s="56" t="s">
        <v>233</v>
      </c>
      <c r="I18" s="56" t="s">
        <v>195</v>
      </c>
      <c r="J18" s="56" t="s">
        <v>115</v>
      </c>
      <c r="K18" s="56"/>
      <c r="L18" s="56"/>
      <c r="M18" s="56"/>
      <c r="N18" s="56" t="s">
        <v>16</v>
      </c>
      <c r="O18" s="61" t="s">
        <v>213</v>
      </c>
      <c r="P18" s="56" t="s">
        <v>196</v>
      </c>
      <c r="Q18" s="56">
        <f>Y18+Z18+AA18+AB18</f>
        <v>4000</v>
      </c>
      <c r="R18" s="118"/>
      <c r="S18" s="118"/>
      <c r="T18" s="118"/>
      <c r="U18" s="118"/>
      <c r="V18" s="118"/>
      <c r="W18" s="118"/>
      <c r="X18" s="130"/>
      <c r="Y18" s="130">
        <v>400</v>
      </c>
      <c r="Z18" s="130">
        <v>1500</v>
      </c>
      <c r="AA18" s="130">
        <v>1500</v>
      </c>
      <c r="AB18" s="130">
        <v>600</v>
      </c>
      <c r="AC18" s="130"/>
    </row>
    <row r="19" spans="1:29" ht="19.95" customHeight="1" x14ac:dyDescent="0.25">
      <c r="A19" s="38">
        <v>6371558394</v>
      </c>
      <c r="B19" s="56" t="s">
        <v>817</v>
      </c>
      <c r="C19" s="146" t="s">
        <v>818</v>
      </c>
      <c r="D19" s="56" t="s">
        <v>272</v>
      </c>
      <c r="E19" s="56" t="s">
        <v>247</v>
      </c>
      <c r="F19" s="56" t="s">
        <v>819</v>
      </c>
      <c r="G19" s="56" t="s">
        <v>236</v>
      </c>
      <c r="H19" s="56" t="s">
        <v>233</v>
      </c>
      <c r="I19" s="56" t="s">
        <v>195</v>
      </c>
      <c r="J19" s="56" t="s">
        <v>115</v>
      </c>
      <c r="K19" s="56"/>
      <c r="L19" s="56"/>
      <c r="M19" s="56"/>
      <c r="N19" s="56" t="s">
        <v>16</v>
      </c>
      <c r="O19" s="61" t="s">
        <v>214</v>
      </c>
      <c r="P19" s="56" t="s">
        <v>196</v>
      </c>
      <c r="Q19" s="56">
        <f>Y19+Z19+AA19+AB19+AC19</f>
        <v>4000</v>
      </c>
      <c r="R19" s="118"/>
      <c r="S19" s="118"/>
      <c r="T19" s="118"/>
      <c r="U19" s="118"/>
      <c r="V19" s="118"/>
      <c r="W19" s="118"/>
      <c r="X19" s="118"/>
      <c r="Y19" s="130">
        <v>150</v>
      </c>
      <c r="Z19" s="130">
        <v>1200</v>
      </c>
      <c r="AA19" s="130">
        <v>1500</v>
      </c>
      <c r="AB19" s="130">
        <v>800</v>
      </c>
      <c r="AC19" s="130">
        <v>350</v>
      </c>
    </row>
    <row r="20" spans="1:29" ht="19.95" customHeight="1" x14ac:dyDescent="0.25">
      <c r="A20" s="38">
        <v>6371558394</v>
      </c>
      <c r="B20" s="56" t="s">
        <v>817</v>
      </c>
      <c r="C20" s="146" t="s">
        <v>818</v>
      </c>
      <c r="D20" s="56" t="s">
        <v>272</v>
      </c>
      <c r="E20" s="56" t="s">
        <v>247</v>
      </c>
      <c r="F20" s="56" t="s">
        <v>819</v>
      </c>
      <c r="G20" s="56" t="s">
        <v>236</v>
      </c>
      <c r="H20" s="56" t="s">
        <v>233</v>
      </c>
      <c r="I20" s="56" t="s">
        <v>195</v>
      </c>
      <c r="J20" s="56" t="s">
        <v>115</v>
      </c>
      <c r="K20" s="56"/>
      <c r="L20" s="56"/>
      <c r="M20" s="56"/>
      <c r="N20" s="56" t="s">
        <v>16</v>
      </c>
      <c r="O20" s="61" t="s">
        <v>215</v>
      </c>
      <c r="P20" s="56" t="s">
        <v>196</v>
      </c>
      <c r="Q20" s="56">
        <f>Y20+Z20+AA20+AB20+AC20</f>
        <v>1319</v>
      </c>
      <c r="R20" s="118"/>
      <c r="S20" s="118"/>
      <c r="T20" s="118"/>
      <c r="U20" s="118"/>
      <c r="V20" s="118"/>
      <c r="W20" s="118"/>
      <c r="X20" s="118"/>
      <c r="Y20" s="130">
        <v>49</v>
      </c>
      <c r="Z20" s="130">
        <v>396</v>
      </c>
      <c r="AA20" s="130">
        <v>495</v>
      </c>
      <c r="AB20" s="130">
        <v>264</v>
      </c>
      <c r="AC20" s="130">
        <v>115</v>
      </c>
    </row>
    <row r="21" spans="1:29" ht="19.95" customHeight="1" x14ac:dyDescent="0.25">
      <c r="A21" s="38">
        <v>6371558394</v>
      </c>
      <c r="B21" s="56" t="s">
        <v>817</v>
      </c>
      <c r="C21" s="146" t="s">
        <v>818</v>
      </c>
      <c r="D21" s="56" t="s">
        <v>272</v>
      </c>
      <c r="E21" s="56" t="s">
        <v>247</v>
      </c>
      <c r="F21" s="56" t="s">
        <v>819</v>
      </c>
      <c r="G21" s="56" t="s">
        <v>236</v>
      </c>
      <c r="H21" s="56" t="s">
        <v>233</v>
      </c>
      <c r="I21" s="56" t="s">
        <v>195</v>
      </c>
      <c r="J21" s="56" t="s">
        <v>115</v>
      </c>
      <c r="K21" s="56"/>
      <c r="L21" s="56"/>
      <c r="M21" s="56"/>
      <c r="N21" s="56" t="s">
        <v>16</v>
      </c>
      <c r="O21" s="61" t="s">
        <v>216</v>
      </c>
      <c r="P21" s="56" t="s">
        <v>21</v>
      </c>
      <c r="Q21" s="107">
        <v>1</v>
      </c>
      <c r="R21" s="118"/>
      <c r="S21" s="118"/>
      <c r="T21" s="118"/>
      <c r="U21" s="118"/>
      <c r="V21" s="118"/>
      <c r="W21" s="118"/>
      <c r="X21" s="118"/>
      <c r="Y21" s="130">
        <v>33</v>
      </c>
      <c r="Z21" s="130">
        <v>33</v>
      </c>
      <c r="AA21" s="130">
        <v>34</v>
      </c>
      <c r="AB21" s="130">
        <v>34</v>
      </c>
      <c r="AC21" s="130">
        <v>34</v>
      </c>
    </row>
    <row r="22" spans="1:29" ht="19.95" customHeight="1" x14ac:dyDescent="0.25">
      <c r="A22" s="38">
        <v>6371558394</v>
      </c>
      <c r="B22" s="56" t="s">
        <v>817</v>
      </c>
      <c r="C22" s="146" t="s">
        <v>818</v>
      </c>
      <c r="D22" s="56" t="s">
        <v>272</v>
      </c>
      <c r="E22" s="56" t="s">
        <v>247</v>
      </c>
      <c r="F22" s="56" t="s">
        <v>819</v>
      </c>
      <c r="G22" s="56" t="s">
        <v>236</v>
      </c>
      <c r="H22" s="56" t="s">
        <v>233</v>
      </c>
      <c r="I22" s="56" t="s">
        <v>195</v>
      </c>
      <c r="J22" s="56" t="s">
        <v>115</v>
      </c>
      <c r="K22" s="56"/>
      <c r="L22" s="56"/>
      <c r="M22" s="56"/>
      <c r="N22" s="56" t="s">
        <v>16</v>
      </c>
      <c r="O22" s="61" t="s">
        <v>217</v>
      </c>
      <c r="P22" s="56" t="s">
        <v>21</v>
      </c>
      <c r="Q22" s="107">
        <v>1</v>
      </c>
      <c r="R22" s="118"/>
      <c r="S22" s="118"/>
      <c r="T22" s="118"/>
      <c r="U22" s="118"/>
      <c r="V22" s="118"/>
      <c r="W22" s="118"/>
      <c r="X22" s="118"/>
      <c r="Y22" s="130">
        <v>9</v>
      </c>
      <c r="Z22" s="130">
        <v>9</v>
      </c>
      <c r="AA22" s="130">
        <v>9</v>
      </c>
      <c r="AB22" s="130">
        <v>9</v>
      </c>
      <c r="AC22" s="130">
        <v>9</v>
      </c>
    </row>
    <row r="23" spans="1:29" ht="19.95" customHeight="1" x14ac:dyDescent="0.25">
      <c r="A23" s="38">
        <v>6371558394</v>
      </c>
      <c r="B23" s="56" t="s">
        <v>817</v>
      </c>
      <c r="C23" s="146" t="s">
        <v>818</v>
      </c>
      <c r="D23" s="56" t="s">
        <v>272</v>
      </c>
      <c r="E23" s="56" t="s">
        <v>247</v>
      </c>
      <c r="F23" s="56" t="s">
        <v>819</v>
      </c>
      <c r="G23" s="56" t="s">
        <v>236</v>
      </c>
      <c r="H23" s="56" t="s">
        <v>233</v>
      </c>
      <c r="I23" s="56" t="s">
        <v>195</v>
      </c>
      <c r="J23" s="56" t="s">
        <v>115</v>
      </c>
      <c r="K23" s="56"/>
      <c r="L23" s="56"/>
      <c r="M23" s="56"/>
      <c r="N23" s="56" t="s">
        <v>16</v>
      </c>
      <c r="O23" s="61" t="s">
        <v>218</v>
      </c>
      <c r="P23" s="56" t="s">
        <v>21</v>
      </c>
      <c r="Q23" s="107">
        <v>1</v>
      </c>
      <c r="R23" s="118"/>
      <c r="S23" s="118"/>
      <c r="T23" s="118"/>
      <c r="U23" s="118"/>
      <c r="V23" s="118"/>
      <c r="W23" s="118"/>
      <c r="X23" s="118"/>
      <c r="Y23" s="130">
        <v>63.5</v>
      </c>
      <c r="Z23" s="130">
        <v>63.5</v>
      </c>
      <c r="AA23" s="130">
        <v>63</v>
      </c>
      <c r="AB23" s="130">
        <v>63</v>
      </c>
      <c r="AC23" s="130">
        <v>63</v>
      </c>
    </row>
    <row r="24" spans="1:29" ht="19.95" customHeight="1" x14ac:dyDescent="0.25">
      <c r="A24" s="38">
        <v>6371558394</v>
      </c>
      <c r="B24" s="56" t="s">
        <v>817</v>
      </c>
      <c r="C24" s="146" t="s">
        <v>818</v>
      </c>
      <c r="D24" s="56" t="s">
        <v>272</v>
      </c>
      <c r="E24" s="56" t="s">
        <v>247</v>
      </c>
      <c r="F24" s="56" t="s">
        <v>819</v>
      </c>
      <c r="G24" s="56" t="s">
        <v>236</v>
      </c>
      <c r="H24" s="56" t="s">
        <v>233</v>
      </c>
      <c r="I24" s="56" t="s">
        <v>195</v>
      </c>
      <c r="J24" s="56" t="s">
        <v>115</v>
      </c>
      <c r="K24" s="56"/>
      <c r="L24" s="56"/>
      <c r="M24" s="56"/>
      <c r="N24" s="56" t="s">
        <v>16</v>
      </c>
      <c r="O24" s="61" t="s">
        <v>219</v>
      </c>
      <c r="P24" s="56" t="s">
        <v>21</v>
      </c>
      <c r="Q24" s="107">
        <v>1</v>
      </c>
      <c r="R24" s="118"/>
      <c r="S24" s="118"/>
      <c r="T24" s="118"/>
      <c r="U24" s="118"/>
      <c r="V24" s="118"/>
      <c r="W24" s="118"/>
      <c r="X24" s="118"/>
      <c r="Y24" s="107">
        <v>1</v>
      </c>
      <c r="Z24" s="107">
        <v>1</v>
      </c>
      <c r="AA24" s="107">
        <v>1</v>
      </c>
      <c r="AB24" s="107">
        <v>1</v>
      </c>
      <c r="AC24" s="107">
        <v>1</v>
      </c>
    </row>
    <row r="25" spans="1:29" ht="19.95" customHeight="1" x14ac:dyDescent="0.25">
      <c r="A25" s="38">
        <v>6371558394</v>
      </c>
      <c r="B25" s="56" t="s">
        <v>817</v>
      </c>
      <c r="C25" s="146" t="s">
        <v>818</v>
      </c>
      <c r="D25" s="56" t="s">
        <v>272</v>
      </c>
      <c r="E25" s="56" t="s">
        <v>247</v>
      </c>
      <c r="F25" s="56" t="s">
        <v>819</v>
      </c>
      <c r="G25" s="56" t="s">
        <v>236</v>
      </c>
      <c r="H25" s="56" t="s">
        <v>233</v>
      </c>
      <c r="I25" s="56" t="s">
        <v>195</v>
      </c>
      <c r="J25" s="56" t="s">
        <v>115</v>
      </c>
      <c r="K25" s="56"/>
      <c r="L25" s="56"/>
      <c r="M25" s="56"/>
      <c r="N25" s="56" t="s">
        <v>16</v>
      </c>
      <c r="O25" s="61" t="s">
        <v>220</v>
      </c>
      <c r="P25" s="56" t="s">
        <v>18</v>
      </c>
      <c r="Q25" s="56">
        <f>Y25+Z25+AA25+AB25+AC25</f>
        <v>8000</v>
      </c>
      <c r="R25" s="118"/>
      <c r="S25" s="118"/>
      <c r="T25" s="118"/>
      <c r="U25" s="118"/>
      <c r="V25" s="118"/>
      <c r="W25" s="118"/>
      <c r="X25" s="118"/>
      <c r="Y25" s="130">
        <v>300</v>
      </c>
      <c r="Z25" s="130">
        <v>2400</v>
      </c>
      <c r="AA25" s="130">
        <v>3000</v>
      </c>
      <c r="AB25" s="130">
        <v>1600</v>
      </c>
      <c r="AC25" s="130">
        <v>700</v>
      </c>
    </row>
    <row r="26" spans="1:29" ht="19.95" customHeight="1" x14ac:dyDescent="0.25">
      <c r="A26" s="38">
        <v>6371558394</v>
      </c>
      <c r="B26" s="56" t="s">
        <v>817</v>
      </c>
      <c r="C26" s="146" t="s">
        <v>818</v>
      </c>
      <c r="D26" s="56" t="s">
        <v>272</v>
      </c>
      <c r="E26" s="56" t="s">
        <v>247</v>
      </c>
      <c r="F26" s="56" t="s">
        <v>819</v>
      </c>
      <c r="G26" s="56" t="s">
        <v>236</v>
      </c>
      <c r="H26" s="56" t="s">
        <v>233</v>
      </c>
      <c r="I26" s="56" t="s">
        <v>195</v>
      </c>
      <c r="J26" s="56" t="s">
        <v>115</v>
      </c>
      <c r="K26" s="56"/>
      <c r="L26" s="56"/>
      <c r="M26" s="56"/>
      <c r="N26" s="56" t="s">
        <v>16</v>
      </c>
      <c r="O26" s="61" t="s">
        <v>221</v>
      </c>
      <c r="P26" s="56" t="s">
        <v>18</v>
      </c>
      <c r="Q26" s="56">
        <f>Y26+Z26+AA26+AB26+AC26</f>
        <v>53</v>
      </c>
      <c r="R26" s="118"/>
      <c r="S26" s="118"/>
      <c r="T26" s="118"/>
      <c r="U26" s="118"/>
      <c r="V26" s="118"/>
      <c r="W26" s="118"/>
      <c r="X26" s="118"/>
      <c r="Y26" s="130">
        <v>2</v>
      </c>
      <c r="Z26" s="130">
        <v>16</v>
      </c>
      <c r="AA26" s="130">
        <v>20</v>
      </c>
      <c r="AB26" s="130">
        <v>11</v>
      </c>
      <c r="AC26" s="130">
        <v>4</v>
      </c>
    </row>
    <row r="27" spans="1:29" ht="19.95" customHeight="1" x14ac:dyDescent="0.25">
      <c r="A27" s="38">
        <v>6371558394</v>
      </c>
      <c r="B27" s="56" t="s">
        <v>817</v>
      </c>
      <c r="C27" s="146" t="s">
        <v>818</v>
      </c>
      <c r="D27" s="56" t="s">
        <v>272</v>
      </c>
      <c r="E27" s="56" t="s">
        <v>247</v>
      </c>
      <c r="F27" s="56" t="s">
        <v>819</v>
      </c>
      <c r="G27" s="56" t="s">
        <v>236</v>
      </c>
      <c r="H27" s="56" t="s">
        <v>233</v>
      </c>
      <c r="I27" s="56" t="s">
        <v>195</v>
      </c>
      <c r="J27" s="56" t="s">
        <v>115</v>
      </c>
      <c r="K27" s="56"/>
      <c r="L27" s="56"/>
      <c r="M27" s="56"/>
      <c r="N27" s="56" t="s">
        <v>16</v>
      </c>
      <c r="O27" s="61" t="s">
        <v>222</v>
      </c>
      <c r="P27" s="56" t="s">
        <v>18</v>
      </c>
      <c r="Q27" s="56">
        <f>Y27+Z27+AA27+AB27+AC27</f>
        <v>7000</v>
      </c>
      <c r="R27" s="118"/>
      <c r="S27" s="118"/>
      <c r="T27" s="118"/>
      <c r="U27" s="118"/>
      <c r="V27" s="118"/>
      <c r="W27" s="118"/>
      <c r="X27" s="118"/>
      <c r="Y27" s="130"/>
      <c r="Z27" s="130">
        <v>1500</v>
      </c>
      <c r="AA27" s="130">
        <v>2500</v>
      </c>
      <c r="AB27" s="130">
        <v>2000</v>
      </c>
      <c r="AC27" s="130">
        <v>1000</v>
      </c>
    </row>
    <row r="28" spans="1:29" ht="19.95" customHeight="1" x14ac:dyDescent="0.25">
      <c r="A28" s="38">
        <v>6371558394</v>
      </c>
      <c r="B28" s="56" t="s">
        <v>817</v>
      </c>
      <c r="C28" s="146" t="s">
        <v>818</v>
      </c>
      <c r="D28" s="56" t="s">
        <v>272</v>
      </c>
      <c r="E28" s="56" t="s">
        <v>247</v>
      </c>
      <c r="F28" s="56" t="s">
        <v>819</v>
      </c>
      <c r="G28" s="56" t="s">
        <v>236</v>
      </c>
      <c r="H28" s="56" t="s">
        <v>233</v>
      </c>
      <c r="I28" s="56" t="s">
        <v>195</v>
      </c>
      <c r="J28" s="56" t="s">
        <v>115</v>
      </c>
      <c r="K28" s="56"/>
      <c r="L28" s="56"/>
      <c r="M28" s="56"/>
      <c r="N28" s="56" t="s">
        <v>16</v>
      </c>
      <c r="O28" s="61" t="s">
        <v>223</v>
      </c>
      <c r="P28" s="56" t="s">
        <v>196</v>
      </c>
      <c r="Q28" s="56">
        <f t="shared" ref="Q28:Q32" si="0">Y28+Z28+AA28+AB28+AC28</f>
        <v>1154</v>
      </c>
      <c r="R28" s="118"/>
      <c r="S28" s="118"/>
      <c r="T28" s="118"/>
      <c r="U28" s="118"/>
      <c r="V28" s="118"/>
      <c r="W28" s="118"/>
      <c r="X28" s="118"/>
      <c r="Y28" s="130"/>
      <c r="Z28" s="130">
        <v>247</v>
      </c>
      <c r="AA28" s="130">
        <v>412</v>
      </c>
      <c r="AB28" s="130">
        <v>330</v>
      </c>
      <c r="AC28" s="130">
        <v>165</v>
      </c>
    </row>
    <row r="29" spans="1:29" ht="19.95" customHeight="1" x14ac:dyDescent="0.25">
      <c r="A29" s="38">
        <v>6371558394</v>
      </c>
      <c r="B29" s="56" t="s">
        <v>817</v>
      </c>
      <c r="C29" s="146" t="s">
        <v>818</v>
      </c>
      <c r="D29" s="56" t="s">
        <v>272</v>
      </c>
      <c r="E29" s="56" t="s">
        <v>247</v>
      </c>
      <c r="F29" s="56" t="s">
        <v>819</v>
      </c>
      <c r="G29" s="56" t="s">
        <v>236</v>
      </c>
      <c r="H29" s="56" t="s">
        <v>233</v>
      </c>
      <c r="I29" s="56" t="s">
        <v>195</v>
      </c>
      <c r="J29" s="56" t="s">
        <v>115</v>
      </c>
      <c r="K29" s="56"/>
      <c r="L29" s="56"/>
      <c r="M29" s="56"/>
      <c r="N29" s="56" t="s">
        <v>16</v>
      </c>
      <c r="O29" s="61" t="s">
        <v>224</v>
      </c>
      <c r="P29" s="56" t="s">
        <v>18</v>
      </c>
      <c r="Q29" s="56">
        <f t="shared" si="0"/>
        <v>7000</v>
      </c>
      <c r="R29" s="118"/>
      <c r="S29" s="118"/>
      <c r="T29" s="118"/>
      <c r="U29" s="118"/>
      <c r="V29" s="118"/>
      <c r="W29" s="118"/>
      <c r="X29" s="118"/>
      <c r="Y29" s="130"/>
      <c r="Z29" s="130">
        <v>1000</v>
      </c>
      <c r="AA29" s="130">
        <v>2000</v>
      </c>
      <c r="AB29" s="130">
        <v>2000</v>
      </c>
      <c r="AC29" s="130">
        <v>2000</v>
      </c>
    </row>
    <row r="30" spans="1:29" ht="19.95" customHeight="1" x14ac:dyDescent="0.25">
      <c r="A30" s="38">
        <v>6371558394</v>
      </c>
      <c r="B30" s="56" t="s">
        <v>817</v>
      </c>
      <c r="C30" s="146" t="s">
        <v>818</v>
      </c>
      <c r="D30" s="56" t="s">
        <v>272</v>
      </c>
      <c r="E30" s="56" t="s">
        <v>247</v>
      </c>
      <c r="F30" s="56" t="s">
        <v>819</v>
      </c>
      <c r="G30" s="56" t="s">
        <v>236</v>
      </c>
      <c r="H30" s="56" t="s">
        <v>233</v>
      </c>
      <c r="I30" s="56" t="s">
        <v>195</v>
      </c>
      <c r="J30" s="56" t="s">
        <v>115</v>
      </c>
      <c r="K30" s="56"/>
      <c r="L30" s="56"/>
      <c r="M30" s="56"/>
      <c r="N30" s="56" t="s">
        <v>16</v>
      </c>
      <c r="O30" s="61" t="s">
        <v>226</v>
      </c>
      <c r="P30" s="56" t="s">
        <v>18</v>
      </c>
      <c r="Q30" s="56">
        <f t="shared" si="0"/>
        <v>3</v>
      </c>
      <c r="R30" s="118"/>
      <c r="S30" s="118"/>
      <c r="T30" s="118"/>
      <c r="U30" s="118"/>
      <c r="V30" s="118"/>
      <c r="W30" s="118"/>
      <c r="X30" s="118"/>
      <c r="Y30" s="118"/>
      <c r="Z30" s="118">
        <v>1</v>
      </c>
      <c r="AA30" s="118">
        <v>1</v>
      </c>
      <c r="AB30" s="118">
        <v>0</v>
      </c>
      <c r="AC30" s="118">
        <v>1</v>
      </c>
    </row>
    <row r="31" spans="1:29" ht="19.95" customHeight="1" x14ac:dyDescent="0.25">
      <c r="A31" s="38">
        <v>6371558394</v>
      </c>
      <c r="B31" s="56" t="s">
        <v>817</v>
      </c>
      <c r="C31" s="146" t="s">
        <v>818</v>
      </c>
      <c r="D31" s="56" t="s">
        <v>272</v>
      </c>
      <c r="E31" s="56" t="s">
        <v>247</v>
      </c>
      <c r="F31" s="56" t="s">
        <v>819</v>
      </c>
      <c r="G31" s="56" t="s">
        <v>236</v>
      </c>
      <c r="H31" s="56" t="s">
        <v>233</v>
      </c>
      <c r="I31" s="56" t="s">
        <v>195</v>
      </c>
      <c r="J31" s="56" t="s">
        <v>115</v>
      </c>
      <c r="K31" s="56"/>
      <c r="L31" s="56"/>
      <c r="M31" s="56"/>
      <c r="N31" s="56" t="s">
        <v>16</v>
      </c>
      <c r="O31" s="61" t="s">
        <v>227</v>
      </c>
      <c r="P31" s="56" t="s">
        <v>18</v>
      </c>
      <c r="Q31" s="56">
        <f t="shared" si="0"/>
        <v>53</v>
      </c>
      <c r="R31" s="118"/>
      <c r="S31" s="118"/>
      <c r="T31" s="118"/>
      <c r="U31" s="118"/>
      <c r="V31" s="118"/>
      <c r="W31" s="118"/>
      <c r="X31" s="118"/>
      <c r="Y31" s="130">
        <v>2</v>
      </c>
      <c r="Z31" s="130">
        <v>16</v>
      </c>
      <c r="AA31" s="130">
        <v>20</v>
      </c>
      <c r="AB31" s="130">
        <v>11</v>
      </c>
      <c r="AC31" s="130">
        <v>4</v>
      </c>
    </row>
    <row r="32" spans="1:29" ht="19.95" customHeight="1" x14ac:dyDescent="0.25">
      <c r="A32" s="38">
        <v>6371558394</v>
      </c>
      <c r="B32" s="56" t="s">
        <v>817</v>
      </c>
      <c r="C32" s="146" t="s">
        <v>818</v>
      </c>
      <c r="D32" s="56" t="s">
        <v>272</v>
      </c>
      <c r="E32" s="56" t="s">
        <v>247</v>
      </c>
      <c r="F32" s="56" t="s">
        <v>819</v>
      </c>
      <c r="G32" s="56" t="s">
        <v>236</v>
      </c>
      <c r="H32" s="56" t="s">
        <v>233</v>
      </c>
      <c r="I32" s="56" t="s">
        <v>195</v>
      </c>
      <c r="J32" s="56" t="s">
        <v>115</v>
      </c>
      <c r="K32" s="56"/>
      <c r="L32" s="56"/>
      <c r="M32" s="56"/>
      <c r="N32" s="56" t="s">
        <v>16</v>
      </c>
      <c r="O32" s="61" t="s">
        <v>228</v>
      </c>
      <c r="P32" s="56" t="s">
        <v>18</v>
      </c>
      <c r="Q32" s="56">
        <f t="shared" si="0"/>
        <v>2</v>
      </c>
      <c r="R32" s="118"/>
      <c r="S32" s="118"/>
      <c r="T32" s="118"/>
      <c r="U32" s="118"/>
      <c r="V32" s="118"/>
      <c r="W32" s="118"/>
      <c r="X32" s="118"/>
      <c r="Y32" s="118"/>
      <c r="Z32" s="130"/>
      <c r="AA32" s="130">
        <v>1</v>
      </c>
      <c r="AB32" s="130"/>
      <c r="AC32" s="118">
        <v>1</v>
      </c>
    </row>
    <row r="33" spans="1:29" ht="19.95" customHeight="1" x14ac:dyDescent="0.25">
      <c r="A33" s="38">
        <v>6371558394</v>
      </c>
      <c r="B33" s="56" t="s">
        <v>817</v>
      </c>
      <c r="C33" s="146" t="s">
        <v>818</v>
      </c>
      <c r="D33" s="56" t="s">
        <v>272</v>
      </c>
      <c r="E33" s="56" t="s">
        <v>247</v>
      </c>
      <c r="F33" s="56" t="s">
        <v>819</v>
      </c>
      <c r="G33" s="56" t="s">
        <v>236</v>
      </c>
      <c r="H33" s="56" t="s">
        <v>233</v>
      </c>
      <c r="I33" s="56" t="s">
        <v>195</v>
      </c>
      <c r="J33" s="56" t="s">
        <v>115</v>
      </c>
      <c r="K33" s="56"/>
      <c r="L33" s="56"/>
      <c r="M33" s="56"/>
      <c r="N33" s="56" t="s">
        <v>16</v>
      </c>
      <c r="O33" s="61" t="s">
        <v>326</v>
      </c>
      <c r="P33" s="56" t="s">
        <v>21</v>
      </c>
      <c r="Q33" s="107">
        <v>1</v>
      </c>
      <c r="R33" s="107">
        <v>1</v>
      </c>
      <c r="S33" s="107">
        <v>1</v>
      </c>
      <c r="T33" s="107">
        <v>1</v>
      </c>
      <c r="U33" s="107">
        <v>1</v>
      </c>
      <c r="V33" s="107">
        <v>1</v>
      </c>
      <c r="W33" s="118"/>
      <c r="X33" s="118"/>
      <c r="Y33" s="118"/>
      <c r="Z33" s="118"/>
      <c r="AA33" s="118"/>
      <c r="AB33" s="118"/>
      <c r="AC33" s="118"/>
    </row>
    <row r="34" spans="1:29" ht="19.95" customHeight="1" x14ac:dyDescent="0.25">
      <c r="A34" s="38">
        <v>6371558394</v>
      </c>
      <c r="B34" s="56" t="s">
        <v>817</v>
      </c>
      <c r="C34" s="146" t="s">
        <v>818</v>
      </c>
      <c r="D34" s="56" t="s">
        <v>272</v>
      </c>
      <c r="E34" s="56" t="s">
        <v>247</v>
      </c>
      <c r="F34" s="56" t="s">
        <v>819</v>
      </c>
      <c r="G34" s="56" t="s">
        <v>236</v>
      </c>
      <c r="H34" s="56" t="s">
        <v>233</v>
      </c>
      <c r="I34" s="56" t="s">
        <v>195</v>
      </c>
      <c r="J34" s="56" t="s">
        <v>115</v>
      </c>
      <c r="K34" s="56"/>
      <c r="L34" s="56"/>
      <c r="M34" s="56"/>
      <c r="N34" s="56" t="s">
        <v>16</v>
      </c>
      <c r="O34" s="61" t="s">
        <v>243</v>
      </c>
      <c r="P34" s="56" t="s">
        <v>21</v>
      </c>
      <c r="Q34" s="107">
        <v>1</v>
      </c>
      <c r="R34" s="107">
        <v>1</v>
      </c>
      <c r="S34" s="107">
        <v>1</v>
      </c>
      <c r="T34" s="107">
        <v>1</v>
      </c>
      <c r="U34" s="107">
        <v>1</v>
      </c>
      <c r="V34" s="107">
        <v>1</v>
      </c>
      <c r="W34" s="118"/>
      <c r="X34" s="118"/>
      <c r="Y34" s="118"/>
      <c r="Z34" s="118"/>
      <c r="AA34" s="118"/>
      <c r="AB34" s="118"/>
      <c r="AC34" s="118"/>
    </row>
  </sheetData>
  <hyperlinks>
    <hyperlink ref="C2" r:id="rId1" xr:uid="{7C4EF060-CECF-479F-8845-FDA8720C5E60}"/>
    <hyperlink ref="C3" r:id="rId2" xr:uid="{13F22572-9F05-4838-8D6F-EE87A0342C34}"/>
    <hyperlink ref="C4" r:id="rId3" xr:uid="{50B85ADB-C4C2-4D51-9D9B-891815C6E1C0}"/>
    <hyperlink ref="C5" r:id="rId4" xr:uid="{1E7FB639-9F2D-43B6-AC90-A0C652465420}"/>
    <hyperlink ref="C6" r:id="rId5" xr:uid="{993507C2-7FA5-4786-92AB-7DE7CB8AF609}"/>
    <hyperlink ref="C7" r:id="rId6" xr:uid="{68670C1D-DCAE-46A2-B369-B1932167F223}"/>
    <hyperlink ref="C8" r:id="rId7" xr:uid="{1484DCF5-1E73-43F5-98A6-64DF3A2CCA94}"/>
    <hyperlink ref="C9" r:id="rId8" xr:uid="{4CB06306-FB58-40EC-A055-25B472E5953A}"/>
    <hyperlink ref="C10" r:id="rId9" xr:uid="{87CE16D3-A330-425C-80B9-FA555EF58FAD}"/>
    <hyperlink ref="C11" r:id="rId10" xr:uid="{4D3CF469-B258-43F9-8721-0874444151A3}"/>
    <hyperlink ref="C12" r:id="rId11" xr:uid="{E371C9AD-8FEF-479B-87E1-08E6372CA360}"/>
    <hyperlink ref="C13" r:id="rId12" xr:uid="{378F00C2-4682-4969-9DF6-AF6F248D99FC}"/>
    <hyperlink ref="C14" r:id="rId13" xr:uid="{B5395B3D-D43A-401E-9855-83DB49BFF16B}"/>
    <hyperlink ref="C15" r:id="rId14" xr:uid="{D66C6EC1-B50E-4CCE-94F0-59F92AD366D5}"/>
    <hyperlink ref="C16" r:id="rId15" xr:uid="{FD5FAE97-A0D1-40CF-85BF-B754FF2A7CAB}"/>
    <hyperlink ref="C17" r:id="rId16" xr:uid="{BA258140-A1AD-4B30-9320-2C914744D48D}"/>
    <hyperlink ref="C18" r:id="rId17" xr:uid="{707AC709-019D-47AE-937F-A50D2228CB5B}"/>
    <hyperlink ref="C19" r:id="rId18" xr:uid="{5278EC38-1043-419C-8D12-7F88DCC4FB71}"/>
    <hyperlink ref="C20" r:id="rId19" xr:uid="{714C8F38-09EA-45B9-A238-2FA3A2C7D371}"/>
    <hyperlink ref="C21" r:id="rId20" xr:uid="{1ACE1252-B870-4D5A-89CD-68E9C92ACAFE}"/>
    <hyperlink ref="C22" r:id="rId21" xr:uid="{9DC5F830-58C0-4455-8AFC-82823B390FE0}"/>
    <hyperlink ref="C23" r:id="rId22" xr:uid="{46C4BABD-A280-4FC7-8FC7-4F3B0C9B4ED3}"/>
    <hyperlink ref="C24" r:id="rId23" xr:uid="{6E3270D5-BE08-48F7-BC8C-079D7289840E}"/>
    <hyperlink ref="C25" r:id="rId24" xr:uid="{83A9D3B3-4EE6-4478-99E3-FB1B1A6F7D42}"/>
    <hyperlink ref="C26" r:id="rId25" xr:uid="{FBF4E483-94CD-48F4-BB3D-251953F75514}"/>
    <hyperlink ref="C27" r:id="rId26" xr:uid="{81700426-9904-42C7-8085-2C9C9BDB09AA}"/>
    <hyperlink ref="C28" r:id="rId27" xr:uid="{4CA0F9E7-D7D5-4458-99A5-D36695868C2A}"/>
    <hyperlink ref="C29" r:id="rId28" xr:uid="{50CF76C2-A1D3-49DA-BA34-7CFBAA955572}"/>
    <hyperlink ref="C30" r:id="rId29" xr:uid="{D1BCECE0-D4B5-44A2-956F-94944F7729E4}"/>
    <hyperlink ref="C31" r:id="rId30" xr:uid="{3561B018-FBF3-45D1-B85E-F605FAC38322}"/>
    <hyperlink ref="C32" r:id="rId31" xr:uid="{6996F0EA-43E4-46C1-9A1D-94A2ED10F1FC}"/>
    <hyperlink ref="C33" r:id="rId32" xr:uid="{6439DC90-AFF0-4928-8DD8-443BE6EB9700}"/>
    <hyperlink ref="C34" r:id="rId33" xr:uid="{09724A77-1062-44B8-ADAE-F21F887E58F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7022D-5D7F-4365-9AE2-42BA52BF6250}">
  <dimension ref="A1:AC34"/>
  <sheetViews>
    <sheetView workbookViewId="0">
      <selection activeCell="AF10" sqref="AF10"/>
    </sheetView>
  </sheetViews>
  <sheetFormatPr defaultRowHeight="13.2" x14ac:dyDescent="0.25"/>
  <cols>
    <col min="1" max="1" width="12.109375" bestFit="1" customWidth="1"/>
    <col min="2" max="2" width="15.109375" bestFit="1" customWidth="1"/>
    <col min="3" max="3" width="23" bestFit="1" customWidth="1"/>
    <col min="4" max="4" width="15.44140625" customWidth="1"/>
    <col min="5" max="5" width="13.44140625" customWidth="1"/>
    <col min="6" max="6" width="15.44140625" customWidth="1"/>
    <col min="7" max="7" width="11.44140625" bestFit="1" customWidth="1"/>
    <col min="8" max="8" width="15.44140625" customWidth="1"/>
    <col min="9" max="9" width="17.44140625" bestFit="1" customWidth="1"/>
    <col min="10" max="13" width="10.88671875" bestFit="1" customWidth="1"/>
    <col min="14" max="14" width="13.33203125" bestFit="1" customWidth="1"/>
    <col min="15" max="15" width="46.109375" style="66" customWidth="1"/>
    <col min="16" max="16" width="21.77734375" bestFit="1" customWidth="1"/>
    <col min="17" max="17" width="14.109375" bestFit="1" customWidth="1"/>
  </cols>
  <sheetData>
    <row r="1" spans="1:29" ht="26.4" x14ac:dyDescent="0.25">
      <c r="A1" s="62" t="s">
        <v>123</v>
      </c>
      <c r="B1" s="63" t="s">
        <v>1</v>
      </c>
      <c r="C1" s="62" t="s">
        <v>2</v>
      </c>
      <c r="D1" s="63" t="s">
        <v>3</v>
      </c>
      <c r="E1" s="62" t="s">
        <v>4</v>
      </c>
      <c r="F1" s="62" t="s">
        <v>5</v>
      </c>
      <c r="G1" s="62" t="s">
        <v>6</v>
      </c>
      <c r="H1" s="62" t="s">
        <v>7</v>
      </c>
      <c r="I1" s="63" t="s">
        <v>8</v>
      </c>
      <c r="J1" s="62" t="s">
        <v>9</v>
      </c>
      <c r="K1" s="62" t="s">
        <v>10</v>
      </c>
      <c r="L1" s="62" t="s">
        <v>126</v>
      </c>
      <c r="M1" s="62" t="s">
        <v>127</v>
      </c>
      <c r="N1" s="62"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38">
        <v>7000060596</v>
      </c>
      <c r="B2" s="56" t="s">
        <v>670</v>
      </c>
      <c r="C2" s="146" t="s">
        <v>669</v>
      </c>
      <c r="D2" s="56" t="s">
        <v>258</v>
      </c>
      <c r="E2" s="56" t="s">
        <v>247</v>
      </c>
      <c r="F2" s="56" t="s">
        <v>248</v>
      </c>
      <c r="G2" s="56" t="s">
        <v>236</v>
      </c>
      <c r="H2" s="56" t="s">
        <v>233</v>
      </c>
      <c r="I2" s="56" t="s">
        <v>195</v>
      </c>
      <c r="J2" s="56" t="s">
        <v>115</v>
      </c>
      <c r="K2" s="56"/>
      <c r="L2" s="56"/>
      <c r="M2" s="56"/>
      <c r="N2" s="56" t="s">
        <v>16</v>
      </c>
      <c r="O2" s="61" t="s">
        <v>197</v>
      </c>
      <c r="P2" s="56" t="s">
        <v>18</v>
      </c>
      <c r="Q2" s="56">
        <v>1</v>
      </c>
      <c r="R2" s="110"/>
      <c r="S2" s="110"/>
      <c r="T2" s="110"/>
      <c r="U2" s="110"/>
      <c r="V2" s="110"/>
      <c r="W2" s="110">
        <v>1</v>
      </c>
      <c r="X2" s="110"/>
      <c r="Y2" s="110"/>
      <c r="Z2" s="110"/>
      <c r="AA2" s="110"/>
      <c r="AB2" s="110"/>
      <c r="AC2" s="110"/>
    </row>
    <row r="3" spans="1:29" ht="19.95" customHeight="1" x14ac:dyDescent="0.25">
      <c r="A3" s="38">
        <v>7000060596</v>
      </c>
      <c r="B3" s="56" t="s">
        <v>670</v>
      </c>
      <c r="C3" s="146" t="s">
        <v>669</v>
      </c>
      <c r="D3" s="56" t="s">
        <v>258</v>
      </c>
      <c r="E3" s="56" t="s">
        <v>247</v>
      </c>
      <c r="F3" s="56" t="s">
        <v>248</v>
      </c>
      <c r="G3" s="56" t="s">
        <v>236</v>
      </c>
      <c r="H3" s="56" t="s">
        <v>233</v>
      </c>
      <c r="I3" s="56" t="s">
        <v>195</v>
      </c>
      <c r="J3" s="56" t="s">
        <v>115</v>
      </c>
      <c r="K3" s="56"/>
      <c r="L3" s="56"/>
      <c r="M3" s="56"/>
      <c r="N3" s="56" t="s">
        <v>16</v>
      </c>
      <c r="O3" s="61" t="s">
        <v>198</v>
      </c>
      <c r="P3" s="56" t="s">
        <v>18</v>
      </c>
      <c r="Q3" s="56">
        <v>1</v>
      </c>
      <c r="R3" s="110"/>
      <c r="S3" s="110"/>
      <c r="T3" s="110"/>
      <c r="U3" s="110"/>
      <c r="V3" s="110"/>
      <c r="W3" s="110">
        <v>1</v>
      </c>
      <c r="X3" s="110"/>
      <c r="Y3" s="110"/>
      <c r="Z3" s="110"/>
      <c r="AA3" s="110"/>
      <c r="AB3" s="110"/>
      <c r="AC3" s="110"/>
    </row>
    <row r="4" spans="1:29" ht="19.95" customHeight="1" x14ac:dyDescent="0.25">
      <c r="A4" s="38">
        <v>7000060596</v>
      </c>
      <c r="B4" s="56" t="s">
        <v>670</v>
      </c>
      <c r="C4" s="146" t="s">
        <v>669</v>
      </c>
      <c r="D4" s="56" t="s">
        <v>258</v>
      </c>
      <c r="E4" s="56" t="s">
        <v>247</v>
      </c>
      <c r="F4" s="56" t="s">
        <v>248</v>
      </c>
      <c r="G4" s="56" t="s">
        <v>236</v>
      </c>
      <c r="H4" s="56" t="s">
        <v>233</v>
      </c>
      <c r="I4" s="56" t="s">
        <v>195</v>
      </c>
      <c r="J4" s="56" t="s">
        <v>115</v>
      </c>
      <c r="K4" s="56"/>
      <c r="L4" s="56"/>
      <c r="M4" s="56"/>
      <c r="N4" s="56" t="s">
        <v>16</v>
      </c>
      <c r="O4" s="61" t="s">
        <v>199</v>
      </c>
      <c r="P4" s="56" t="s">
        <v>18</v>
      </c>
      <c r="Q4" s="56">
        <v>1</v>
      </c>
      <c r="R4" s="110"/>
      <c r="S4" s="110"/>
      <c r="T4" s="110"/>
      <c r="U4" s="110"/>
      <c r="V4" s="110"/>
      <c r="W4" s="110">
        <v>1</v>
      </c>
      <c r="X4" s="110"/>
      <c r="Y4" s="110"/>
      <c r="Z4" s="110"/>
      <c r="AA4" s="110"/>
      <c r="AB4" s="110"/>
      <c r="AC4" s="110"/>
    </row>
    <row r="5" spans="1:29" ht="19.95" customHeight="1" x14ac:dyDescent="0.25">
      <c r="A5" s="38">
        <v>7000060596</v>
      </c>
      <c r="B5" s="56" t="s">
        <v>670</v>
      </c>
      <c r="C5" s="146" t="s">
        <v>669</v>
      </c>
      <c r="D5" s="56" t="s">
        <v>258</v>
      </c>
      <c r="E5" s="56" t="s">
        <v>247</v>
      </c>
      <c r="F5" s="56" t="s">
        <v>248</v>
      </c>
      <c r="G5" s="56" t="s">
        <v>236</v>
      </c>
      <c r="H5" s="56" t="s">
        <v>233</v>
      </c>
      <c r="I5" s="56" t="s">
        <v>195</v>
      </c>
      <c r="J5" s="56" t="s">
        <v>115</v>
      </c>
      <c r="K5" s="56"/>
      <c r="L5" s="56"/>
      <c r="M5" s="56"/>
      <c r="N5" s="56" t="s">
        <v>16</v>
      </c>
      <c r="O5" s="61" t="s">
        <v>200</v>
      </c>
      <c r="P5" s="56" t="s">
        <v>18</v>
      </c>
      <c r="Q5" s="56">
        <v>1</v>
      </c>
      <c r="R5" s="110"/>
      <c r="S5" s="110"/>
      <c r="T5" s="110"/>
      <c r="U5" s="110"/>
      <c r="V5" s="110"/>
      <c r="W5" s="110">
        <v>1</v>
      </c>
      <c r="X5" s="110"/>
      <c r="Y5" s="110"/>
      <c r="Z5" s="110"/>
      <c r="AA5" s="110"/>
      <c r="AB5" s="110"/>
      <c r="AC5" s="110"/>
    </row>
    <row r="6" spans="1:29" ht="19.95" customHeight="1" x14ac:dyDescent="0.25">
      <c r="A6" s="38">
        <v>7000060596</v>
      </c>
      <c r="B6" s="56" t="s">
        <v>670</v>
      </c>
      <c r="C6" s="146" t="s">
        <v>669</v>
      </c>
      <c r="D6" s="56" t="s">
        <v>258</v>
      </c>
      <c r="E6" s="56" t="s">
        <v>247</v>
      </c>
      <c r="F6" s="56" t="s">
        <v>248</v>
      </c>
      <c r="G6" s="56" t="s">
        <v>236</v>
      </c>
      <c r="H6" s="56" t="s">
        <v>233</v>
      </c>
      <c r="I6" s="56" t="s">
        <v>195</v>
      </c>
      <c r="J6" s="56" t="s">
        <v>115</v>
      </c>
      <c r="K6" s="56"/>
      <c r="L6" s="56"/>
      <c r="M6" s="56"/>
      <c r="N6" s="56" t="s">
        <v>16</v>
      </c>
      <c r="O6" s="61" t="s">
        <v>201</v>
      </c>
      <c r="P6" s="56" t="s">
        <v>18</v>
      </c>
      <c r="Q6" s="56">
        <v>1</v>
      </c>
      <c r="R6" s="110"/>
      <c r="S6" s="110"/>
      <c r="T6" s="110"/>
      <c r="U6" s="110"/>
      <c r="V6" s="110"/>
      <c r="W6" s="110">
        <v>1</v>
      </c>
      <c r="X6" s="110"/>
      <c r="Y6" s="110"/>
      <c r="Z6" s="110"/>
      <c r="AA6" s="110"/>
      <c r="AB6" s="110"/>
      <c r="AC6" s="110"/>
    </row>
    <row r="7" spans="1:29" ht="19.95" customHeight="1" x14ac:dyDescent="0.25">
      <c r="A7" s="38">
        <v>7000060596</v>
      </c>
      <c r="B7" s="56" t="s">
        <v>670</v>
      </c>
      <c r="C7" s="146" t="s">
        <v>669</v>
      </c>
      <c r="D7" s="56" t="s">
        <v>258</v>
      </c>
      <c r="E7" s="56" t="s">
        <v>247</v>
      </c>
      <c r="F7" s="56" t="s">
        <v>248</v>
      </c>
      <c r="G7" s="56" t="s">
        <v>236</v>
      </c>
      <c r="H7" s="56" t="s">
        <v>233</v>
      </c>
      <c r="I7" s="56" t="s">
        <v>195</v>
      </c>
      <c r="J7" s="56" t="s">
        <v>115</v>
      </c>
      <c r="K7" s="56"/>
      <c r="L7" s="56"/>
      <c r="M7" s="56"/>
      <c r="N7" s="56" t="s">
        <v>16</v>
      </c>
      <c r="O7" s="61" t="s">
        <v>202</v>
      </c>
      <c r="P7" s="56" t="s">
        <v>18</v>
      </c>
      <c r="Q7" s="56"/>
      <c r="R7" s="110"/>
      <c r="S7" s="110"/>
      <c r="T7" s="110"/>
      <c r="U7" s="110"/>
      <c r="V7" s="110"/>
      <c r="W7" s="110"/>
      <c r="X7" s="110"/>
      <c r="Y7" s="110"/>
      <c r="Z7" s="110"/>
      <c r="AA7" s="110"/>
      <c r="AB7" s="110"/>
      <c r="AC7" s="110"/>
    </row>
    <row r="8" spans="1:29" ht="19.95" customHeight="1" x14ac:dyDescent="0.25">
      <c r="A8" s="38">
        <v>7000060596</v>
      </c>
      <c r="B8" s="56" t="s">
        <v>670</v>
      </c>
      <c r="C8" s="146" t="s">
        <v>669</v>
      </c>
      <c r="D8" s="56" t="s">
        <v>258</v>
      </c>
      <c r="E8" s="56" t="s">
        <v>247</v>
      </c>
      <c r="F8" s="56" t="s">
        <v>248</v>
      </c>
      <c r="G8" s="56" t="s">
        <v>236</v>
      </c>
      <c r="H8" s="56" t="s">
        <v>233</v>
      </c>
      <c r="I8" s="56" t="s">
        <v>195</v>
      </c>
      <c r="J8" s="56" t="s">
        <v>115</v>
      </c>
      <c r="K8" s="56"/>
      <c r="L8" s="56"/>
      <c r="M8" s="56"/>
      <c r="N8" s="56" t="s">
        <v>16</v>
      </c>
      <c r="O8" s="61" t="s">
        <v>203</v>
      </c>
      <c r="P8" s="56" t="s">
        <v>18</v>
      </c>
      <c r="Q8" s="56"/>
      <c r="R8" s="110"/>
      <c r="S8" s="110"/>
      <c r="T8" s="110"/>
      <c r="U8" s="110"/>
      <c r="V8" s="110"/>
      <c r="W8" s="110"/>
      <c r="X8" s="110"/>
      <c r="Y8" s="110"/>
      <c r="Z8" s="110"/>
      <c r="AA8" s="110"/>
      <c r="AB8" s="110"/>
      <c r="AC8" s="110"/>
    </row>
    <row r="9" spans="1:29" ht="19.95" customHeight="1" x14ac:dyDescent="0.25">
      <c r="A9" s="38">
        <v>7000060596</v>
      </c>
      <c r="B9" s="56" t="s">
        <v>670</v>
      </c>
      <c r="C9" s="146" t="s">
        <v>669</v>
      </c>
      <c r="D9" s="56" t="s">
        <v>258</v>
      </c>
      <c r="E9" s="56" t="s">
        <v>247</v>
      </c>
      <c r="F9" s="56" t="s">
        <v>248</v>
      </c>
      <c r="G9" s="56" t="s">
        <v>236</v>
      </c>
      <c r="H9" s="56" t="s">
        <v>233</v>
      </c>
      <c r="I9" s="56" t="s">
        <v>195</v>
      </c>
      <c r="J9" s="56" t="s">
        <v>115</v>
      </c>
      <c r="K9" s="56"/>
      <c r="L9" s="56"/>
      <c r="M9" s="56"/>
      <c r="N9" s="56" t="s">
        <v>16</v>
      </c>
      <c r="O9" s="61" t="s">
        <v>204</v>
      </c>
      <c r="P9" s="56" t="s">
        <v>18</v>
      </c>
      <c r="Q9" s="56">
        <v>1</v>
      </c>
      <c r="R9" s="110"/>
      <c r="S9" s="110"/>
      <c r="T9" s="110"/>
      <c r="U9" s="110"/>
      <c r="V9" s="110"/>
      <c r="W9" s="110">
        <v>1</v>
      </c>
      <c r="X9" s="110"/>
      <c r="Y9" s="110"/>
      <c r="Z9" s="110"/>
      <c r="AA9" s="110"/>
      <c r="AB9" s="110"/>
      <c r="AC9" s="110"/>
    </row>
    <row r="10" spans="1:29" ht="19.95" customHeight="1" x14ac:dyDescent="0.25">
      <c r="A10" s="38">
        <v>7000060596</v>
      </c>
      <c r="B10" s="56" t="s">
        <v>670</v>
      </c>
      <c r="C10" s="146" t="s">
        <v>669</v>
      </c>
      <c r="D10" s="56" t="s">
        <v>258</v>
      </c>
      <c r="E10" s="56" t="s">
        <v>247</v>
      </c>
      <c r="F10" s="56" t="s">
        <v>248</v>
      </c>
      <c r="G10" s="56" t="s">
        <v>236</v>
      </c>
      <c r="H10" s="56" t="s">
        <v>233</v>
      </c>
      <c r="I10" s="56" t="s">
        <v>195</v>
      </c>
      <c r="J10" s="56" t="s">
        <v>115</v>
      </c>
      <c r="K10" s="56"/>
      <c r="L10" s="56"/>
      <c r="M10" s="56"/>
      <c r="N10" s="56" t="s">
        <v>16</v>
      </c>
      <c r="O10" s="61" t="s">
        <v>205</v>
      </c>
      <c r="P10" s="56" t="s">
        <v>196</v>
      </c>
      <c r="Q10" s="56">
        <f>X10+Y10+Z10+AA10+AB10+AC10</f>
        <v>3000</v>
      </c>
      <c r="R10" s="110"/>
      <c r="S10" s="110"/>
      <c r="T10" s="110"/>
      <c r="U10" s="110"/>
      <c r="V10" s="110"/>
      <c r="W10" s="110"/>
      <c r="X10" s="127">
        <v>150</v>
      </c>
      <c r="Y10" s="127">
        <v>500</v>
      </c>
      <c r="Z10" s="127">
        <v>900</v>
      </c>
      <c r="AA10" s="127">
        <v>900</v>
      </c>
      <c r="AB10" s="127">
        <v>300</v>
      </c>
      <c r="AC10" s="127">
        <v>250</v>
      </c>
    </row>
    <row r="11" spans="1:29" ht="19.95" customHeight="1" x14ac:dyDescent="0.25">
      <c r="A11" s="38">
        <v>7000060596</v>
      </c>
      <c r="B11" s="56" t="s">
        <v>670</v>
      </c>
      <c r="C11" s="146" t="s">
        <v>669</v>
      </c>
      <c r="D11" s="56" t="s">
        <v>258</v>
      </c>
      <c r="E11" s="56" t="s">
        <v>247</v>
      </c>
      <c r="F11" s="56" t="s">
        <v>248</v>
      </c>
      <c r="G11" s="56" t="s">
        <v>236</v>
      </c>
      <c r="H11" s="56" t="s">
        <v>233</v>
      </c>
      <c r="I11" s="56" t="s">
        <v>195</v>
      </c>
      <c r="J11" s="56" t="s">
        <v>115</v>
      </c>
      <c r="K11" s="56"/>
      <c r="L11" s="56"/>
      <c r="M11" s="56"/>
      <c r="N11" s="56" t="s">
        <v>16</v>
      </c>
      <c r="O11" s="61" t="s">
        <v>206</v>
      </c>
      <c r="P11" s="56" t="s">
        <v>21</v>
      </c>
      <c r="Q11" s="107">
        <v>1</v>
      </c>
      <c r="R11" s="110"/>
      <c r="S11" s="110"/>
      <c r="T11" s="110"/>
      <c r="U11" s="110"/>
      <c r="V11" s="110"/>
      <c r="W11" s="110"/>
      <c r="X11" s="107">
        <v>1</v>
      </c>
      <c r="Y11" s="107">
        <v>1</v>
      </c>
      <c r="Z11" s="107">
        <v>1</v>
      </c>
      <c r="AA11" s="107">
        <v>1</v>
      </c>
      <c r="AB11" s="107">
        <v>1</v>
      </c>
      <c r="AC11" s="107">
        <v>1</v>
      </c>
    </row>
    <row r="12" spans="1:29" ht="19.95" customHeight="1" x14ac:dyDescent="0.25">
      <c r="A12" s="38">
        <v>7000060596</v>
      </c>
      <c r="B12" s="56" t="s">
        <v>670</v>
      </c>
      <c r="C12" s="146" t="s">
        <v>669</v>
      </c>
      <c r="D12" s="56" t="s">
        <v>258</v>
      </c>
      <c r="E12" s="56" t="s">
        <v>247</v>
      </c>
      <c r="F12" s="56" t="s">
        <v>248</v>
      </c>
      <c r="G12" s="56" t="s">
        <v>236</v>
      </c>
      <c r="H12" s="56" t="s">
        <v>233</v>
      </c>
      <c r="I12" s="56" t="s">
        <v>195</v>
      </c>
      <c r="J12" s="56" t="s">
        <v>115</v>
      </c>
      <c r="K12" s="56"/>
      <c r="L12" s="56"/>
      <c r="M12" s="56"/>
      <c r="N12" s="56" t="s">
        <v>16</v>
      </c>
      <c r="O12" s="61" t="s">
        <v>207</v>
      </c>
      <c r="P12" s="56" t="s">
        <v>196</v>
      </c>
      <c r="Q12" s="56">
        <f>X12+Y12+Z12+AA12+AB12+AC12</f>
        <v>3000</v>
      </c>
      <c r="R12" s="110"/>
      <c r="S12" s="110"/>
      <c r="T12" s="110"/>
      <c r="U12" s="110"/>
      <c r="V12" s="110"/>
      <c r="W12" s="110"/>
      <c r="X12" s="127">
        <v>150</v>
      </c>
      <c r="Y12" s="127">
        <v>500</v>
      </c>
      <c r="Z12" s="127">
        <v>900</v>
      </c>
      <c r="AA12" s="127">
        <v>900</v>
      </c>
      <c r="AB12" s="127">
        <v>300</v>
      </c>
      <c r="AC12" s="127">
        <v>250</v>
      </c>
    </row>
    <row r="13" spans="1:29" ht="19.95" customHeight="1" x14ac:dyDescent="0.25">
      <c r="A13" s="38">
        <v>7000060596</v>
      </c>
      <c r="B13" s="56" t="s">
        <v>670</v>
      </c>
      <c r="C13" s="146" t="s">
        <v>669</v>
      </c>
      <c r="D13" s="56" t="s">
        <v>258</v>
      </c>
      <c r="E13" s="56" t="s">
        <v>247</v>
      </c>
      <c r="F13" s="56" t="s">
        <v>248</v>
      </c>
      <c r="G13" s="56" t="s">
        <v>236</v>
      </c>
      <c r="H13" s="56" t="s">
        <v>233</v>
      </c>
      <c r="I13" s="56" t="s">
        <v>195</v>
      </c>
      <c r="J13" s="56" t="s">
        <v>115</v>
      </c>
      <c r="K13" s="56"/>
      <c r="L13" s="56"/>
      <c r="M13" s="56"/>
      <c r="N13" s="56" t="s">
        <v>16</v>
      </c>
      <c r="O13" s="61" t="s">
        <v>208</v>
      </c>
      <c r="P13" s="56" t="s">
        <v>21</v>
      </c>
      <c r="Q13" s="107">
        <v>1</v>
      </c>
      <c r="R13" s="110"/>
      <c r="S13" s="110"/>
      <c r="T13" s="110"/>
      <c r="U13" s="110"/>
      <c r="V13" s="110"/>
      <c r="W13" s="110"/>
      <c r="X13" s="107">
        <v>1</v>
      </c>
      <c r="Y13" s="107">
        <v>1</v>
      </c>
      <c r="Z13" s="107">
        <v>1</v>
      </c>
      <c r="AA13" s="107">
        <v>1</v>
      </c>
      <c r="AB13" s="107">
        <v>1</v>
      </c>
      <c r="AC13" s="107">
        <v>1</v>
      </c>
    </row>
    <row r="14" spans="1:29" ht="19.95" customHeight="1" x14ac:dyDescent="0.25">
      <c r="A14" s="38">
        <v>7000060596</v>
      </c>
      <c r="B14" s="56" t="s">
        <v>670</v>
      </c>
      <c r="C14" s="146" t="s">
        <v>669</v>
      </c>
      <c r="D14" s="56" t="s">
        <v>258</v>
      </c>
      <c r="E14" s="56" t="s">
        <v>247</v>
      </c>
      <c r="F14" s="56" t="s">
        <v>248</v>
      </c>
      <c r="G14" s="56" t="s">
        <v>236</v>
      </c>
      <c r="H14" s="56" t="s">
        <v>233</v>
      </c>
      <c r="I14" s="56" t="s">
        <v>195</v>
      </c>
      <c r="J14" s="56" t="s">
        <v>115</v>
      </c>
      <c r="K14" s="56"/>
      <c r="L14" s="56"/>
      <c r="M14" s="56"/>
      <c r="N14" s="56" t="s">
        <v>16</v>
      </c>
      <c r="O14" s="61" t="s">
        <v>209</v>
      </c>
      <c r="P14" s="56" t="s">
        <v>21</v>
      </c>
      <c r="Q14" s="107">
        <v>1</v>
      </c>
      <c r="R14" s="110"/>
      <c r="S14" s="110"/>
      <c r="T14" s="110"/>
      <c r="U14" s="110"/>
      <c r="V14" s="110"/>
      <c r="W14" s="110"/>
      <c r="X14" s="107">
        <v>1</v>
      </c>
      <c r="Y14" s="107">
        <v>1</v>
      </c>
      <c r="Z14" s="107">
        <v>1</v>
      </c>
      <c r="AA14" s="107">
        <v>1</v>
      </c>
      <c r="AB14" s="107">
        <v>1</v>
      </c>
      <c r="AC14" s="107">
        <v>1</v>
      </c>
    </row>
    <row r="15" spans="1:29" ht="19.95" customHeight="1" x14ac:dyDescent="0.25">
      <c r="A15" s="38">
        <v>7000060596</v>
      </c>
      <c r="B15" s="56" t="s">
        <v>670</v>
      </c>
      <c r="C15" s="146" t="s">
        <v>669</v>
      </c>
      <c r="D15" s="56" t="s">
        <v>258</v>
      </c>
      <c r="E15" s="56" t="s">
        <v>247</v>
      </c>
      <c r="F15" s="56" t="s">
        <v>248</v>
      </c>
      <c r="G15" s="56" t="s">
        <v>236</v>
      </c>
      <c r="H15" s="56" t="s">
        <v>233</v>
      </c>
      <c r="I15" s="56" t="s">
        <v>195</v>
      </c>
      <c r="J15" s="56" t="s">
        <v>115</v>
      </c>
      <c r="K15" s="56"/>
      <c r="L15" s="56"/>
      <c r="M15" s="56"/>
      <c r="N15" s="56" t="s">
        <v>16</v>
      </c>
      <c r="O15" s="61" t="s">
        <v>210</v>
      </c>
      <c r="P15" s="56" t="s">
        <v>21</v>
      </c>
      <c r="Q15" s="107">
        <v>1</v>
      </c>
      <c r="R15" s="110"/>
      <c r="S15" s="110"/>
      <c r="T15" s="110"/>
      <c r="U15" s="110"/>
      <c r="V15" s="110"/>
      <c r="W15" s="110"/>
      <c r="X15" s="107">
        <v>1</v>
      </c>
      <c r="Y15" s="107">
        <v>1</v>
      </c>
      <c r="Z15" s="107">
        <v>1</v>
      </c>
      <c r="AA15" s="107">
        <v>1</v>
      </c>
      <c r="AB15" s="107">
        <v>1</v>
      </c>
      <c r="AC15" s="107">
        <v>1</v>
      </c>
    </row>
    <row r="16" spans="1:29" ht="19.95" customHeight="1" x14ac:dyDescent="0.25">
      <c r="A16" s="38">
        <v>7000060596</v>
      </c>
      <c r="B16" s="56" t="s">
        <v>670</v>
      </c>
      <c r="C16" s="146" t="s">
        <v>669</v>
      </c>
      <c r="D16" s="56" t="s">
        <v>258</v>
      </c>
      <c r="E16" s="56" t="s">
        <v>247</v>
      </c>
      <c r="F16" s="56" t="s">
        <v>248</v>
      </c>
      <c r="G16" s="56" t="s">
        <v>236</v>
      </c>
      <c r="H16" s="56" t="s">
        <v>233</v>
      </c>
      <c r="I16" s="56" t="s">
        <v>195</v>
      </c>
      <c r="J16" s="56" t="s">
        <v>115</v>
      </c>
      <c r="K16" s="56"/>
      <c r="L16" s="56"/>
      <c r="M16" s="56"/>
      <c r="N16" s="56" t="s">
        <v>16</v>
      </c>
      <c r="O16" s="61" t="s">
        <v>211</v>
      </c>
      <c r="P16" s="56" t="s">
        <v>196</v>
      </c>
      <c r="Q16" s="56">
        <f>X16+Y16+Z16+AA16+AB16+AC16</f>
        <v>3000</v>
      </c>
      <c r="R16" s="110"/>
      <c r="S16" s="110"/>
      <c r="T16" s="110"/>
      <c r="U16" s="110"/>
      <c r="V16" s="110"/>
      <c r="W16" s="110"/>
      <c r="X16" s="127">
        <v>150</v>
      </c>
      <c r="Y16" s="127">
        <v>500</v>
      </c>
      <c r="Z16" s="127">
        <v>900</v>
      </c>
      <c r="AA16" s="127">
        <v>900</v>
      </c>
      <c r="AB16" s="127">
        <v>300</v>
      </c>
      <c r="AC16" s="127">
        <v>250</v>
      </c>
    </row>
    <row r="17" spans="1:29" ht="19.95" customHeight="1" x14ac:dyDescent="0.25">
      <c r="A17" s="38">
        <v>7000060596</v>
      </c>
      <c r="B17" s="56" t="s">
        <v>670</v>
      </c>
      <c r="C17" s="146" t="s">
        <v>669</v>
      </c>
      <c r="D17" s="56" t="s">
        <v>258</v>
      </c>
      <c r="E17" s="56" t="s">
        <v>247</v>
      </c>
      <c r="F17" s="56" t="s">
        <v>248</v>
      </c>
      <c r="G17" s="56" t="s">
        <v>236</v>
      </c>
      <c r="H17" s="56" t="s">
        <v>233</v>
      </c>
      <c r="I17" s="56" t="s">
        <v>195</v>
      </c>
      <c r="J17" s="56" t="s">
        <v>115</v>
      </c>
      <c r="K17" s="56"/>
      <c r="L17" s="56"/>
      <c r="M17" s="56"/>
      <c r="N17" s="56" t="s">
        <v>16</v>
      </c>
      <c r="O17" s="61" t="s">
        <v>212</v>
      </c>
      <c r="P17" s="56" t="s">
        <v>196</v>
      </c>
      <c r="Q17" s="56">
        <f>X17+Y17+Z17+AA17+AB17+AC17</f>
        <v>3000</v>
      </c>
      <c r="R17" s="110"/>
      <c r="S17" s="110"/>
      <c r="T17" s="110"/>
      <c r="U17" s="110"/>
      <c r="V17" s="110"/>
      <c r="W17" s="110"/>
      <c r="X17" s="127">
        <v>150</v>
      </c>
      <c r="Y17" s="127">
        <v>500</v>
      </c>
      <c r="Z17" s="127">
        <v>900</v>
      </c>
      <c r="AA17" s="127">
        <v>900</v>
      </c>
      <c r="AB17" s="127">
        <v>300</v>
      </c>
      <c r="AC17" s="127">
        <v>250</v>
      </c>
    </row>
    <row r="18" spans="1:29" ht="19.95" customHeight="1" x14ac:dyDescent="0.25">
      <c r="A18" s="38">
        <v>7000060596</v>
      </c>
      <c r="B18" s="56" t="s">
        <v>670</v>
      </c>
      <c r="C18" s="146" t="s">
        <v>669</v>
      </c>
      <c r="D18" s="56" t="s">
        <v>258</v>
      </c>
      <c r="E18" s="56" t="s">
        <v>247</v>
      </c>
      <c r="F18" s="56" t="s">
        <v>248</v>
      </c>
      <c r="G18" s="56" t="s">
        <v>236</v>
      </c>
      <c r="H18" s="56" t="s">
        <v>233</v>
      </c>
      <c r="I18" s="56" t="s">
        <v>195</v>
      </c>
      <c r="J18" s="56" t="s">
        <v>115</v>
      </c>
      <c r="K18" s="56"/>
      <c r="L18" s="56"/>
      <c r="M18" s="56"/>
      <c r="N18" s="56" t="s">
        <v>16</v>
      </c>
      <c r="O18" s="61" t="s">
        <v>213</v>
      </c>
      <c r="P18" s="56" t="s">
        <v>196</v>
      </c>
      <c r="Q18" s="56">
        <f t="shared" ref="Q18:Q20" si="0">X18+Y18+Z18+AA18+AB18+AC18</f>
        <v>3000</v>
      </c>
      <c r="R18" s="110"/>
      <c r="S18" s="110"/>
      <c r="T18" s="110"/>
      <c r="U18" s="110"/>
      <c r="V18" s="110"/>
      <c r="W18" s="110"/>
      <c r="X18" s="127">
        <v>150</v>
      </c>
      <c r="Y18" s="127">
        <v>500</v>
      </c>
      <c r="Z18" s="127">
        <v>900</v>
      </c>
      <c r="AA18" s="127">
        <v>900</v>
      </c>
      <c r="AB18" s="127">
        <v>300</v>
      </c>
      <c r="AC18" s="127">
        <v>250</v>
      </c>
    </row>
    <row r="19" spans="1:29" ht="19.95" customHeight="1" x14ac:dyDescent="0.25">
      <c r="A19" s="38">
        <v>7000060596</v>
      </c>
      <c r="B19" s="56" t="s">
        <v>670</v>
      </c>
      <c r="C19" s="146" t="s">
        <v>669</v>
      </c>
      <c r="D19" s="56" t="s">
        <v>258</v>
      </c>
      <c r="E19" s="56" t="s">
        <v>247</v>
      </c>
      <c r="F19" s="56" t="s">
        <v>248</v>
      </c>
      <c r="G19" s="56" t="s">
        <v>236</v>
      </c>
      <c r="H19" s="56" t="s">
        <v>233</v>
      </c>
      <c r="I19" s="56" t="s">
        <v>195</v>
      </c>
      <c r="J19" s="56" t="s">
        <v>115</v>
      </c>
      <c r="K19" s="56"/>
      <c r="L19" s="56"/>
      <c r="M19" s="56"/>
      <c r="N19" s="56" t="s">
        <v>16</v>
      </c>
      <c r="O19" s="61" t="s">
        <v>214</v>
      </c>
      <c r="P19" s="56" t="s">
        <v>196</v>
      </c>
      <c r="Q19" s="56">
        <f t="shared" si="0"/>
        <v>3000</v>
      </c>
      <c r="R19" s="110"/>
      <c r="S19" s="110"/>
      <c r="T19" s="110"/>
      <c r="U19" s="110"/>
      <c r="V19" s="110"/>
      <c r="W19" s="110"/>
      <c r="X19" s="128">
        <v>0</v>
      </c>
      <c r="Y19" s="127">
        <v>400</v>
      </c>
      <c r="Z19" s="127">
        <v>1000</v>
      </c>
      <c r="AA19" s="127">
        <v>1000</v>
      </c>
      <c r="AB19" s="127">
        <v>200</v>
      </c>
      <c r="AC19" s="127">
        <v>400</v>
      </c>
    </row>
    <row r="20" spans="1:29" ht="19.95" customHeight="1" x14ac:dyDescent="0.25">
      <c r="A20" s="38">
        <v>7000060596</v>
      </c>
      <c r="B20" s="56" t="s">
        <v>670</v>
      </c>
      <c r="C20" s="146" t="s">
        <v>669</v>
      </c>
      <c r="D20" s="56" t="s">
        <v>258</v>
      </c>
      <c r="E20" s="56" t="s">
        <v>247</v>
      </c>
      <c r="F20" s="56" t="s">
        <v>248</v>
      </c>
      <c r="G20" s="56" t="s">
        <v>236</v>
      </c>
      <c r="H20" s="56" t="s">
        <v>233</v>
      </c>
      <c r="I20" s="56" t="s">
        <v>195</v>
      </c>
      <c r="J20" s="56" t="s">
        <v>115</v>
      </c>
      <c r="K20" s="56"/>
      <c r="L20" s="56"/>
      <c r="M20" s="56"/>
      <c r="N20" s="56" t="s">
        <v>16</v>
      </c>
      <c r="O20" s="61" t="s">
        <v>215</v>
      </c>
      <c r="P20" s="56" t="s">
        <v>196</v>
      </c>
      <c r="Q20" s="56">
        <f t="shared" si="0"/>
        <v>990</v>
      </c>
      <c r="R20" s="110"/>
      <c r="S20" s="110"/>
      <c r="T20" s="110"/>
      <c r="U20" s="110"/>
      <c r="V20" s="110"/>
      <c r="W20" s="110"/>
      <c r="X20" s="128">
        <v>0</v>
      </c>
      <c r="Y20" s="127">
        <v>132</v>
      </c>
      <c r="Z20" s="127">
        <v>330</v>
      </c>
      <c r="AA20" s="127">
        <v>330</v>
      </c>
      <c r="AB20" s="127">
        <v>66</v>
      </c>
      <c r="AC20" s="127">
        <v>132</v>
      </c>
    </row>
    <row r="21" spans="1:29" ht="19.95" customHeight="1" x14ac:dyDescent="0.25">
      <c r="A21" s="38">
        <v>7000060596</v>
      </c>
      <c r="B21" s="56" t="s">
        <v>670</v>
      </c>
      <c r="C21" s="146" t="s">
        <v>669</v>
      </c>
      <c r="D21" s="56" t="s">
        <v>258</v>
      </c>
      <c r="E21" s="56" t="s">
        <v>247</v>
      </c>
      <c r="F21" s="56" t="s">
        <v>248</v>
      </c>
      <c r="G21" s="56" t="s">
        <v>236</v>
      </c>
      <c r="H21" s="56" t="s">
        <v>233</v>
      </c>
      <c r="I21" s="56" t="s">
        <v>195</v>
      </c>
      <c r="J21" s="56" t="s">
        <v>115</v>
      </c>
      <c r="K21" s="56"/>
      <c r="L21" s="56"/>
      <c r="M21" s="56"/>
      <c r="N21" s="56" t="s">
        <v>16</v>
      </c>
      <c r="O21" s="61" t="s">
        <v>216</v>
      </c>
      <c r="P21" s="56" t="s">
        <v>21</v>
      </c>
      <c r="Q21" s="107">
        <v>1</v>
      </c>
      <c r="R21" s="110"/>
      <c r="S21" s="110"/>
      <c r="T21" s="110"/>
      <c r="U21" s="110"/>
      <c r="V21" s="110"/>
      <c r="W21" s="110"/>
      <c r="X21" s="128">
        <v>0</v>
      </c>
      <c r="Y21" s="127">
        <v>33</v>
      </c>
      <c r="Z21" s="127">
        <v>33</v>
      </c>
      <c r="AA21" s="127">
        <v>33</v>
      </c>
      <c r="AB21" s="127">
        <v>33</v>
      </c>
      <c r="AC21" s="127">
        <v>33</v>
      </c>
    </row>
    <row r="22" spans="1:29" ht="19.95" customHeight="1" x14ac:dyDescent="0.25">
      <c r="A22" s="38">
        <v>7000060596</v>
      </c>
      <c r="B22" s="56" t="s">
        <v>670</v>
      </c>
      <c r="C22" s="146" t="s">
        <v>669</v>
      </c>
      <c r="D22" s="56" t="s">
        <v>258</v>
      </c>
      <c r="E22" s="56" t="s">
        <v>247</v>
      </c>
      <c r="F22" s="56" t="s">
        <v>248</v>
      </c>
      <c r="G22" s="56" t="s">
        <v>236</v>
      </c>
      <c r="H22" s="56" t="s">
        <v>233</v>
      </c>
      <c r="I22" s="56" t="s">
        <v>195</v>
      </c>
      <c r="J22" s="56" t="s">
        <v>115</v>
      </c>
      <c r="K22" s="56"/>
      <c r="L22" s="56"/>
      <c r="M22" s="56"/>
      <c r="N22" s="56" t="s">
        <v>16</v>
      </c>
      <c r="O22" s="61" t="s">
        <v>217</v>
      </c>
      <c r="P22" s="56" t="s">
        <v>21</v>
      </c>
      <c r="Q22" s="107">
        <v>1</v>
      </c>
      <c r="R22" s="110"/>
      <c r="S22" s="110"/>
      <c r="T22" s="110"/>
      <c r="U22" s="110"/>
      <c r="V22" s="110"/>
      <c r="W22" s="110"/>
      <c r="X22" s="128">
        <v>0</v>
      </c>
      <c r="Y22" s="127">
        <v>9</v>
      </c>
      <c r="Z22" s="127">
        <v>9</v>
      </c>
      <c r="AA22" s="127">
        <v>9</v>
      </c>
      <c r="AB22" s="127">
        <v>9</v>
      </c>
      <c r="AC22" s="127">
        <v>9</v>
      </c>
    </row>
    <row r="23" spans="1:29" ht="19.95" customHeight="1" x14ac:dyDescent="0.25">
      <c r="A23" s="38">
        <v>7000060596</v>
      </c>
      <c r="B23" s="56" t="s">
        <v>670</v>
      </c>
      <c r="C23" s="146" t="s">
        <v>669</v>
      </c>
      <c r="D23" s="56" t="s">
        <v>258</v>
      </c>
      <c r="E23" s="56" t="s">
        <v>247</v>
      </c>
      <c r="F23" s="56" t="s">
        <v>248</v>
      </c>
      <c r="G23" s="56" t="s">
        <v>236</v>
      </c>
      <c r="H23" s="56" t="s">
        <v>233</v>
      </c>
      <c r="I23" s="56" t="s">
        <v>195</v>
      </c>
      <c r="J23" s="56" t="s">
        <v>115</v>
      </c>
      <c r="K23" s="56"/>
      <c r="L23" s="56"/>
      <c r="M23" s="56"/>
      <c r="N23" s="56" t="s">
        <v>16</v>
      </c>
      <c r="O23" s="61" t="s">
        <v>218</v>
      </c>
      <c r="P23" s="56" t="s">
        <v>21</v>
      </c>
      <c r="Q23" s="107">
        <v>1</v>
      </c>
      <c r="R23" s="110"/>
      <c r="S23" s="110"/>
      <c r="T23" s="110"/>
      <c r="U23" s="110"/>
      <c r="V23" s="110"/>
      <c r="W23" s="110"/>
      <c r="X23" s="128">
        <v>0</v>
      </c>
      <c r="Y23" s="127">
        <v>63.5</v>
      </c>
      <c r="Z23" s="127">
        <v>63.5</v>
      </c>
      <c r="AA23" s="127">
        <v>63.5</v>
      </c>
      <c r="AB23" s="127">
        <v>63.5</v>
      </c>
      <c r="AC23" s="127">
        <v>63.5</v>
      </c>
    </row>
    <row r="24" spans="1:29" ht="19.95" customHeight="1" x14ac:dyDescent="0.25">
      <c r="A24" s="38">
        <v>7000060596</v>
      </c>
      <c r="B24" s="56" t="s">
        <v>670</v>
      </c>
      <c r="C24" s="146" t="s">
        <v>669</v>
      </c>
      <c r="D24" s="56" t="s">
        <v>258</v>
      </c>
      <c r="E24" s="56" t="s">
        <v>247</v>
      </c>
      <c r="F24" s="56" t="s">
        <v>248</v>
      </c>
      <c r="G24" s="56" t="s">
        <v>236</v>
      </c>
      <c r="H24" s="56" t="s">
        <v>233</v>
      </c>
      <c r="I24" s="56" t="s">
        <v>195</v>
      </c>
      <c r="J24" s="56" t="s">
        <v>115</v>
      </c>
      <c r="K24" s="56"/>
      <c r="L24" s="56"/>
      <c r="M24" s="56"/>
      <c r="N24" s="56" t="s">
        <v>16</v>
      </c>
      <c r="O24" s="61" t="s">
        <v>219</v>
      </c>
      <c r="P24" s="56" t="s">
        <v>21</v>
      </c>
      <c r="Q24" s="107">
        <v>1</v>
      </c>
      <c r="R24" s="110"/>
      <c r="S24" s="110"/>
      <c r="T24" s="110"/>
      <c r="U24" s="110"/>
      <c r="V24" s="110"/>
      <c r="W24" s="110"/>
      <c r="X24" s="128">
        <v>0</v>
      </c>
      <c r="Y24" s="107">
        <v>1</v>
      </c>
      <c r="Z24" s="107">
        <v>1</v>
      </c>
      <c r="AA24" s="107">
        <v>1</v>
      </c>
      <c r="AB24" s="107">
        <v>1</v>
      </c>
      <c r="AC24" s="107">
        <v>1</v>
      </c>
    </row>
    <row r="25" spans="1:29" ht="19.95" customHeight="1" x14ac:dyDescent="0.25">
      <c r="A25" s="38">
        <v>7000060596</v>
      </c>
      <c r="B25" s="56" t="s">
        <v>670</v>
      </c>
      <c r="C25" s="146" t="s">
        <v>669</v>
      </c>
      <c r="D25" s="56" t="s">
        <v>258</v>
      </c>
      <c r="E25" s="56" t="s">
        <v>247</v>
      </c>
      <c r="F25" s="56" t="s">
        <v>248</v>
      </c>
      <c r="G25" s="56" t="s">
        <v>236</v>
      </c>
      <c r="H25" s="56" t="s">
        <v>233</v>
      </c>
      <c r="I25" s="56" t="s">
        <v>195</v>
      </c>
      <c r="J25" s="56" t="s">
        <v>115</v>
      </c>
      <c r="K25" s="56"/>
      <c r="L25" s="56"/>
      <c r="M25" s="56"/>
      <c r="N25" s="56" t="s">
        <v>16</v>
      </c>
      <c r="O25" s="61" t="s">
        <v>220</v>
      </c>
      <c r="P25" s="56" t="s">
        <v>18</v>
      </c>
      <c r="Q25" s="56">
        <f>X25+Y25+Z25+AA25+AB25+AC25</f>
        <v>6000</v>
      </c>
      <c r="R25" s="110"/>
      <c r="S25" s="110"/>
      <c r="T25" s="110"/>
      <c r="U25" s="110"/>
      <c r="V25" s="110"/>
      <c r="W25" s="110"/>
      <c r="X25" s="128"/>
      <c r="Y25" s="127">
        <v>800</v>
      </c>
      <c r="Z25" s="127">
        <v>2000</v>
      </c>
      <c r="AA25" s="127">
        <v>2000</v>
      </c>
      <c r="AB25" s="127">
        <v>400</v>
      </c>
      <c r="AC25" s="127">
        <v>800</v>
      </c>
    </row>
    <row r="26" spans="1:29" ht="19.95" customHeight="1" x14ac:dyDescent="0.25">
      <c r="A26" s="38">
        <v>7000060596</v>
      </c>
      <c r="B26" s="56" t="s">
        <v>670</v>
      </c>
      <c r="C26" s="146" t="s">
        <v>669</v>
      </c>
      <c r="D26" s="56" t="s">
        <v>258</v>
      </c>
      <c r="E26" s="56" t="s">
        <v>247</v>
      </c>
      <c r="F26" s="56" t="s">
        <v>248</v>
      </c>
      <c r="G26" s="56" t="s">
        <v>236</v>
      </c>
      <c r="H26" s="56" t="s">
        <v>233</v>
      </c>
      <c r="I26" s="56" t="s">
        <v>195</v>
      </c>
      <c r="J26" s="56" t="s">
        <v>115</v>
      </c>
      <c r="K26" s="56"/>
      <c r="L26" s="56"/>
      <c r="M26" s="56"/>
      <c r="N26" s="56" t="s">
        <v>16</v>
      </c>
      <c r="O26" s="61" t="s">
        <v>221</v>
      </c>
      <c r="P26" s="56" t="s">
        <v>18</v>
      </c>
      <c r="Q26" s="56">
        <f>Y26+Z26+AA26+AB26+AC26</f>
        <v>40</v>
      </c>
      <c r="R26" s="110"/>
      <c r="S26" s="110"/>
      <c r="T26" s="110"/>
      <c r="U26" s="110"/>
      <c r="V26" s="110"/>
      <c r="W26" s="110"/>
      <c r="X26" s="128"/>
      <c r="Y26" s="127">
        <v>6</v>
      </c>
      <c r="Z26" s="127">
        <v>13</v>
      </c>
      <c r="AA26" s="127">
        <v>13</v>
      </c>
      <c r="AB26" s="127">
        <v>3</v>
      </c>
      <c r="AC26" s="127">
        <v>5</v>
      </c>
    </row>
    <row r="27" spans="1:29" ht="19.95" customHeight="1" x14ac:dyDescent="0.25">
      <c r="A27" s="38">
        <v>7000060596</v>
      </c>
      <c r="B27" s="56" t="s">
        <v>670</v>
      </c>
      <c r="C27" s="146" t="s">
        <v>669</v>
      </c>
      <c r="D27" s="56" t="s">
        <v>258</v>
      </c>
      <c r="E27" s="56" t="s">
        <v>247</v>
      </c>
      <c r="F27" s="56" t="s">
        <v>248</v>
      </c>
      <c r="G27" s="56" t="s">
        <v>236</v>
      </c>
      <c r="H27" s="56" t="s">
        <v>233</v>
      </c>
      <c r="I27" s="56" t="s">
        <v>195</v>
      </c>
      <c r="J27" s="56" t="s">
        <v>115</v>
      </c>
      <c r="K27" s="56"/>
      <c r="L27" s="56"/>
      <c r="M27" s="56"/>
      <c r="N27" s="56" t="s">
        <v>16</v>
      </c>
      <c r="O27" s="61" t="s">
        <v>222</v>
      </c>
      <c r="P27" s="56" t="s">
        <v>18</v>
      </c>
      <c r="Q27" s="56">
        <f>Y27+Z27+AA27+AB27+AC27</f>
        <v>4700</v>
      </c>
      <c r="R27" s="110"/>
      <c r="S27" s="110"/>
      <c r="T27" s="110"/>
      <c r="U27" s="110"/>
      <c r="V27" s="110"/>
      <c r="W27" s="110"/>
      <c r="X27" s="128"/>
      <c r="Y27" s="127"/>
      <c r="Z27" s="127">
        <v>700</v>
      </c>
      <c r="AA27" s="127">
        <v>1000</v>
      </c>
      <c r="AB27" s="127">
        <v>2000</v>
      </c>
      <c r="AC27" s="127">
        <v>1000</v>
      </c>
    </row>
    <row r="28" spans="1:29" ht="19.95" customHeight="1" x14ac:dyDescent="0.25">
      <c r="A28" s="38">
        <v>7000060596</v>
      </c>
      <c r="B28" s="56" t="s">
        <v>670</v>
      </c>
      <c r="C28" s="146" t="s">
        <v>669</v>
      </c>
      <c r="D28" s="56" t="s">
        <v>258</v>
      </c>
      <c r="E28" s="56" t="s">
        <v>247</v>
      </c>
      <c r="F28" s="56" t="s">
        <v>248</v>
      </c>
      <c r="G28" s="56" t="s">
        <v>236</v>
      </c>
      <c r="H28" s="56" t="s">
        <v>233</v>
      </c>
      <c r="I28" s="56" t="s">
        <v>195</v>
      </c>
      <c r="J28" s="56" t="s">
        <v>115</v>
      </c>
      <c r="K28" s="56"/>
      <c r="L28" s="56"/>
      <c r="M28" s="56"/>
      <c r="N28" s="56" t="s">
        <v>16</v>
      </c>
      <c r="O28" s="61" t="s">
        <v>223</v>
      </c>
      <c r="P28" s="56" t="s">
        <v>196</v>
      </c>
      <c r="Q28" s="56">
        <f t="shared" ref="Q28:Q32" si="1">Y28+Z28+AA28+AB28+AC28</f>
        <v>775</v>
      </c>
      <c r="R28" s="110"/>
      <c r="S28" s="110"/>
      <c r="T28" s="110"/>
      <c r="U28" s="110"/>
      <c r="V28" s="110"/>
      <c r="W28" s="110"/>
      <c r="X28" s="128"/>
      <c r="Y28" s="127"/>
      <c r="Z28" s="127">
        <v>115</v>
      </c>
      <c r="AA28" s="127">
        <v>165</v>
      </c>
      <c r="AB28" s="127">
        <v>330</v>
      </c>
      <c r="AC28" s="127">
        <v>165</v>
      </c>
    </row>
    <row r="29" spans="1:29" ht="19.95" customHeight="1" x14ac:dyDescent="0.25">
      <c r="A29" s="38">
        <v>7000060596</v>
      </c>
      <c r="B29" s="56" t="s">
        <v>670</v>
      </c>
      <c r="C29" s="146" t="s">
        <v>669</v>
      </c>
      <c r="D29" s="56" t="s">
        <v>258</v>
      </c>
      <c r="E29" s="56" t="s">
        <v>247</v>
      </c>
      <c r="F29" s="56" t="s">
        <v>248</v>
      </c>
      <c r="G29" s="56" t="s">
        <v>236</v>
      </c>
      <c r="H29" s="56" t="s">
        <v>233</v>
      </c>
      <c r="I29" s="56" t="s">
        <v>195</v>
      </c>
      <c r="J29" s="56" t="s">
        <v>115</v>
      </c>
      <c r="K29" s="56"/>
      <c r="L29" s="56"/>
      <c r="M29" s="56"/>
      <c r="N29" s="56" t="s">
        <v>16</v>
      </c>
      <c r="O29" s="61" t="s">
        <v>224</v>
      </c>
      <c r="P29" s="56" t="s">
        <v>18</v>
      </c>
      <c r="Q29" s="56">
        <f t="shared" si="1"/>
        <v>2500</v>
      </c>
      <c r="R29" s="110"/>
      <c r="S29" s="110"/>
      <c r="T29" s="110"/>
      <c r="U29" s="110"/>
      <c r="V29" s="110"/>
      <c r="W29" s="110"/>
      <c r="X29" s="128"/>
      <c r="Y29" s="127"/>
      <c r="Z29" s="127">
        <v>500</v>
      </c>
      <c r="AA29" s="127">
        <v>1000</v>
      </c>
      <c r="AB29" s="127">
        <v>1000</v>
      </c>
      <c r="AC29" s="127">
        <v>0</v>
      </c>
    </row>
    <row r="30" spans="1:29" ht="19.95" customHeight="1" x14ac:dyDescent="0.25">
      <c r="A30" s="38">
        <v>7000060596</v>
      </c>
      <c r="B30" s="56" t="s">
        <v>670</v>
      </c>
      <c r="C30" s="146" t="s">
        <v>669</v>
      </c>
      <c r="D30" s="56" t="s">
        <v>258</v>
      </c>
      <c r="E30" s="56" t="s">
        <v>247</v>
      </c>
      <c r="F30" s="56" t="s">
        <v>248</v>
      </c>
      <c r="G30" s="56" t="s">
        <v>236</v>
      </c>
      <c r="H30" s="56" t="s">
        <v>233</v>
      </c>
      <c r="I30" s="56" t="s">
        <v>195</v>
      </c>
      <c r="J30" s="56" t="s">
        <v>115</v>
      </c>
      <c r="K30" s="56"/>
      <c r="L30" s="56"/>
      <c r="M30" s="56"/>
      <c r="N30" s="56" t="s">
        <v>16</v>
      </c>
      <c r="O30" s="61" t="s">
        <v>226</v>
      </c>
      <c r="P30" s="56" t="s">
        <v>18</v>
      </c>
      <c r="Q30" s="56">
        <f t="shared" si="1"/>
        <v>3</v>
      </c>
      <c r="R30" s="110"/>
      <c r="S30" s="110"/>
      <c r="T30" s="110"/>
      <c r="U30" s="110"/>
      <c r="V30" s="110"/>
      <c r="W30" s="110"/>
      <c r="X30" s="129"/>
      <c r="Y30" s="129"/>
      <c r="Z30" s="129">
        <v>1</v>
      </c>
      <c r="AA30" s="129">
        <v>1</v>
      </c>
      <c r="AB30" s="129">
        <v>0</v>
      </c>
      <c r="AC30" s="129">
        <v>1</v>
      </c>
    </row>
    <row r="31" spans="1:29" ht="19.95" customHeight="1" x14ac:dyDescent="0.25">
      <c r="A31" s="38">
        <v>7000060596</v>
      </c>
      <c r="B31" s="56" t="s">
        <v>670</v>
      </c>
      <c r="C31" s="146" t="s">
        <v>669</v>
      </c>
      <c r="D31" s="56" t="s">
        <v>258</v>
      </c>
      <c r="E31" s="56" t="s">
        <v>247</v>
      </c>
      <c r="F31" s="56" t="s">
        <v>248</v>
      </c>
      <c r="G31" s="56" t="s">
        <v>236</v>
      </c>
      <c r="H31" s="56" t="s">
        <v>233</v>
      </c>
      <c r="I31" s="56" t="s">
        <v>195</v>
      </c>
      <c r="J31" s="56" t="s">
        <v>115</v>
      </c>
      <c r="K31" s="56"/>
      <c r="L31" s="56"/>
      <c r="M31" s="56"/>
      <c r="N31" s="56" t="s">
        <v>16</v>
      </c>
      <c r="O31" s="61" t="s">
        <v>227</v>
      </c>
      <c r="P31" s="56" t="s">
        <v>18</v>
      </c>
      <c r="Q31" s="56">
        <f t="shared" si="1"/>
        <v>40</v>
      </c>
      <c r="R31" s="110"/>
      <c r="S31" s="110"/>
      <c r="T31" s="110"/>
      <c r="U31" s="110"/>
      <c r="V31" s="110"/>
      <c r="W31" s="110"/>
      <c r="X31" s="128"/>
      <c r="Y31" s="127">
        <v>6</v>
      </c>
      <c r="Z31" s="127">
        <v>13</v>
      </c>
      <c r="AA31" s="127">
        <v>13</v>
      </c>
      <c r="AB31" s="127">
        <v>3</v>
      </c>
      <c r="AC31" s="127">
        <v>5</v>
      </c>
    </row>
    <row r="32" spans="1:29" ht="19.95" customHeight="1" x14ac:dyDescent="0.25">
      <c r="A32" s="38">
        <v>7000060596</v>
      </c>
      <c r="B32" s="56" t="s">
        <v>670</v>
      </c>
      <c r="C32" s="146" t="s">
        <v>669</v>
      </c>
      <c r="D32" s="56" t="s">
        <v>258</v>
      </c>
      <c r="E32" s="56" t="s">
        <v>247</v>
      </c>
      <c r="F32" s="56" t="s">
        <v>248</v>
      </c>
      <c r="G32" s="56" t="s">
        <v>236</v>
      </c>
      <c r="H32" s="56" t="s">
        <v>233</v>
      </c>
      <c r="I32" s="56" t="s">
        <v>195</v>
      </c>
      <c r="J32" s="56" t="s">
        <v>115</v>
      </c>
      <c r="K32" s="56"/>
      <c r="L32" s="56"/>
      <c r="M32" s="56"/>
      <c r="N32" s="56" t="s">
        <v>16</v>
      </c>
      <c r="O32" s="61" t="s">
        <v>228</v>
      </c>
      <c r="P32" s="56" t="s">
        <v>18</v>
      </c>
      <c r="Q32" s="56">
        <f t="shared" si="1"/>
        <v>2</v>
      </c>
      <c r="R32" s="110"/>
      <c r="S32" s="110"/>
      <c r="T32" s="110"/>
      <c r="U32" s="110"/>
      <c r="V32" s="110"/>
      <c r="W32" s="110"/>
      <c r="X32" s="129"/>
      <c r="Y32" s="129"/>
      <c r="Z32" s="127"/>
      <c r="AA32" s="127">
        <v>1</v>
      </c>
      <c r="AB32" s="127"/>
      <c r="AC32" s="129">
        <v>1</v>
      </c>
    </row>
    <row r="33" spans="1:29" ht="19.95" customHeight="1" x14ac:dyDescent="0.25">
      <c r="A33" s="38">
        <v>7000060596</v>
      </c>
      <c r="B33" s="56" t="s">
        <v>670</v>
      </c>
      <c r="C33" s="146" t="s">
        <v>669</v>
      </c>
      <c r="D33" s="56" t="s">
        <v>258</v>
      </c>
      <c r="E33" s="56" t="s">
        <v>247</v>
      </c>
      <c r="F33" s="56" t="s">
        <v>248</v>
      </c>
      <c r="G33" s="56" t="s">
        <v>236</v>
      </c>
      <c r="H33" s="56" t="s">
        <v>233</v>
      </c>
      <c r="I33" s="56" t="s">
        <v>195</v>
      </c>
      <c r="J33" s="56" t="s">
        <v>115</v>
      </c>
      <c r="K33" s="56"/>
      <c r="L33" s="56"/>
      <c r="M33" s="56"/>
      <c r="N33" s="56" t="s">
        <v>16</v>
      </c>
      <c r="O33" s="61" t="s">
        <v>326</v>
      </c>
      <c r="P33" s="56" t="s">
        <v>21</v>
      </c>
      <c r="Q33" s="107">
        <v>1</v>
      </c>
      <c r="R33" s="107">
        <v>1</v>
      </c>
      <c r="S33" s="107">
        <v>1</v>
      </c>
      <c r="T33" s="107">
        <v>1</v>
      </c>
      <c r="U33" s="107">
        <v>1</v>
      </c>
      <c r="V33" s="107">
        <v>1</v>
      </c>
      <c r="W33" s="110"/>
      <c r="X33" s="110"/>
      <c r="Y33" s="110"/>
      <c r="Z33" s="110"/>
      <c r="AA33" s="110"/>
      <c r="AB33" s="110"/>
      <c r="AC33" s="110"/>
    </row>
    <row r="34" spans="1:29" ht="19.95" customHeight="1" x14ac:dyDescent="0.25">
      <c r="A34" s="38">
        <v>7000060596</v>
      </c>
      <c r="B34" s="56" t="s">
        <v>670</v>
      </c>
      <c r="C34" s="146" t="s">
        <v>669</v>
      </c>
      <c r="D34" s="56" t="s">
        <v>258</v>
      </c>
      <c r="E34" s="56" t="s">
        <v>247</v>
      </c>
      <c r="F34" s="56" t="s">
        <v>248</v>
      </c>
      <c r="G34" s="56" t="s">
        <v>236</v>
      </c>
      <c r="H34" s="56" t="s">
        <v>233</v>
      </c>
      <c r="I34" s="56" t="s">
        <v>195</v>
      </c>
      <c r="J34" s="56" t="s">
        <v>115</v>
      </c>
      <c r="K34" s="56"/>
      <c r="L34" s="56"/>
      <c r="M34" s="56"/>
      <c r="N34" s="56" t="s">
        <v>16</v>
      </c>
      <c r="O34" s="61" t="s">
        <v>243</v>
      </c>
      <c r="P34" s="56" t="s">
        <v>21</v>
      </c>
      <c r="Q34" s="107">
        <v>1</v>
      </c>
      <c r="R34" s="107">
        <v>1</v>
      </c>
      <c r="S34" s="107">
        <v>1</v>
      </c>
      <c r="T34" s="107">
        <v>1</v>
      </c>
      <c r="U34" s="107">
        <v>1</v>
      </c>
      <c r="V34" s="107">
        <v>1</v>
      </c>
      <c r="W34" s="110"/>
      <c r="X34" s="110"/>
      <c r="Y34" s="110"/>
      <c r="Z34" s="110"/>
      <c r="AA34" s="110"/>
      <c r="AB34" s="110"/>
      <c r="AC34" s="110"/>
    </row>
  </sheetData>
  <hyperlinks>
    <hyperlink ref="C2" r:id="rId1" xr:uid="{26832F19-C1C8-464A-B915-7CA6F15C1167}"/>
    <hyperlink ref="C3" r:id="rId2" xr:uid="{EAAF391B-AF84-457A-A993-3EC293C52601}"/>
    <hyperlink ref="C4" r:id="rId3" xr:uid="{73381DAB-AD81-48FB-A20A-F1BF92A7DC9A}"/>
    <hyperlink ref="C5" r:id="rId4" xr:uid="{F5F22C2F-1B1E-4413-9059-5A4E4F10CDEC}"/>
    <hyperlink ref="C6" r:id="rId5" xr:uid="{9BBF5A1E-2C5A-49F6-ACC1-455F8CB25683}"/>
    <hyperlink ref="C7" r:id="rId6" xr:uid="{4AC3BC19-F513-47C2-996A-25D96C11A790}"/>
    <hyperlink ref="C8" r:id="rId7" xr:uid="{D162E316-9EAB-4FB9-9DE3-C6F294B5D75A}"/>
    <hyperlink ref="C9" r:id="rId8" xr:uid="{7CAFC16B-A6E3-4090-94B7-AE14F2D703C7}"/>
    <hyperlink ref="C10" r:id="rId9" xr:uid="{39D8A34D-475D-4052-9E6A-A9F53714FBBE}"/>
    <hyperlink ref="C11" r:id="rId10" xr:uid="{A8897626-A70E-40BA-AFDD-A63D670361C8}"/>
    <hyperlink ref="C12" r:id="rId11" xr:uid="{898BFBD8-0A76-4F1A-B92E-6C689074D75B}"/>
    <hyperlink ref="C13" r:id="rId12" xr:uid="{5BAC6CBD-E528-433E-92E0-183CB0EC6B84}"/>
    <hyperlink ref="C14" r:id="rId13" xr:uid="{D6E703B4-CDA5-4BB1-B7AF-991C03F637A9}"/>
    <hyperlink ref="C15" r:id="rId14" xr:uid="{FD1CD896-A730-4B32-B338-F4ED3D46E0FF}"/>
    <hyperlink ref="C16" r:id="rId15" xr:uid="{252CD90A-AC6E-4FE9-BCB1-4D38D90940E3}"/>
    <hyperlink ref="C17" r:id="rId16" xr:uid="{BAA22A09-2CF3-42C1-8AFD-C0FAAFEE2A3D}"/>
    <hyperlink ref="C18" r:id="rId17" xr:uid="{467F3D92-33CF-40EA-B2E6-0DD6C7234F6C}"/>
    <hyperlink ref="C19" r:id="rId18" xr:uid="{4CDDADC5-9EE3-46F6-B53B-6A5EE699D3AD}"/>
    <hyperlink ref="C20" r:id="rId19" xr:uid="{C8C4D86A-97FF-414C-84B1-B76DA549CB18}"/>
    <hyperlink ref="C21" r:id="rId20" xr:uid="{C8937056-7605-408C-AF94-0249C9D58DF4}"/>
    <hyperlink ref="C22" r:id="rId21" xr:uid="{D3897E07-6655-4F10-9910-8147D7B0DA0B}"/>
    <hyperlink ref="C23" r:id="rId22" xr:uid="{B3F3246B-8375-4337-9649-7F25FC1515A0}"/>
    <hyperlink ref="C24" r:id="rId23" xr:uid="{7EB19510-4E19-4EE6-909C-E76638906D32}"/>
    <hyperlink ref="C25" r:id="rId24" xr:uid="{C2AE6505-BAF2-42AF-87A7-F0F3EF02FA8A}"/>
    <hyperlink ref="C26" r:id="rId25" xr:uid="{593F9FAA-681B-4DD4-8B17-12DE109AED9D}"/>
    <hyperlink ref="C27" r:id="rId26" xr:uid="{017BCD36-242E-4D30-AD14-A69206405AB3}"/>
    <hyperlink ref="C28" r:id="rId27" xr:uid="{9AEB145C-ED83-406F-975A-46B3139C046F}"/>
    <hyperlink ref="C29" r:id="rId28" xr:uid="{4BCBB5E9-A15B-4746-8EAA-C4EFAFEA0817}"/>
    <hyperlink ref="C30" r:id="rId29" xr:uid="{A2D2A7D2-EA36-4251-9891-B7D1913AB0D0}"/>
    <hyperlink ref="C31" r:id="rId30" xr:uid="{011F219A-833B-4517-8A4D-FD65231E1EBA}"/>
    <hyperlink ref="C32" r:id="rId31" xr:uid="{4300BA8A-B5B0-4CD5-9568-35501F9EBE5B}"/>
    <hyperlink ref="C33" r:id="rId32" xr:uid="{647D28E3-D5F6-495D-A1CE-54D50CDF5B66}"/>
    <hyperlink ref="C34" r:id="rId33" xr:uid="{C5559E3C-D63F-465C-97C1-DECD673EEF2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57769-E758-4A32-BF74-6BF9BA27346E}">
  <dimension ref="A1:AC17"/>
  <sheetViews>
    <sheetView workbookViewId="0">
      <selection activeCell="F2" sqref="F2"/>
    </sheetView>
  </sheetViews>
  <sheetFormatPr defaultRowHeight="13.2" x14ac:dyDescent="0.25"/>
  <cols>
    <col min="1" max="1" width="12.109375" bestFit="1" customWidth="1"/>
    <col min="2" max="2" width="16.6640625" bestFit="1" customWidth="1"/>
    <col min="3" max="3" width="32.21875" bestFit="1" customWidth="1"/>
    <col min="4" max="4" width="10" customWidth="1"/>
    <col min="5" max="5" width="11.21875" bestFit="1" customWidth="1"/>
    <col min="6" max="6" width="10.21875" bestFit="1" customWidth="1"/>
    <col min="7" max="7" width="11.44140625" bestFit="1" customWidth="1"/>
    <col min="8" max="8" width="8.88671875" bestFit="1" customWidth="1"/>
    <col min="9" max="9" width="17.6640625" bestFit="1" customWidth="1"/>
    <col min="10" max="13" width="10.88671875" bestFit="1" customWidth="1"/>
    <col min="14" max="14" width="13.33203125" bestFit="1" customWidth="1"/>
    <col min="15" max="15" width="98.21875" bestFit="1" customWidth="1"/>
    <col min="16" max="16" width="21.77734375" bestFit="1" customWidth="1"/>
    <col min="17" max="17" width="14.109375" bestFit="1" customWidth="1"/>
    <col min="18" max="29" width="9" customWidth="1"/>
  </cols>
  <sheetData>
    <row r="1" spans="1:29" ht="26.4" x14ac:dyDescent="0.25">
      <c r="A1" s="62" t="s">
        <v>123</v>
      </c>
      <c r="B1" s="63" t="s">
        <v>1</v>
      </c>
      <c r="C1" s="62" t="s">
        <v>2</v>
      </c>
      <c r="D1" s="63" t="s">
        <v>3</v>
      </c>
      <c r="E1" s="62" t="s">
        <v>4</v>
      </c>
      <c r="F1" s="62" t="s">
        <v>5</v>
      </c>
      <c r="G1" s="62" t="s">
        <v>6</v>
      </c>
      <c r="H1" s="62" t="s">
        <v>7</v>
      </c>
      <c r="I1" s="63" t="s">
        <v>8</v>
      </c>
      <c r="J1" s="62" t="s">
        <v>9</v>
      </c>
      <c r="K1" s="62" t="s">
        <v>10</v>
      </c>
      <c r="L1" s="62" t="s">
        <v>126</v>
      </c>
      <c r="M1" s="62" t="s">
        <v>127</v>
      </c>
      <c r="N1" s="62"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38">
        <v>9543191223</v>
      </c>
      <c r="B2" s="56" t="s">
        <v>807</v>
      </c>
      <c r="C2" s="43" t="s">
        <v>808</v>
      </c>
      <c r="D2" s="56" t="s">
        <v>266</v>
      </c>
      <c r="E2" s="56" t="s">
        <v>104</v>
      </c>
      <c r="F2" s="56" t="s">
        <v>59</v>
      </c>
      <c r="G2" s="56" t="s">
        <v>169</v>
      </c>
      <c r="H2" s="56" t="s">
        <v>115</v>
      </c>
      <c r="I2" s="56" t="s">
        <v>106</v>
      </c>
      <c r="J2" s="56" t="s">
        <v>125</v>
      </c>
      <c r="K2" s="56"/>
      <c r="L2" s="56"/>
      <c r="M2" s="56"/>
      <c r="N2" s="56" t="s">
        <v>16</v>
      </c>
      <c r="O2" s="44" t="s">
        <v>1024</v>
      </c>
      <c r="P2" s="11" t="s">
        <v>21</v>
      </c>
      <c r="Q2" s="11">
        <v>1</v>
      </c>
      <c r="R2" s="11">
        <v>1</v>
      </c>
      <c r="S2" s="11">
        <v>1</v>
      </c>
      <c r="T2" s="11">
        <v>1</v>
      </c>
      <c r="U2" s="11">
        <v>1</v>
      </c>
      <c r="V2" s="11">
        <v>1</v>
      </c>
      <c r="W2" s="11">
        <v>1</v>
      </c>
      <c r="X2" s="11">
        <v>1</v>
      </c>
      <c r="Y2" s="11">
        <v>1</v>
      </c>
      <c r="Z2" s="11">
        <v>1</v>
      </c>
      <c r="AA2" s="11">
        <v>1</v>
      </c>
      <c r="AB2" s="11">
        <v>1</v>
      </c>
      <c r="AC2" s="11">
        <v>1</v>
      </c>
    </row>
    <row r="3" spans="1:29" ht="19.95" customHeight="1" x14ac:dyDescent="0.25">
      <c r="A3" s="38">
        <v>9543191223</v>
      </c>
      <c r="B3" s="56" t="s">
        <v>807</v>
      </c>
      <c r="C3" s="43" t="s">
        <v>808</v>
      </c>
      <c r="D3" s="56" t="s">
        <v>266</v>
      </c>
      <c r="E3" s="56" t="s">
        <v>104</v>
      </c>
      <c r="F3" s="56" t="s">
        <v>59</v>
      </c>
      <c r="G3" s="56" t="s">
        <v>169</v>
      </c>
      <c r="H3" s="56" t="s">
        <v>115</v>
      </c>
      <c r="I3" s="56" t="s">
        <v>106</v>
      </c>
      <c r="J3" s="56" t="s">
        <v>125</v>
      </c>
      <c r="K3" s="56"/>
      <c r="L3" s="56"/>
      <c r="M3" s="56"/>
      <c r="N3" s="56" t="s">
        <v>16</v>
      </c>
      <c r="O3" s="85" t="s">
        <v>809</v>
      </c>
      <c r="P3" s="11" t="s">
        <v>813</v>
      </c>
      <c r="Q3" s="38">
        <v>6</v>
      </c>
      <c r="R3" s="38">
        <v>0</v>
      </c>
      <c r="S3" s="38">
        <v>0</v>
      </c>
      <c r="T3" s="38">
        <v>0</v>
      </c>
      <c r="U3" s="38">
        <v>0</v>
      </c>
      <c r="V3" s="38">
        <v>0</v>
      </c>
      <c r="W3" s="38">
        <v>6</v>
      </c>
      <c r="X3" s="38">
        <v>0</v>
      </c>
      <c r="Y3" s="38">
        <v>0</v>
      </c>
      <c r="Z3" s="38">
        <v>0</v>
      </c>
      <c r="AA3" s="38"/>
      <c r="AB3" s="38"/>
      <c r="AC3" s="38"/>
    </row>
    <row r="4" spans="1:29" ht="19.95" customHeight="1" x14ac:dyDescent="0.25">
      <c r="A4" s="38">
        <v>9543191223</v>
      </c>
      <c r="B4" s="56" t="s">
        <v>807</v>
      </c>
      <c r="C4" s="43" t="s">
        <v>808</v>
      </c>
      <c r="D4" s="56" t="s">
        <v>266</v>
      </c>
      <c r="E4" s="56" t="s">
        <v>104</v>
      </c>
      <c r="F4" s="56" t="s">
        <v>59</v>
      </c>
      <c r="G4" s="56" t="s">
        <v>169</v>
      </c>
      <c r="H4" s="56" t="s">
        <v>115</v>
      </c>
      <c r="I4" s="56" t="s">
        <v>106</v>
      </c>
      <c r="J4" s="56" t="s">
        <v>125</v>
      </c>
      <c r="K4" s="56"/>
      <c r="L4" s="56"/>
      <c r="M4" s="56"/>
      <c r="N4" s="56" t="s">
        <v>16</v>
      </c>
      <c r="O4" s="145" t="s">
        <v>810</v>
      </c>
      <c r="P4" s="11" t="s">
        <v>21</v>
      </c>
      <c r="Q4" s="11">
        <v>1</v>
      </c>
      <c r="R4" s="11">
        <v>1</v>
      </c>
      <c r="S4" s="11">
        <v>1</v>
      </c>
      <c r="T4" s="11">
        <v>1</v>
      </c>
      <c r="U4" s="11">
        <v>1</v>
      </c>
      <c r="V4" s="11">
        <v>1</v>
      </c>
      <c r="W4" s="11">
        <v>1</v>
      </c>
      <c r="X4" s="11">
        <v>1</v>
      </c>
      <c r="Y4" s="11">
        <v>1</v>
      </c>
      <c r="Z4" s="11">
        <v>1</v>
      </c>
      <c r="AA4" s="11">
        <v>1</v>
      </c>
      <c r="AB4" s="11">
        <v>1</v>
      </c>
      <c r="AC4" s="11">
        <v>1</v>
      </c>
    </row>
    <row r="5" spans="1:29" ht="19.95" customHeight="1" x14ac:dyDescent="0.25">
      <c r="A5" s="38">
        <v>9543191223</v>
      </c>
      <c r="B5" s="56" t="s">
        <v>807</v>
      </c>
      <c r="C5" s="43" t="s">
        <v>808</v>
      </c>
      <c r="D5" s="56" t="s">
        <v>266</v>
      </c>
      <c r="E5" s="56" t="s">
        <v>104</v>
      </c>
      <c r="F5" s="56" t="s">
        <v>59</v>
      </c>
      <c r="G5" s="56" t="s">
        <v>169</v>
      </c>
      <c r="H5" s="56" t="s">
        <v>115</v>
      </c>
      <c r="I5" s="56" t="s">
        <v>106</v>
      </c>
      <c r="J5" s="56" t="s">
        <v>125</v>
      </c>
      <c r="K5" s="56"/>
      <c r="L5" s="56"/>
      <c r="M5" s="56"/>
      <c r="N5" s="56" t="s">
        <v>16</v>
      </c>
      <c r="O5" s="85" t="s">
        <v>1025</v>
      </c>
      <c r="P5" s="11" t="s">
        <v>21</v>
      </c>
      <c r="Q5" s="11">
        <v>1</v>
      </c>
      <c r="R5" s="11">
        <v>1</v>
      </c>
      <c r="S5" s="11">
        <v>1</v>
      </c>
      <c r="T5" s="11">
        <v>1</v>
      </c>
      <c r="U5" s="11">
        <v>1</v>
      </c>
      <c r="V5" s="11">
        <v>1</v>
      </c>
      <c r="W5" s="11">
        <v>1</v>
      </c>
      <c r="X5" s="11">
        <v>1</v>
      </c>
      <c r="Y5" s="11">
        <v>1</v>
      </c>
      <c r="Z5" s="11">
        <v>1</v>
      </c>
      <c r="AA5" s="11">
        <v>1</v>
      </c>
      <c r="AB5" s="11">
        <v>1</v>
      </c>
      <c r="AC5" s="11">
        <v>1</v>
      </c>
    </row>
    <row r="6" spans="1:29" ht="19.95" customHeight="1" x14ac:dyDescent="0.25">
      <c r="A6" s="38">
        <v>9543191223</v>
      </c>
      <c r="B6" s="56" t="s">
        <v>807</v>
      </c>
      <c r="C6" s="43" t="s">
        <v>808</v>
      </c>
      <c r="D6" s="56" t="s">
        <v>266</v>
      </c>
      <c r="E6" s="56" t="s">
        <v>104</v>
      </c>
      <c r="F6" s="56" t="s">
        <v>59</v>
      </c>
      <c r="G6" s="56" t="s">
        <v>169</v>
      </c>
      <c r="H6" s="56" t="s">
        <v>115</v>
      </c>
      <c r="I6" s="56" t="s">
        <v>106</v>
      </c>
      <c r="J6" s="56" t="s">
        <v>125</v>
      </c>
      <c r="K6" s="56"/>
      <c r="L6" s="56"/>
      <c r="M6" s="56"/>
      <c r="N6" s="56" t="s">
        <v>16</v>
      </c>
      <c r="O6" s="85" t="s">
        <v>811</v>
      </c>
      <c r="P6" s="11" t="s">
        <v>813</v>
      </c>
      <c r="Q6" s="38">
        <v>1</v>
      </c>
      <c r="R6" s="38">
        <v>1</v>
      </c>
      <c r="S6" s="38">
        <v>1</v>
      </c>
      <c r="T6" s="38">
        <v>1</v>
      </c>
      <c r="U6" s="38">
        <v>1</v>
      </c>
      <c r="V6" s="38">
        <v>1</v>
      </c>
      <c r="W6" s="38">
        <v>1</v>
      </c>
      <c r="X6" s="38">
        <v>1</v>
      </c>
      <c r="Y6" s="38">
        <v>1</v>
      </c>
      <c r="Z6" s="38">
        <v>1</v>
      </c>
      <c r="AA6" s="38">
        <v>1</v>
      </c>
      <c r="AB6" s="38">
        <v>1</v>
      </c>
      <c r="AC6" s="38">
        <v>1</v>
      </c>
    </row>
    <row r="7" spans="1:29" ht="19.95" customHeight="1" x14ac:dyDescent="0.25">
      <c r="A7" s="38">
        <v>9543191223</v>
      </c>
      <c r="B7" s="56" t="s">
        <v>807</v>
      </c>
      <c r="C7" s="43" t="s">
        <v>808</v>
      </c>
      <c r="D7" s="56" t="s">
        <v>266</v>
      </c>
      <c r="E7" s="56" t="s">
        <v>104</v>
      </c>
      <c r="F7" s="56" t="s">
        <v>59</v>
      </c>
      <c r="G7" s="56" t="s">
        <v>169</v>
      </c>
      <c r="H7" s="56" t="s">
        <v>115</v>
      </c>
      <c r="I7" s="56" t="s">
        <v>106</v>
      </c>
      <c r="J7" s="56" t="s">
        <v>125</v>
      </c>
      <c r="K7" s="56"/>
      <c r="L7" s="56"/>
      <c r="M7" s="56"/>
      <c r="N7" s="56" t="s">
        <v>16</v>
      </c>
      <c r="O7" s="44" t="s">
        <v>812</v>
      </c>
      <c r="P7" s="11" t="s">
        <v>21</v>
      </c>
      <c r="Q7" s="11">
        <v>1</v>
      </c>
      <c r="R7" s="11">
        <v>1</v>
      </c>
      <c r="S7" s="11">
        <v>1</v>
      </c>
      <c r="T7" s="11">
        <v>1</v>
      </c>
      <c r="U7" s="11">
        <v>1</v>
      </c>
      <c r="V7" s="11">
        <v>1</v>
      </c>
      <c r="W7" s="11">
        <v>1</v>
      </c>
      <c r="X7" s="11">
        <v>1</v>
      </c>
      <c r="Y7" s="11">
        <v>1</v>
      </c>
      <c r="Z7" s="11">
        <v>1</v>
      </c>
      <c r="AA7" s="11">
        <v>1</v>
      </c>
      <c r="AB7" s="11">
        <v>1</v>
      </c>
      <c r="AC7" s="11">
        <v>1</v>
      </c>
    </row>
    <row r="8" spans="1:29" ht="19.95" customHeight="1" x14ac:dyDescent="0.25">
      <c r="A8" s="38">
        <v>9543191223</v>
      </c>
      <c r="B8" s="56" t="s">
        <v>807</v>
      </c>
      <c r="C8" s="43" t="s">
        <v>808</v>
      </c>
      <c r="D8" s="56" t="s">
        <v>266</v>
      </c>
      <c r="E8" s="56" t="s">
        <v>104</v>
      </c>
      <c r="F8" s="56" t="s">
        <v>59</v>
      </c>
      <c r="G8" s="56" t="s">
        <v>169</v>
      </c>
      <c r="H8" s="56" t="s">
        <v>115</v>
      </c>
      <c r="I8" s="56" t="s">
        <v>106</v>
      </c>
      <c r="J8" s="56" t="s">
        <v>125</v>
      </c>
      <c r="K8" s="56"/>
      <c r="L8" s="56"/>
      <c r="M8" s="56"/>
      <c r="N8" s="56" t="s">
        <v>16</v>
      </c>
      <c r="O8" s="44" t="s">
        <v>1026</v>
      </c>
      <c r="P8" s="11" t="s">
        <v>21</v>
      </c>
      <c r="Q8" s="11">
        <v>1</v>
      </c>
      <c r="R8" s="11">
        <v>1</v>
      </c>
      <c r="S8" s="11">
        <v>1</v>
      </c>
      <c r="T8" s="11">
        <v>1</v>
      </c>
      <c r="U8" s="11">
        <v>1</v>
      </c>
      <c r="V8" s="11">
        <v>1</v>
      </c>
      <c r="W8" s="11">
        <v>1</v>
      </c>
      <c r="X8" s="11">
        <v>1</v>
      </c>
      <c r="Y8" s="11">
        <v>1</v>
      </c>
      <c r="Z8" s="11">
        <v>1</v>
      </c>
      <c r="AA8" s="11">
        <v>1</v>
      </c>
      <c r="AB8" s="11">
        <v>1</v>
      </c>
      <c r="AC8" s="11">
        <v>1</v>
      </c>
    </row>
    <row r="9" spans="1:29" ht="19.95" customHeight="1" x14ac:dyDescent="0.25">
      <c r="A9" s="38">
        <v>9543191223</v>
      </c>
      <c r="B9" s="56" t="s">
        <v>807</v>
      </c>
      <c r="C9" s="43" t="s">
        <v>808</v>
      </c>
      <c r="D9" s="56" t="s">
        <v>266</v>
      </c>
      <c r="E9" s="56" t="s">
        <v>104</v>
      </c>
      <c r="F9" s="56" t="s">
        <v>59</v>
      </c>
      <c r="G9" s="56" t="s">
        <v>169</v>
      </c>
      <c r="H9" s="56" t="s">
        <v>115</v>
      </c>
      <c r="I9" s="56" t="s">
        <v>106</v>
      </c>
      <c r="J9" s="56" t="s">
        <v>125</v>
      </c>
      <c r="K9" s="56"/>
      <c r="L9" s="56"/>
      <c r="M9" s="56"/>
      <c r="N9" s="56" t="s">
        <v>16</v>
      </c>
      <c r="O9" s="85" t="s">
        <v>1027</v>
      </c>
      <c r="P9" s="11" t="s">
        <v>813</v>
      </c>
      <c r="Q9" s="38">
        <v>60</v>
      </c>
      <c r="R9" s="38">
        <v>0</v>
      </c>
      <c r="S9" s="38">
        <v>0</v>
      </c>
      <c r="T9" s="38">
        <v>0</v>
      </c>
      <c r="U9" s="38">
        <v>0</v>
      </c>
      <c r="V9" s="38">
        <v>0</v>
      </c>
      <c r="W9" s="38">
        <v>0</v>
      </c>
      <c r="X9" s="38">
        <v>0</v>
      </c>
      <c r="Y9" s="38">
        <v>0</v>
      </c>
      <c r="Z9" s="38">
        <v>10</v>
      </c>
      <c r="AA9" s="38">
        <v>10</v>
      </c>
      <c r="AB9" s="38">
        <v>20</v>
      </c>
      <c r="AC9" s="38">
        <v>20</v>
      </c>
    </row>
    <row r="10" spans="1:29" ht="19.95" customHeight="1" x14ac:dyDescent="0.25">
      <c r="A10" s="38">
        <v>9543191223</v>
      </c>
      <c r="B10" s="56" t="s">
        <v>807</v>
      </c>
      <c r="C10" s="43" t="s">
        <v>808</v>
      </c>
      <c r="D10" s="56" t="s">
        <v>266</v>
      </c>
      <c r="E10" s="56" t="s">
        <v>104</v>
      </c>
      <c r="F10" s="56" t="s">
        <v>59</v>
      </c>
      <c r="G10" s="56" t="s">
        <v>169</v>
      </c>
      <c r="H10" s="56" t="s">
        <v>115</v>
      </c>
      <c r="I10" s="56" t="s">
        <v>106</v>
      </c>
      <c r="J10" s="56" t="s">
        <v>125</v>
      </c>
      <c r="K10" s="56"/>
      <c r="L10" s="56"/>
      <c r="M10" s="56"/>
      <c r="N10" s="56" t="s">
        <v>16</v>
      </c>
      <c r="O10" s="44" t="s">
        <v>1028</v>
      </c>
      <c r="P10" s="11" t="s">
        <v>21</v>
      </c>
      <c r="Q10" s="11">
        <v>1</v>
      </c>
      <c r="R10" s="11">
        <v>1</v>
      </c>
      <c r="S10" s="11">
        <v>1</v>
      </c>
      <c r="T10" s="11">
        <v>1</v>
      </c>
      <c r="U10" s="11">
        <v>1</v>
      </c>
      <c r="V10" s="11">
        <v>1</v>
      </c>
      <c r="W10" s="11">
        <v>1</v>
      </c>
      <c r="X10" s="11">
        <v>1</v>
      </c>
      <c r="Y10" s="11">
        <v>1</v>
      </c>
      <c r="Z10" s="11">
        <v>1</v>
      </c>
      <c r="AA10" s="11">
        <v>1</v>
      </c>
      <c r="AB10" s="11">
        <v>1</v>
      </c>
      <c r="AC10" s="11">
        <v>1</v>
      </c>
    </row>
    <row r="11" spans="1:29" ht="19.95" customHeight="1" x14ac:dyDescent="0.25">
      <c r="A11" s="38">
        <v>9543191223</v>
      </c>
      <c r="B11" s="56" t="s">
        <v>807</v>
      </c>
      <c r="C11" s="43" t="s">
        <v>808</v>
      </c>
      <c r="D11" s="56" t="s">
        <v>266</v>
      </c>
      <c r="E11" s="56" t="s">
        <v>104</v>
      </c>
      <c r="F11" s="56" t="s">
        <v>59</v>
      </c>
      <c r="G11" s="56" t="s">
        <v>169</v>
      </c>
      <c r="H11" s="56" t="s">
        <v>115</v>
      </c>
      <c r="I11" s="56" t="s">
        <v>106</v>
      </c>
      <c r="J11" s="56" t="s">
        <v>125</v>
      </c>
      <c r="K11" s="56"/>
      <c r="L11" s="56"/>
      <c r="M11" s="56"/>
      <c r="N11" s="56" t="s">
        <v>16</v>
      </c>
      <c r="O11" s="44" t="s">
        <v>1029</v>
      </c>
      <c r="P11" s="11" t="s">
        <v>21</v>
      </c>
      <c r="Q11" s="11">
        <v>1</v>
      </c>
      <c r="R11" s="11">
        <v>1</v>
      </c>
      <c r="S11" s="11">
        <v>1</v>
      </c>
      <c r="T11" s="11">
        <v>1</v>
      </c>
      <c r="U11" s="11">
        <v>1</v>
      </c>
      <c r="V11" s="11">
        <v>1</v>
      </c>
      <c r="W11" s="11">
        <v>1</v>
      </c>
      <c r="X11" s="11">
        <v>1</v>
      </c>
      <c r="Y11" s="11">
        <v>1</v>
      </c>
      <c r="Z11" s="11">
        <v>1</v>
      </c>
      <c r="AA11" s="11">
        <v>1</v>
      </c>
      <c r="AB11" s="11">
        <v>1</v>
      </c>
      <c r="AC11" s="11">
        <v>1</v>
      </c>
    </row>
    <row r="12" spans="1:29" ht="19.95" customHeight="1" x14ac:dyDescent="0.25">
      <c r="A12" s="38">
        <v>9543191223</v>
      </c>
      <c r="B12" s="56" t="s">
        <v>807</v>
      </c>
      <c r="C12" s="43" t="s">
        <v>808</v>
      </c>
      <c r="D12" s="56" t="s">
        <v>266</v>
      </c>
      <c r="E12" s="56" t="s">
        <v>104</v>
      </c>
      <c r="F12" s="56" t="s">
        <v>59</v>
      </c>
      <c r="G12" s="56" t="s">
        <v>169</v>
      </c>
      <c r="H12" s="56" t="s">
        <v>115</v>
      </c>
      <c r="I12" s="56" t="s">
        <v>106</v>
      </c>
      <c r="J12" s="56" t="s">
        <v>125</v>
      </c>
      <c r="K12" s="56"/>
      <c r="L12" s="56"/>
      <c r="M12" s="56"/>
      <c r="N12" s="56" t="s">
        <v>16</v>
      </c>
      <c r="O12" s="44" t="s">
        <v>1030</v>
      </c>
      <c r="P12" s="11" t="s">
        <v>21</v>
      </c>
      <c r="Q12" s="11">
        <v>1</v>
      </c>
      <c r="R12" s="11">
        <v>1</v>
      </c>
      <c r="S12" s="11">
        <v>1</v>
      </c>
      <c r="T12" s="11">
        <v>1</v>
      </c>
      <c r="U12" s="11">
        <v>1</v>
      </c>
      <c r="V12" s="11">
        <v>1</v>
      </c>
      <c r="W12" s="11">
        <v>1</v>
      </c>
      <c r="X12" s="11">
        <v>1</v>
      </c>
      <c r="Y12" s="11">
        <v>1</v>
      </c>
      <c r="Z12" s="11">
        <v>1</v>
      </c>
      <c r="AA12" s="11">
        <v>1</v>
      </c>
      <c r="AB12" s="11">
        <v>1</v>
      </c>
      <c r="AC12" s="11">
        <v>1</v>
      </c>
    </row>
    <row r="13" spans="1:29" ht="19.95" customHeight="1" x14ac:dyDescent="0.25">
      <c r="A13" s="38">
        <v>9543191223</v>
      </c>
      <c r="B13" s="56" t="s">
        <v>807</v>
      </c>
      <c r="C13" s="43" t="s">
        <v>808</v>
      </c>
      <c r="D13" s="56" t="s">
        <v>266</v>
      </c>
      <c r="E13" s="56" t="s">
        <v>104</v>
      </c>
      <c r="F13" s="56" t="s">
        <v>59</v>
      </c>
      <c r="G13" s="56" t="s">
        <v>169</v>
      </c>
      <c r="H13" s="56" t="s">
        <v>115</v>
      </c>
      <c r="I13" s="56" t="s">
        <v>106</v>
      </c>
      <c r="J13" s="56" t="s">
        <v>125</v>
      </c>
      <c r="K13" s="56"/>
      <c r="L13" s="56"/>
      <c r="M13" s="56"/>
      <c r="N13" s="56" t="s">
        <v>16</v>
      </c>
      <c r="O13" s="85" t="s">
        <v>1031</v>
      </c>
      <c r="P13" s="11" t="s">
        <v>21</v>
      </c>
      <c r="Q13" s="11">
        <v>1</v>
      </c>
      <c r="R13" s="11">
        <v>1</v>
      </c>
      <c r="S13" s="11">
        <v>1</v>
      </c>
      <c r="T13" s="11">
        <v>1</v>
      </c>
      <c r="U13" s="11">
        <v>1</v>
      </c>
      <c r="V13" s="11">
        <v>1</v>
      </c>
      <c r="W13" s="11">
        <v>1</v>
      </c>
      <c r="X13" s="11">
        <v>1</v>
      </c>
      <c r="Y13" s="11">
        <v>1</v>
      </c>
      <c r="Z13" s="11">
        <v>1</v>
      </c>
      <c r="AA13" s="11">
        <v>1</v>
      </c>
      <c r="AB13" s="11">
        <v>1</v>
      </c>
      <c r="AC13" s="11">
        <v>1</v>
      </c>
    </row>
    <row r="14" spans="1:29" ht="19.95" customHeight="1" x14ac:dyDescent="0.25">
      <c r="A14" s="38">
        <v>9543191223</v>
      </c>
      <c r="B14" s="56" t="s">
        <v>807</v>
      </c>
      <c r="C14" s="43" t="s">
        <v>808</v>
      </c>
      <c r="D14" s="56" t="s">
        <v>266</v>
      </c>
      <c r="E14" s="56" t="s">
        <v>104</v>
      </c>
      <c r="F14" s="56" t="s">
        <v>59</v>
      </c>
      <c r="G14" s="56" t="s">
        <v>169</v>
      </c>
      <c r="H14" s="56" t="s">
        <v>115</v>
      </c>
      <c r="I14" s="56" t="s">
        <v>106</v>
      </c>
      <c r="J14" s="56" t="s">
        <v>125</v>
      </c>
      <c r="K14" s="56"/>
      <c r="L14" s="56"/>
      <c r="M14" s="56"/>
      <c r="N14" s="56" t="s">
        <v>16</v>
      </c>
      <c r="O14" s="85" t="s">
        <v>814</v>
      </c>
      <c r="P14" s="11" t="s">
        <v>21</v>
      </c>
      <c r="Q14" s="11">
        <v>1</v>
      </c>
      <c r="R14" s="11">
        <v>1</v>
      </c>
      <c r="S14" s="11">
        <v>1</v>
      </c>
      <c r="T14" s="11">
        <v>1</v>
      </c>
      <c r="U14" s="11">
        <v>1</v>
      </c>
      <c r="V14" s="11">
        <v>1</v>
      </c>
      <c r="W14" s="11">
        <v>1</v>
      </c>
      <c r="X14" s="11">
        <v>1</v>
      </c>
      <c r="Y14" s="11">
        <v>1</v>
      </c>
      <c r="Z14" s="11">
        <v>1</v>
      </c>
      <c r="AA14" s="11">
        <v>1</v>
      </c>
      <c r="AB14" s="11">
        <v>1</v>
      </c>
      <c r="AC14" s="11">
        <v>1</v>
      </c>
    </row>
    <row r="15" spans="1:29" ht="19.95" customHeight="1" x14ac:dyDescent="0.25">
      <c r="A15" s="38">
        <v>9543191223</v>
      </c>
      <c r="B15" s="56" t="s">
        <v>807</v>
      </c>
      <c r="C15" s="43" t="s">
        <v>808</v>
      </c>
      <c r="D15" s="56" t="s">
        <v>266</v>
      </c>
      <c r="E15" s="56" t="s">
        <v>104</v>
      </c>
      <c r="F15" s="56" t="s">
        <v>59</v>
      </c>
      <c r="G15" s="56" t="s">
        <v>169</v>
      </c>
      <c r="H15" s="56" t="s">
        <v>115</v>
      </c>
      <c r="I15" s="56" t="s">
        <v>106</v>
      </c>
      <c r="J15" s="56" t="s">
        <v>125</v>
      </c>
      <c r="K15" s="56"/>
      <c r="L15" s="56"/>
      <c r="M15" s="56"/>
      <c r="N15" s="56" t="s">
        <v>16</v>
      </c>
      <c r="O15" s="44" t="s">
        <v>815</v>
      </c>
      <c r="P15" s="11" t="s">
        <v>21</v>
      </c>
      <c r="Q15" s="11">
        <v>1</v>
      </c>
      <c r="R15" s="11">
        <v>1</v>
      </c>
      <c r="S15" s="11">
        <v>1</v>
      </c>
      <c r="T15" s="11">
        <v>1</v>
      </c>
      <c r="U15" s="11">
        <v>1</v>
      </c>
      <c r="V15" s="11">
        <v>1</v>
      </c>
      <c r="W15" s="11">
        <v>1</v>
      </c>
      <c r="X15" s="11">
        <v>1</v>
      </c>
      <c r="Y15" s="11">
        <v>1</v>
      </c>
      <c r="Z15" s="11">
        <v>1</v>
      </c>
      <c r="AA15" s="11">
        <v>1</v>
      </c>
      <c r="AB15" s="11">
        <v>1</v>
      </c>
      <c r="AC15" s="11">
        <v>1</v>
      </c>
    </row>
    <row r="16" spans="1:29" ht="19.95" customHeight="1" x14ac:dyDescent="0.25">
      <c r="A16" s="38">
        <v>9543191223</v>
      </c>
      <c r="B16" s="56" t="s">
        <v>807</v>
      </c>
      <c r="C16" s="43" t="s">
        <v>808</v>
      </c>
      <c r="D16" s="56" t="s">
        <v>266</v>
      </c>
      <c r="E16" s="56" t="s">
        <v>104</v>
      </c>
      <c r="F16" s="56" t="s">
        <v>59</v>
      </c>
      <c r="G16" s="56" t="s">
        <v>169</v>
      </c>
      <c r="H16" s="56" t="s">
        <v>115</v>
      </c>
      <c r="I16" s="56" t="s">
        <v>106</v>
      </c>
      <c r="J16" s="56" t="s">
        <v>125</v>
      </c>
      <c r="K16" s="56"/>
      <c r="L16" s="56"/>
      <c r="M16" s="56"/>
      <c r="N16" s="56" t="s">
        <v>16</v>
      </c>
      <c r="O16" s="85" t="s">
        <v>1032</v>
      </c>
      <c r="P16" s="11" t="s">
        <v>813</v>
      </c>
      <c r="Q16" s="38">
        <v>12</v>
      </c>
      <c r="R16" s="38">
        <v>0</v>
      </c>
      <c r="S16" s="38">
        <v>0</v>
      </c>
      <c r="T16" s="38">
        <v>0</v>
      </c>
      <c r="U16" s="38">
        <v>0</v>
      </c>
      <c r="V16" s="38">
        <v>0</v>
      </c>
      <c r="W16" s="38">
        <v>1</v>
      </c>
      <c r="X16" s="38">
        <v>0</v>
      </c>
      <c r="Y16" s="38">
        <v>2</v>
      </c>
      <c r="Z16" s="38">
        <v>1</v>
      </c>
      <c r="AA16" s="38">
        <v>1</v>
      </c>
      <c r="AB16" s="38">
        <v>4</v>
      </c>
      <c r="AC16" s="38">
        <v>3</v>
      </c>
    </row>
    <row r="17" spans="1:29" ht="19.95" customHeight="1" x14ac:dyDescent="0.25">
      <c r="A17" s="38">
        <v>9543191223</v>
      </c>
      <c r="B17" s="56" t="s">
        <v>807</v>
      </c>
      <c r="C17" s="43" t="s">
        <v>808</v>
      </c>
      <c r="D17" s="56" t="s">
        <v>266</v>
      </c>
      <c r="E17" s="56" t="s">
        <v>104</v>
      </c>
      <c r="F17" s="56" t="s">
        <v>59</v>
      </c>
      <c r="G17" s="56" t="s">
        <v>169</v>
      </c>
      <c r="H17" s="56" t="s">
        <v>115</v>
      </c>
      <c r="I17" s="56" t="s">
        <v>106</v>
      </c>
      <c r="J17" s="56" t="s">
        <v>125</v>
      </c>
      <c r="K17" s="56"/>
      <c r="L17" s="56"/>
      <c r="M17" s="56"/>
      <c r="N17" s="56" t="s">
        <v>16</v>
      </c>
      <c r="O17" s="44" t="s">
        <v>816</v>
      </c>
      <c r="P17" s="11" t="s">
        <v>21</v>
      </c>
      <c r="Q17" s="11">
        <v>1</v>
      </c>
      <c r="R17" s="11">
        <v>1</v>
      </c>
      <c r="S17" s="11">
        <v>1</v>
      </c>
      <c r="T17" s="11">
        <v>1</v>
      </c>
      <c r="U17" s="11">
        <v>1</v>
      </c>
      <c r="V17" s="11">
        <v>1</v>
      </c>
      <c r="W17" s="11">
        <v>1</v>
      </c>
      <c r="X17" s="11">
        <v>1</v>
      </c>
      <c r="Y17" s="11">
        <v>1</v>
      </c>
      <c r="Z17" s="11">
        <v>1</v>
      </c>
      <c r="AA17" s="11">
        <v>1</v>
      </c>
      <c r="AB17" s="11">
        <v>1</v>
      </c>
      <c r="AC17" s="11">
        <v>1</v>
      </c>
    </row>
  </sheetData>
  <hyperlinks>
    <hyperlink ref="C2" r:id="rId1" xr:uid="{589DE5C6-4088-40DE-8917-968D1A301FA5}"/>
    <hyperlink ref="C3" r:id="rId2" xr:uid="{401AE49C-26A8-4220-8D9F-7678F8AEEB46}"/>
    <hyperlink ref="C4" r:id="rId3" xr:uid="{355EBDAE-2671-4C9B-AD6D-70E675DFD875}"/>
    <hyperlink ref="C5" r:id="rId4" xr:uid="{37E5ECDC-BD44-441D-A425-1C5AD0C7B178}"/>
    <hyperlink ref="C6" r:id="rId5" xr:uid="{B48C6D96-34C5-4E03-9552-31B3B7873B76}"/>
    <hyperlink ref="C7" r:id="rId6" xr:uid="{E0138897-E83C-4C92-AFFA-1852353EED0F}"/>
    <hyperlink ref="C8" r:id="rId7" xr:uid="{EF3ACEA3-4069-41B1-B33D-3E761B93ECC9}"/>
    <hyperlink ref="C9" r:id="rId8" xr:uid="{0A899406-926D-4E75-B208-F79B3B72472C}"/>
    <hyperlink ref="C10" r:id="rId9" xr:uid="{36CB38AD-2357-4BD3-B085-CF3F37A91D5C}"/>
    <hyperlink ref="C11" r:id="rId10" xr:uid="{E007F8D2-2FA6-4EEE-90E4-D8EAB6B59CD9}"/>
    <hyperlink ref="C12" r:id="rId11" xr:uid="{8C1A80FE-ED16-42BD-8DB8-21FB30EEF130}"/>
    <hyperlink ref="C13" r:id="rId12" xr:uid="{8E6065F4-5D25-44A1-B3B5-A0517A281EBF}"/>
    <hyperlink ref="C14" r:id="rId13" xr:uid="{1764E511-655B-4EF1-87F0-5E96B14128F2}"/>
    <hyperlink ref="C15" r:id="rId14" xr:uid="{8D519916-2AC2-462C-8B67-69CC48E84C81}"/>
    <hyperlink ref="C16" r:id="rId15" xr:uid="{43F244D9-6E39-4FCC-99AC-E09F68CE32D1}"/>
    <hyperlink ref="C17" r:id="rId16" xr:uid="{A4CC4F34-9AC8-4AD0-B279-811F8E54795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9FDFB-9087-4B2B-BE96-5D06B5090DD9}">
  <dimension ref="A1:AC40"/>
  <sheetViews>
    <sheetView topLeftCell="P1" workbookViewId="0">
      <selection activeCell="AF6" sqref="AF6"/>
    </sheetView>
  </sheetViews>
  <sheetFormatPr defaultRowHeight="13.2" x14ac:dyDescent="0.25"/>
  <cols>
    <col min="1" max="1" width="12.109375" bestFit="1" customWidth="1"/>
    <col min="2" max="2" width="18.33203125" bestFit="1" customWidth="1"/>
    <col min="3" max="3" width="38.109375" bestFit="1" customWidth="1"/>
    <col min="4" max="4" width="10.33203125" customWidth="1"/>
    <col min="5" max="5" width="11.5546875" bestFit="1" customWidth="1"/>
    <col min="6" max="6" width="8.44140625" bestFit="1" customWidth="1"/>
    <col min="7" max="7" width="11.44140625" bestFit="1" customWidth="1"/>
    <col min="8" max="8" width="10" customWidth="1"/>
    <col min="9" max="9" width="17.44140625" bestFit="1" customWidth="1"/>
    <col min="10" max="13" width="10.88671875" bestFit="1" customWidth="1"/>
    <col min="14" max="14" width="13.33203125" bestFit="1" customWidth="1"/>
    <col min="15" max="15" width="64.6640625" style="66" bestFit="1" customWidth="1"/>
    <col min="16" max="16" width="21.77734375" bestFit="1" customWidth="1"/>
    <col min="17" max="17" width="14.109375" bestFit="1" customWidth="1"/>
  </cols>
  <sheetData>
    <row r="1" spans="1:29" ht="26.4" x14ac:dyDescent="0.25">
      <c r="A1" s="62" t="s">
        <v>123</v>
      </c>
      <c r="B1" s="63" t="s">
        <v>1</v>
      </c>
      <c r="C1" s="62" t="s">
        <v>2</v>
      </c>
      <c r="D1" s="63" t="s">
        <v>3</v>
      </c>
      <c r="E1" s="62" t="s">
        <v>4</v>
      </c>
      <c r="F1" s="62" t="s">
        <v>5</v>
      </c>
      <c r="G1" s="62" t="s">
        <v>6</v>
      </c>
      <c r="H1" s="62" t="s">
        <v>7</v>
      </c>
      <c r="I1" s="63" t="s">
        <v>8</v>
      </c>
      <c r="J1" s="62" t="s">
        <v>9</v>
      </c>
      <c r="K1" s="62" t="s">
        <v>10</v>
      </c>
      <c r="L1" s="62" t="s">
        <v>126</v>
      </c>
      <c r="M1" s="62" t="s">
        <v>127</v>
      </c>
      <c r="N1" s="62"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38">
        <v>8962661878</v>
      </c>
      <c r="B2" s="56" t="s">
        <v>244</v>
      </c>
      <c r="C2" s="43" t="s">
        <v>245</v>
      </c>
      <c r="D2" s="56" t="s">
        <v>246</v>
      </c>
      <c r="E2" s="56" t="s">
        <v>247</v>
      </c>
      <c r="F2" s="56" t="s">
        <v>248</v>
      </c>
      <c r="G2" s="56" t="s">
        <v>249</v>
      </c>
      <c r="H2" s="56" t="s">
        <v>233</v>
      </c>
      <c r="I2" s="56" t="s">
        <v>195</v>
      </c>
      <c r="J2" s="56" t="s">
        <v>115</v>
      </c>
      <c r="K2" s="56"/>
      <c r="L2" s="56"/>
      <c r="M2" s="56"/>
      <c r="N2" s="56" t="s">
        <v>16</v>
      </c>
      <c r="O2" s="64" t="s">
        <v>237</v>
      </c>
      <c r="P2" s="56" t="s">
        <v>196</v>
      </c>
      <c r="Q2" s="12">
        <v>2450</v>
      </c>
      <c r="R2" s="12">
        <v>1150</v>
      </c>
      <c r="S2" s="12">
        <v>1150</v>
      </c>
      <c r="T2" s="12">
        <v>150</v>
      </c>
      <c r="U2" s="12"/>
      <c r="V2" s="12"/>
      <c r="W2" s="12"/>
      <c r="X2" s="12"/>
      <c r="Y2" s="12"/>
      <c r="Z2" s="12"/>
      <c r="AA2" s="12"/>
      <c r="AB2" s="12"/>
      <c r="AC2" s="12"/>
    </row>
    <row r="3" spans="1:29" ht="19.95" customHeight="1" x14ac:dyDescent="0.25">
      <c r="A3" s="38">
        <v>8962661879</v>
      </c>
      <c r="B3" s="56" t="s">
        <v>244</v>
      </c>
      <c r="C3" s="43" t="s">
        <v>245</v>
      </c>
      <c r="D3" s="56" t="s">
        <v>250</v>
      </c>
      <c r="E3" s="56" t="s">
        <v>247</v>
      </c>
      <c r="F3" s="56" t="s">
        <v>248</v>
      </c>
      <c r="G3" s="56" t="s">
        <v>249</v>
      </c>
      <c r="H3" s="56" t="s">
        <v>251</v>
      </c>
      <c r="I3" s="56" t="s">
        <v>195</v>
      </c>
      <c r="J3" s="56" t="s">
        <v>115</v>
      </c>
      <c r="K3" s="56"/>
      <c r="L3" s="56"/>
      <c r="M3" s="56"/>
      <c r="N3" s="56" t="s">
        <v>252</v>
      </c>
      <c r="O3" s="64" t="s">
        <v>238</v>
      </c>
      <c r="P3" s="56" t="s">
        <v>196</v>
      </c>
      <c r="Q3" s="12">
        <v>2450</v>
      </c>
      <c r="R3" s="56">
        <v>450</v>
      </c>
      <c r="S3" s="56">
        <v>1450</v>
      </c>
      <c r="T3" s="56">
        <v>550</v>
      </c>
      <c r="U3" s="56"/>
      <c r="V3" s="56"/>
      <c r="W3" s="56"/>
      <c r="X3" s="56"/>
      <c r="Y3" s="56"/>
      <c r="Z3" s="56"/>
      <c r="AA3" s="56"/>
      <c r="AB3" s="56"/>
      <c r="AC3" s="56"/>
    </row>
    <row r="4" spans="1:29" ht="19.95" customHeight="1" x14ac:dyDescent="0.25">
      <c r="A4" s="38">
        <v>8962661880</v>
      </c>
      <c r="B4" s="56" t="s">
        <v>244</v>
      </c>
      <c r="C4" s="43" t="s">
        <v>245</v>
      </c>
      <c r="D4" s="56" t="s">
        <v>253</v>
      </c>
      <c r="E4" s="56" t="s">
        <v>247</v>
      </c>
      <c r="F4" s="56" t="s">
        <v>248</v>
      </c>
      <c r="G4" s="56" t="s">
        <v>249</v>
      </c>
      <c r="H4" s="56" t="s">
        <v>115</v>
      </c>
      <c r="I4" s="56" t="s">
        <v>195</v>
      </c>
      <c r="J4" s="56" t="s">
        <v>115</v>
      </c>
      <c r="K4" s="56"/>
      <c r="L4" s="56"/>
      <c r="M4" s="56"/>
      <c r="N4" s="56" t="s">
        <v>254</v>
      </c>
      <c r="O4" s="64" t="s">
        <v>239</v>
      </c>
      <c r="P4" s="56" t="s">
        <v>196</v>
      </c>
      <c r="Q4" s="12">
        <v>2450</v>
      </c>
      <c r="R4" s="12">
        <v>1150</v>
      </c>
      <c r="S4" s="12">
        <v>1150</v>
      </c>
      <c r="T4" s="12">
        <v>150</v>
      </c>
      <c r="U4" s="56"/>
      <c r="V4" s="56"/>
      <c r="W4" s="56"/>
      <c r="X4" s="56"/>
      <c r="Y4" s="56"/>
      <c r="Z4" s="56"/>
      <c r="AA4" s="56"/>
      <c r="AB4" s="56"/>
      <c r="AC4" s="56"/>
    </row>
    <row r="5" spans="1:29" ht="19.95" customHeight="1" x14ac:dyDescent="0.25">
      <c r="A5" s="38">
        <v>8962661881</v>
      </c>
      <c r="B5" s="56" t="s">
        <v>244</v>
      </c>
      <c r="C5" s="43" t="s">
        <v>245</v>
      </c>
      <c r="D5" s="56" t="s">
        <v>255</v>
      </c>
      <c r="E5" s="56" t="s">
        <v>247</v>
      </c>
      <c r="F5" s="56" t="s">
        <v>248</v>
      </c>
      <c r="G5" s="56" t="s">
        <v>249</v>
      </c>
      <c r="H5" s="56" t="s">
        <v>256</v>
      </c>
      <c r="I5" s="56" t="s">
        <v>195</v>
      </c>
      <c r="J5" s="56" t="s">
        <v>115</v>
      </c>
      <c r="K5" s="56"/>
      <c r="L5" s="56"/>
      <c r="M5" s="56"/>
      <c r="N5" s="56" t="s">
        <v>257</v>
      </c>
      <c r="O5" s="64" t="s">
        <v>240</v>
      </c>
      <c r="P5" s="56" t="s">
        <v>21</v>
      </c>
      <c r="Q5" s="107">
        <v>1</v>
      </c>
      <c r="R5" s="107">
        <v>1</v>
      </c>
      <c r="S5" s="107">
        <v>1</v>
      </c>
      <c r="T5" s="107">
        <v>1</v>
      </c>
      <c r="U5" s="56"/>
      <c r="V5" s="56"/>
      <c r="W5" s="56"/>
      <c r="X5" s="56"/>
      <c r="Y5" s="56"/>
      <c r="Z5" s="56"/>
      <c r="AA5" s="56"/>
      <c r="AB5" s="56"/>
      <c r="AC5" s="56"/>
    </row>
    <row r="6" spans="1:29" ht="19.95" customHeight="1" x14ac:dyDescent="0.25">
      <c r="A6" s="38">
        <v>8962661882</v>
      </c>
      <c r="B6" s="56" t="s">
        <v>244</v>
      </c>
      <c r="C6" s="43" t="s">
        <v>245</v>
      </c>
      <c r="D6" s="56" t="s">
        <v>258</v>
      </c>
      <c r="E6" s="56" t="s">
        <v>247</v>
      </c>
      <c r="F6" s="56" t="s">
        <v>248</v>
      </c>
      <c r="G6" s="56" t="s">
        <v>249</v>
      </c>
      <c r="H6" s="56" t="s">
        <v>259</v>
      </c>
      <c r="I6" s="56" t="s">
        <v>195</v>
      </c>
      <c r="J6" s="56" t="s">
        <v>115</v>
      </c>
      <c r="K6" s="56"/>
      <c r="L6" s="56"/>
      <c r="M6" s="56"/>
      <c r="N6" s="56" t="s">
        <v>260</v>
      </c>
      <c r="O6" s="64" t="s">
        <v>241</v>
      </c>
      <c r="P6" s="56" t="s">
        <v>21</v>
      </c>
      <c r="Q6" s="107">
        <v>1</v>
      </c>
      <c r="R6" s="107">
        <v>1</v>
      </c>
      <c r="S6" s="107">
        <v>1</v>
      </c>
      <c r="T6" s="107">
        <v>1</v>
      </c>
      <c r="U6" s="56"/>
      <c r="V6" s="56"/>
      <c r="W6" s="56"/>
      <c r="X6" s="56"/>
      <c r="Y6" s="56"/>
      <c r="Z6" s="56"/>
      <c r="AA6" s="56"/>
      <c r="AB6" s="56"/>
      <c r="AC6" s="56"/>
    </row>
    <row r="7" spans="1:29" ht="19.95" customHeight="1" x14ac:dyDescent="0.25">
      <c r="A7" s="38">
        <v>8962661883</v>
      </c>
      <c r="B7" s="56" t="s">
        <v>244</v>
      </c>
      <c r="C7" s="43" t="s">
        <v>245</v>
      </c>
      <c r="D7" s="56" t="s">
        <v>261</v>
      </c>
      <c r="E7" s="56" t="s">
        <v>247</v>
      </c>
      <c r="F7" s="56" t="s">
        <v>248</v>
      </c>
      <c r="G7" s="56" t="s">
        <v>249</v>
      </c>
      <c r="H7" s="56" t="s">
        <v>262</v>
      </c>
      <c r="I7" s="56" t="s">
        <v>195</v>
      </c>
      <c r="J7" s="56" t="s">
        <v>115</v>
      </c>
      <c r="K7" s="56"/>
      <c r="L7" s="56"/>
      <c r="M7" s="56"/>
      <c r="N7" s="56" t="s">
        <v>263</v>
      </c>
      <c r="O7" s="64" t="s">
        <v>197</v>
      </c>
      <c r="P7" s="56" t="s">
        <v>18</v>
      </c>
      <c r="Q7" s="56">
        <v>1</v>
      </c>
      <c r="R7" s="56"/>
      <c r="S7" s="56"/>
      <c r="T7" s="56"/>
      <c r="U7" s="56"/>
      <c r="V7" s="56"/>
      <c r="W7" s="56">
        <v>1</v>
      </c>
      <c r="X7" s="56"/>
      <c r="Y7" s="56"/>
      <c r="Z7" s="56"/>
      <c r="AA7" s="56"/>
      <c r="AB7" s="56"/>
      <c r="AC7" s="56"/>
    </row>
    <row r="8" spans="1:29" ht="19.95" customHeight="1" x14ac:dyDescent="0.25">
      <c r="A8" s="38">
        <v>8962661884</v>
      </c>
      <c r="B8" s="56" t="s">
        <v>244</v>
      </c>
      <c r="C8" s="43" t="s">
        <v>245</v>
      </c>
      <c r="D8" s="56" t="s">
        <v>264</v>
      </c>
      <c r="E8" s="56" t="s">
        <v>247</v>
      </c>
      <c r="F8" s="56" t="s">
        <v>248</v>
      </c>
      <c r="G8" s="56" t="s">
        <v>249</v>
      </c>
      <c r="H8" s="56" t="s">
        <v>246</v>
      </c>
      <c r="I8" s="56" t="s">
        <v>195</v>
      </c>
      <c r="J8" s="56" t="s">
        <v>115</v>
      </c>
      <c r="K8" s="56"/>
      <c r="L8" s="56"/>
      <c r="M8" s="56"/>
      <c r="N8" s="56" t="s">
        <v>265</v>
      </c>
      <c r="O8" s="64" t="s">
        <v>198</v>
      </c>
      <c r="P8" s="56" t="s">
        <v>18</v>
      </c>
      <c r="Q8" s="56">
        <v>1</v>
      </c>
      <c r="R8" s="56"/>
      <c r="S8" s="56"/>
      <c r="T8" s="56"/>
      <c r="U8" s="56"/>
      <c r="V8" s="56"/>
      <c r="W8" s="56">
        <v>1</v>
      </c>
      <c r="X8" s="56"/>
      <c r="Y8" s="56"/>
      <c r="Z8" s="56"/>
      <c r="AA8" s="56"/>
      <c r="AB8" s="56"/>
      <c r="AC8" s="56"/>
    </row>
    <row r="9" spans="1:29" ht="19.95" customHeight="1" x14ac:dyDescent="0.25">
      <c r="A9" s="38">
        <v>8962661885</v>
      </c>
      <c r="B9" s="56" t="s">
        <v>244</v>
      </c>
      <c r="C9" s="43" t="s">
        <v>245</v>
      </c>
      <c r="D9" s="56" t="s">
        <v>266</v>
      </c>
      <c r="E9" s="56" t="s">
        <v>247</v>
      </c>
      <c r="F9" s="56" t="s">
        <v>248</v>
      </c>
      <c r="G9" s="56" t="s">
        <v>249</v>
      </c>
      <c r="H9" s="56" t="s">
        <v>250</v>
      </c>
      <c r="I9" s="56" t="s">
        <v>195</v>
      </c>
      <c r="J9" s="56" t="s">
        <v>115</v>
      </c>
      <c r="K9" s="56"/>
      <c r="L9" s="56"/>
      <c r="M9" s="56"/>
      <c r="N9" s="56" t="s">
        <v>267</v>
      </c>
      <c r="O9" s="64" t="s">
        <v>199</v>
      </c>
      <c r="P9" s="56" t="s">
        <v>18</v>
      </c>
      <c r="Q9" s="56">
        <v>1</v>
      </c>
      <c r="R9" s="56"/>
      <c r="S9" s="56"/>
      <c r="T9" s="56"/>
      <c r="U9" s="56"/>
      <c r="V9" s="56"/>
      <c r="W9" s="56">
        <v>1</v>
      </c>
      <c r="X9" s="56"/>
      <c r="Y9" s="56"/>
      <c r="Z9" s="56"/>
      <c r="AA9" s="56"/>
      <c r="AB9" s="56"/>
      <c r="AC9" s="56"/>
    </row>
    <row r="10" spans="1:29" ht="19.95" customHeight="1" x14ac:dyDescent="0.25">
      <c r="A10" s="38">
        <v>8962661886</v>
      </c>
      <c r="B10" s="56" t="s">
        <v>244</v>
      </c>
      <c r="C10" s="43" t="s">
        <v>245</v>
      </c>
      <c r="D10" s="56" t="s">
        <v>268</v>
      </c>
      <c r="E10" s="56" t="s">
        <v>247</v>
      </c>
      <c r="F10" s="56" t="s">
        <v>248</v>
      </c>
      <c r="G10" s="56" t="s">
        <v>249</v>
      </c>
      <c r="H10" s="56" t="s">
        <v>253</v>
      </c>
      <c r="I10" s="56" t="s">
        <v>195</v>
      </c>
      <c r="J10" s="56" t="s">
        <v>115</v>
      </c>
      <c r="K10" s="56"/>
      <c r="L10" s="56"/>
      <c r="M10" s="56"/>
      <c r="N10" s="56" t="s">
        <v>269</v>
      </c>
      <c r="O10" s="64" t="s">
        <v>200</v>
      </c>
      <c r="P10" s="56" t="s">
        <v>18</v>
      </c>
      <c r="Q10" s="56">
        <v>1</v>
      </c>
      <c r="R10" s="56"/>
      <c r="S10" s="56"/>
      <c r="T10" s="56"/>
      <c r="U10" s="56"/>
      <c r="V10" s="56"/>
      <c r="W10" s="56">
        <v>1</v>
      </c>
      <c r="X10" s="56"/>
      <c r="Y10" s="56"/>
      <c r="Z10" s="56"/>
      <c r="AA10" s="56"/>
      <c r="AB10" s="56"/>
      <c r="AC10" s="56"/>
    </row>
    <row r="11" spans="1:29" ht="19.95" customHeight="1" x14ac:dyDescent="0.25">
      <c r="A11" s="38">
        <v>8962661887</v>
      </c>
      <c r="B11" s="56" t="s">
        <v>244</v>
      </c>
      <c r="C11" s="43" t="s">
        <v>245</v>
      </c>
      <c r="D11" s="56" t="s">
        <v>270</v>
      </c>
      <c r="E11" s="56" t="s">
        <v>247</v>
      </c>
      <c r="F11" s="56" t="s">
        <v>248</v>
      </c>
      <c r="G11" s="56" t="s">
        <v>249</v>
      </c>
      <c r="H11" s="56" t="s">
        <v>255</v>
      </c>
      <c r="I11" s="56" t="s">
        <v>195</v>
      </c>
      <c r="J11" s="56" t="s">
        <v>115</v>
      </c>
      <c r="K11" s="56"/>
      <c r="L11" s="56"/>
      <c r="M11" s="56"/>
      <c r="N11" s="56" t="s">
        <v>271</v>
      </c>
      <c r="O11" s="64" t="s">
        <v>201</v>
      </c>
      <c r="P11" s="56" t="s">
        <v>18</v>
      </c>
      <c r="Q11" s="56">
        <v>1</v>
      </c>
      <c r="R11" s="56"/>
      <c r="S11" s="56"/>
      <c r="T11" s="56"/>
      <c r="U11" s="56"/>
      <c r="V11" s="56"/>
      <c r="W11" s="56">
        <v>1</v>
      </c>
      <c r="X11" s="56"/>
      <c r="Y11" s="56"/>
      <c r="Z11" s="56"/>
      <c r="AA11" s="56"/>
      <c r="AB11" s="56"/>
      <c r="AC11" s="56"/>
    </row>
    <row r="12" spans="1:29" ht="19.95" customHeight="1" x14ac:dyDescent="0.25">
      <c r="A12" s="38">
        <v>8962661888</v>
      </c>
      <c r="B12" s="56" t="s">
        <v>244</v>
      </c>
      <c r="C12" s="43" t="s">
        <v>245</v>
      </c>
      <c r="D12" s="56" t="s">
        <v>272</v>
      </c>
      <c r="E12" s="56" t="s">
        <v>247</v>
      </c>
      <c r="F12" s="56" t="s">
        <v>248</v>
      </c>
      <c r="G12" s="56" t="s">
        <v>249</v>
      </c>
      <c r="H12" s="56" t="s">
        <v>258</v>
      </c>
      <c r="I12" s="56" t="s">
        <v>195</v>
      </c>
      <c r="J12" s="56" t="s">
        <v>115</v>
      </c>
      <c r="K12" s="56"/>
      <c r="L12" s="56"/>
      <c r="M12" s="56"/>
      <c r="N12" s="56" t="s">
        <v>273</v>
      </c>
      <c r="O12" s="64" t="s">
        <v>202</v>
      </c>
      <c r="P12" s="56" t="s">
        <v>18</v>
      </c>
      <c r="Q12" s="56">
        <v>0</v>
      </c>
      <c r="R12" s="56"/>
      <c r="S12" s="56"/>
      <c r="T12" s="56"/>
      <c r="U12" s="56"/>
      <c r="V12" s="56"/>
      <c r="W12" s="56"/>
      <c r="X12" s="56"/>
      <c r="Y12" s="56"/>
      <c r="Z12" s="56"/>
      <c r="AA12" s="56"/>
      <c r="AB12" s="56"/>
      <c r="AC12" s="56"/>
    </row>
    <row r="13" spans="1:29" ht="19.95" customHeight="1" x14ac:dyDescent="0.25">
      <c r="A13" s="38">
        <v>8962661889</v>
      </c>
      <c r="B13" s="56" t="s">
        <v>244</v>
      </c>
      <c r="C13" s="43" t="s">
        <v>245</v>
      </c>
      <c r="D13" s="56" t="s">
        <v>13</v>
      </c>
      <c r="E13" s="56" t="s">
        <v>247</v>
      </c>
      <c r="F13" s="56" t="s">
        <v>248</v>
      </c>
      <c r="G13" s="56" t="s">
        <v>249</v>
      </c>
      <c r="H13" s="56" t="s">
        <v>261</v>
      </c>
      <c r="I13" s="56" t="s">
        <v>195</v>
      </c>
      <c r="J13" s="56" t="s">
        <v>115</v>
      </c>
      <c r="K13" s="56"/>
      <c r="L13" s="56"/>
      <c r="M13" s="56"/>
      <c r="N13" s="56" t="s">
        <v>274</v>
      </c>
      <c r="O13" s="64" t="s">
        <v>203</v>
      </c>
      <c r="P13" s="56" t="s">
        <v>18</v>
      </c>
      <c r="Q13" s="56">
        <v>0</v>
      </c>
      <c r="R13" s="56"/>
      <c r="S13" s="56"/>
      <c r="T13" s="56"/>
      <c r="U13" s="56"/>
      <c r="V13" s="56"/>
      <c r="W13" s="56"/>
      <c r="X13" s="56"/>
      <c r="Y13" s="56"/>
      <c r="Z13" s="56"/>
      <c r="AA13" s="56"/>
      <c r="AB13" s="56"/>
      <c r="AC13" s="56"/>
    </row>
    <row r="14" spans="1:29" ht="19.95" customHeight="1" x14ac:dyDescent="0.25">
      <c r="A14" s="38">
        <v>8962661890</v>
      </c>
      <c r="B14" s="56" t="s">
        <v>244</v>
      </c>
      <c r="C14" s="43" t="s">
        <v>245</v>
      </c>
      <c r="D14" s="56" t="s">
        <v>275</v>
      </c>
      <c r="E14" s="56" t="s">
        <v>247</v>
      </c>
      <c r="F14" s="56" t="s">
        <v>248</v>
      </c>
      <c r="G14" s="56" t="s">
        <v>249</v>
      </c>
      <c r="H14" s="56" t="s">
        <v>264</v>
      </c>
      <c r="I14" s="56" t="s">
        <v>195</v>
      </c>
      <c r="J14" s="56" t="s">
        <v>115</v>
      </c>
      <c r="K14" s="56"/>
      <c r="L14" s="56"/>
      <c r="M14" s="56"/>
      <c r="N14" s="56" t="s">
        <v>276</v>
      </c>
      <c r="O14" s="64" t="s">
        <v>204</v>
      </c>
      <c r="P14" s="56" t="s">
        <v>18</v>
      </c>
      <c r="Q14" s="56">
        <v>1</v>
      </c>
      <c r="R14" s="56"/>
      <c r="S14" s="56"/>
      <c r="T14" s="56"/>
      <c r="U14" s="56"/>
      <c r="V14" s="56"/>
      <c r="W14" s="56">
        <v>1</v>
      </c>
      <c r="X14" s="56"/>
      <c r="Y14" s="56"/>
      <c r="Z14" s="56"/>
      <c r="AA14" s="56"/>
      <c r="AB14" s="56"/>
      <c r="AC14" s="56"/>
    </row>
    <row r="15" spans="1:29" ht="19.95" customHeight="1" x14ac:dyDescent="0.25">
      <c r="A15" s="38">
        <v>8962661891</v>
      </c>
      <c r="B15" s="56" t="s">
        <v>244</v>
      </c>
      <c r="C15" s="43" t="s">
        <v>245</v>
      </c>
      <c r="D15" s="56" t="s">
        <v>277</v>
      </c>
      <c r="E15" s="56" t="s">
        <v>247</v>
      </c>
      <c r="F15" s="56" t="s">
        <v>248</v>
      </c>
      <c r="G15" s="56" t="s">
        <v>249</v>
      </c>
      <c r="H15" s="56" t="s">
        <v>266</v>
      </c>
      <c r="I15" s="56" t="s">
        <v>195</v>
      </c>
      <c r="J15" s="56" t="s">
        <v>115</v>
      </c>
      <c r="K15" s="56"/>
      <c r="L15" s="56"/>
      <c r="M15" s="56"/>
      <c r="N15" s="56" t="s">
        <v>278</v>
      </c>
      <c r="O15" s="64" t="s">
        <v>205</v>
      </c>
      <c r="P15" s="56" t="s">
        <v>196</v>
      </c>
      <c r="Q15" s="56">
        <v>4000</v>
      </c>
      <c r="R15" s="56"/>
      <c r="S15" s="56"/>
      <c r="T15" s="56"/>
      <c r="U15" s="56"/>
      <c r="V15" s="56"/>
      <c r="W15" s="56"/>
      <c r="X15" s="56"/>
      <c r="Y15" s="56">
        <v>500</v>
      </c>
      <c r="Z15" s="56">
        <v>1000</v>
      </c>
      <c r="AA15" s="56">
        <v>1000</v>
      </c>
      <c r="AB15" s="56">
        <v>1000</v>
      </c>
      <c r="AC15" s="56">
        <v>500</v>
      </c>
    </row>
    <row r="16" spans="1:29" ht="19.95" customHeight="1" x14ac:dyDescent="0.25">
      <c r="A16" s="38">
        <v>8962661892</v>
      </c>
      <c r="B16" s="56" t="s">
        <v>244</v>
      </c>
      <c r="C16" s="43" t="s">
        <v>245</v>
      </c>
      <c r="D16" s="56" t="s">
        <v>279</v>
      </c>
      <c r="E16" s="56" t="s">
        <v>247</v>
      </c>
      <c r="F16" s="56" t="s">
        <v>248</v>
      </c>
      <c r="G16" s="56" t="s">
        <v>249</v>
      </c>
      <c r="H16" s="56" t="s">
        <v>268</v>
      </c>
      <c r="I16" s="56" t="s">
        <v>195</v>
      </c>
      <c r="J16" s="56" t="s">
        <v>115</v>
      </c>
      <c r="K16" s="56"/>
      <c r="L16" s="56"/>
      <c r="M16" s="56"/>
      <c r="N16" s="56" t="s">
        <v>280</v>
      </c>
      <c r="O16" s="64" t="s">
        <v>206</v>
      </c>
      <c r="P16" s="56" t="s">
        <v>21</v>
      </c>
      <c r="Q16" s="107">
        <v>1</v>
      </c>
      <c r="R16" s="56"/>
      <c r="S16" s="56"/>
      <c r="T16" s="56"/>
      <c r="U16" s="56"/>
      <c r="V16" s="56"/>
      <c r="W16" s="56"/>
      <c r="X16" s="107">
        <v>1</v>
      </c>
      <c r="Y16" s="107">
        <v>1</v>
      </c>
      <c r="Z16" s="107">
        <v>1</v>
      </c>
      <c r="AA16" s="107">
        <v>1</v>
      </c>
      <c r="AB16" s="107">
        <v>1</v>
      </c>
      <c r="AC16" s="107">
        <v>1</v>
      </c>
    </row>
    <row r="17" spans="1:29" ht="19.95" customHeight="1" x14ac:dyDescent="0.25">
      <c r="A17" s="38">
        <v>8962661893</v>
      </c>
      <c r="B17" s="56" t="s">
        <v>244</v>
      </c>
      <c r="C17" s="43" t="s">
        <v>245</v>
      </c>
      <c r="D17" s="56" t="s">
        <v>281</v>
      </c>
      <c r="E17" s="56" t="s">
        <v>247</v>
      </c>
      <c r="F17" s="56" t="s">
        <v>248</v>
      </c>
      <c r="G17" s="56" t="s">
        <v>249</v>
      </c>
      <c r="H17" s="56" t="s">
        <v>270</v>
      </c>
      <c r="I17" s="56" t="s">
        <v>195</v>
      </c>
      <c r="J17" s="56" t="s">
        <v>115</v>
      </c>
      <c r="K17" s="56"/>
      <c r="L17" s="56"/>
      <c r="M17" s="56"/>
      <c r="N17" s="56" t="s">
        <v>282</v>
      </c>
      <c r="O17" s="64" t="s">
        <v>207</v>
      </c>
      <c r="P17" s="56" t="s">
        <v>196</v>
      </c>
      <c r="Q17" s="56">
        <v>4000</v>
      </c>
      <c r="R17" s="56"/>
      <c r="S17" s="56"/>
      <c r="T17" s="56"/>
      <c r="U17" s="56"/>
      <c r="V17" s="56"/>
      <c r="W17" s="56"/>
      <c r="X17" s="56"/>
      <c r="Y17" s="56">
        <v>500</v>
      </c>
      <c r="Z17" s="56">
        <v>1000</v>
      </c>
      <c r="AA17" s="56">
        <v>1000</v>
      </c>
      <c r="AB17" s="56">
        <v>1000</v>
      </c>
      <c r="AC17" s="56">
        <v>500</v>
      </c>
    </row>
    <row r="18" spans="1:29" ht="19.95" customHeight="1" x14ac:dyDescent="0.25">
      <c r="A18" s="38">
        <v>8962661894</v>
      </c>
      <c r="B18" s="56" t="s">
        <v>244</v>
      </c>
      <c r="C18" s="43" t="s">
        <v>245</v>
      </c>
      <c r="D18" s="56" t="s">
        <v>283</v>
      </c>
      <c r="E18" s="56" t="s">
        <v>247</v>
      </c>
      <c r="F18" s="56" t="s">
        <v>248</v>
      </c>
      <c r="G18" s="56" t="s">
        <v>249</v>
      </c>
      <c r="H18" s="56" t="s">
        <v>272</v>
      </c>
      <c r="I18" s="56" t="s">
        <v>195</v>
      </c>
      <c r="J18" s="56" t="s">
        <v>115</v>
      </c>
      <c r="K18" s="56"/>
      <c r="L18" s="56"/>
      <c r="M18" s="56"/>
      <c r="N18" s="56" t="s">
        <v>284</v>
      </c>
      <c r="O18" s="64" t="s">
        <v>208</v>
      </c>
      <c r="P18" s="56" t="s">
        <v>21</v>
      </c>
      <c r="Q18" s="107">
        <v>1</v>
      </c>
      <c r="R18" s="56"/>
      <c r="S18" s="56"/>
      <c r="T18" s="56"/>
      <c r="U18" s="56"/>
      <c r="V18" s="56"/>
      <c r="W18" s="56"/>
      <c r="X18" s="107">
        <v>1</v>
      </c>
      <c r="Y18" s="107">
        <v>1</v>
      </c>
      <c r="Z18" s="107">
        <v>1</v>
      </c>
      <c r="AA18" s="107">
        <v>1</v>
      </c>
      <c r="AB18" s="107">
        <v>1</v>
      </c>
      <c r="AC18" s="107">
        <v>1</v>
      </c>
    </row>
    <row r="19" spans="1:29" ht="19.95" customHeight="1" x14ac:dyDescent="0.25">
      <c r="A19" s="38">
        <v>8962661895</v>
      </c>
      <c r="B19" s="56" t="s">
        <v>244</v>
      </c>
      <c r="C19" s="43" t="s">
        <v>245</v>
      </c>
      <c r="D19" s="56" t="s">
        <v>285</v>
      </c>
      <c r="E19" s="56" t="s">
        <v>247</v>
      </c>
      <c r="F19" s="56" t="s">
        <v>248</v>
      </c>
      <c r="G19" s="56" t="s">
        <v>249</v>
      </c>
      <c r="H19" s="56" t="s">
        <v>13</v>
      </c>
      <c r="I19" s="56" t="s">
        <v>195</v>
      </c>
      <c r="J19" s="56" t="s">
        <v>115</v>
      </c>
      <c r="K19" s="56"/>
      <c r="L19" s="56"/>
      <c r="M19" s="56"/>
      <c r="N19" s="56" t="s">
        <v>286</v>
      </c>
      <c r="O19" s="64" t="s">
        <v>209</v>
      </c>
      <c r="P19" s="56" t="s">
        <v>21</v>
      </c>
      <c r="Q19" s="107">
        <v>1</v>
      </c>
      <c r="R19" s="56"/>
      <c r="S19" s="56"/>
      <c r="T19" s="56"/>
      <c r="U19" s="56"/>
      <c r="V19" s="56"/>
      <c r="W19" s="56"/>
      <c r="X19" s="107">
        <v>1</v>
      </c>
      <c r="Y19" s="107">
        <v>1</v>
      </c>
      <c r="Z19" s="107">
        <v>1</v>
      </c>
      <c r="AA19" s="107">
        <v>1</v>
      </c>
      <c r="AB19" s="107">
        <v>1</v>
      </c>
      <c r="AC19" s="107">
        <v>1</v>
      </c>
    </row>
    <row r="20" spans="1:29" ht="19.95" customHeight="1" x14ac:dyDescent="0.25">
      <c r="A20" s="38">
        <v>8962661896</v>
      </c>
      <c r="B20" s="56" t="s">
        <v>244</v>
      </c>
      <c r="C20" s="43" t="s">
        <v>245</v>
      </c>
      <c r="D20" s="56" t="s">
        <v>287</v>
      </c>
      <c r="E20" s="56" t="s">
        <v>247</v>
      </c>
      <c r="F20" s="56" t="s">
        <v>248</v>
      </c>
      <c r="G20" s="56" t="s">
        <v>249</v>
      </c>
      <c r="H20" s="56" t="s">
        <v>275</v>
      </c>
      <c r="I20" s="56" t="s">
        <v>195</v>
      </c>
      <c r="J20" s="56" t="s">
        <v>115</v>
      </c>
      <c r="K20" s="56"/>
      <c r="L20" s="56"/>
      <c r="M20" s="56"/>
      <c r="N20" s="56" t="s">
        <v>288</v>
      </c>
      <c r="O20" s="64" t="s">
        <v>210</v>
      </c>
      <c r="P20" s="56" t="s">
        <v>21</v>
      </c>
      <c r="Q20" s="107">
        <v>1</v>
      </c>
      <c r="R20" s="56"/>
      <c r="S20" s="56"/>
      <c r="T20" s="56"/>
      <c r="U20" s="56"/>
      <c r="V20" s="56"/>
      <c r="W20" s="56"/>
      <c r="X20" s="107">
        <v>1</v>
      </c>
      <c r="Y20" s="107">
        <v>1</v>
      </c>
      <c r="Z20" s="107">
        <v>1</v>
      </c>
      <c r="AA20" s="107">
        <v>1</v>
      </c>
      <c r="AB20" s="107">
        <v>1</v>
      </c>
      <c r="AC20" s="107">
        <v>1</v>
      </c>
    </row>
    <row r="21" spans="1:29" ht="19.95" customHeight="1" x14ac:dyDescent="0.25">
      <c r="A21" s="38">
        <v>8962661897</v>
      </c>
      <c r="B21" s="56" t="s">
        <v>244</v>
      </c>
      <c r="C21" s="43" t="s">
        <v>245</v>
      </c>
      <c r="D21" s="56" t="s">
        <v>289</v>
      </c>
      <c r="E21" s="56" t="s">
        <v>247</v>
      </c>
      <c r="F21" s="56" t="s">
        <v>248</v>
      </c>
      <c r="G21" s="56" t="s">
        <v>249</v>
      </c>
      <c r="H21" s="56" t="s">
        <v>277</v>
      </c>
      <c r="I21" s="56" t="s">
        <v>195</v>
      </c>
      <c r="J21" s="56" t="s">
        <v>115</v>
      </c>
      <c r="K21" s="56"/>
      <c r="L21" s="56"/>
      <c r="M21" s="56"/>
      <c r="N21" s="56" t="s">
        <v>290</v>
      </c>
      <c r="O21" s="64" t="s">
        <v>211</v>
      </c>
      <c r="P21" s="56" t="s">
        <v>196</v>
      </c>
      <c r="Q21" s="56">
        <v>4000</v>
      </c>
      <c r="R21" s="56"/>
      <c r="S21" s="56"/>
      <c r="T21" s="56"/>
      <c r="U21" s="56"/>
      <c r="V21" s="56"/>
      <c r="W21" s="56"/>
      <c r="X21" s="56"/>
      <c r="Y21" s="56">
        <v>500</v>
      </c>
      <c r="Z21" s="56">
        <v>1000</v>
      </c>
      <c r="AA21" s="56">
        <v>1000</v>
      </c>
      <c r="AB21" s="56">
        <v>1000</v>
      </c>
      <c r="AC21" s="56">
        <v>500</v>
      </c>
    </row>
    <row r="22" spans="1:29" ht="19.95" customHeight="1" x14ac:dyDescent="0.25">
      <c r="A22" s="38">
        <v>8962661898</v>
      </c>
      <c r="B22" s="56" t="s">
        <v>244</v>
      </c>
      <c r="C22" s="43" t="s">
        <v>245</v>
      </c>
      <c r="D22" s="56" t="s">
        <v>291</v>
      </c>
      <c r="E22" s="56" t="s">
        <v>247</v>
      </c>
      <c r="F22" s="56" t="s">
        <v>248</v>
      </c>
      <c r="G22" s="56" t="s">
        <v>249</v>
      </c>
      <c r="H22" s="56" t="s">
        <v>279</v>
      </c>
      <c r="I22" s="56" t="s">
        <v>195</v>
      </c>
      <c r="J22" s="56" t="s">
        <v>115</v>
      </c>
      <c r="K22" s="56"/>
      <c r="L22" s="56"/>
      <c r="M22" s="56"/>
      <c r="N22" s="56" t="s">
        <v>292</v>
      </c>
      <c r="O22" s="64" t="s">
        <v>212</v>
      </c>
      <c r="P22" s="56" t="s">
        <v>196</v>
      </c>
      <c r="Q22" s="56">
        <v>4000</v>
      </c>
      <c r="R22" s="56"/>
      <c r="S22" s="56"/>
      <c r="T22" s="56"/>
      <c r="U22" s="56"/>
      <c r="V22" s="56"/>
      <c r="W22" s="56"/>
      <c r="X22" s="56"/>
      <c r="Y22" s="56">
        <v>500</v>
      </c>
      <c r="Z22" s="56">
        <v>1000</v>
      </c>
      <c r="AA22" s="56">
        <v>1000</v>
      </c>
      <c r="AB22" s="56">
        <v>1000</v>
      </c>
      <c r="AC22" s="56">
        <v>500</v>
      </c>
    </row>
    <row r="23" spans="1:29" ht="19.95" customHeight="1" x14ac:dyDescent="0.25">
      <c r="A23" s="38">
        <v>8962661899</v>
      </c>
      <c r="B23" s="56" t="s">
        <v>244</v>
      </c>
      <c r="C23" s="43" t="s">
        <v>245</v>
      </c>
      <c r="D23" s="56" t="s">
        <v>293</v>
      </c>
      <c r="E23" s="56" t="s">
        <v>247</v>
      </c>
      <c r="F23" s="56" t="s">
        <v>248</v>
      </c>
      <c r="G23" s="56" t="s">
        <v>249</v>
      </c>
      <c r="H23" s="56" t="s">
        <v>281</v>
      </c>
      <c r="I23" s="56" t="s">
        <v>195</v>
      </c>
      <c r="J23" s="56" t="s">
        <v>115</v>
      </c>
      <c r="K23" s="56"/>
      <c r="L23" s="56"/>
      <c r="M23" s="56"/>
      <c r="N23" s="56" t="s">
        <v>294</v>
      </c>
      <c r="O23" s="64" t="s">
        <v>213</v>
      </c>
      <c r="P23" s="56" t="s">
        <v>196</v>
      </c>
      <c r="Q23" s="56">
        <v>4000</v>
      </c>
      <c r="R23" s="56"/>
      <c r="S23" s="56"/>
      <c r="T23" s="56"/>
      <c r="U23" s="56"/>
      <c r="V23" s="56"/>
      <c r="W23" s="56"/>
      <c r="X23" s="56"/>
      <c r="Y23" s="56">
        <v>500</v>
      </c>
      <c r="Z23" s="56">
        <v>1000</v>
      </c>
      <c r="AA23" s="56">
        <v>1000</v>
      </c>
      <c r="AB23" s="56">
        <v>1000</v>
      </c>
      <c r="AC23" s="56">
        <v>500</v>
      </c>
    </row>
    <row r="24" spans="1:29" ht="19.95" customHeight="1" x14ac:dyDescent="0.25">
      <c r="A24" s="38">
        <v>8962661900</v>
      </c>
      <c r="B24" s="56" t="s">
        <v>244</v>
      </c>
      <c r="C24" s="43" t="s">
        <v>245</v>
      </c>
      <c r="D24" s="56" t="s">
        <v>295</v>
      </c>
      <c r="E24" s="56" t="s">
        <v>247</v>
      </c>
      <c r="F24" s="56" t="s">
        <v>248</v>
      </c>
      <c r="G24" s="56" t="s">
        <v>249</v>
      </c>
      <c r="H24" s="56" t="s">
        <v>283</v>
      </c>
      <c r="I24" s="56" t="s">
        <v>195</v>
      </c>
      <c r="J24" s="56" t="s">
        <v>115</v>
      </c>
      <c r="K24" s="56"/>
      <c r="L24" s="56"/>
      <c r="M24" s="56"/>
      <c r="N24" s="56" t="s">
        <v>296</v>
      </c>
      <c r="O24" s="64" t="s">
        <v>214</v>
      </c>
      <c r="P24" s="56" t="s">
        <v>196</v>
      </c>
      <c r="Q24" s="56">
        <v>4000</v>
      </c>
      <c r="R24" s="56"/>
      <c r="S24" s="56"/>
      <c r="T24" s="56"/>
      <c r="U24" s="56"/>
      <c r="V24" s="56"/>
      <c r="W24" s="56"/>
      <c r="X24" s="56"/>
      <c r="Y24" s="56">
        <v>100</v>
      </c>
      <c r="Z24" s="56">
        <v>800</v>
      </c>
      <c r="AA24" s="56">
        <v>1200</v>
      </c>
      <c r="AB24" s="56">
        <v>1000</v>
      </c>
      <c r="AC24" s="56">
        <v>900</v>
      </c>
    </row>
    <row r="25" spans="1:29" ht="19.95" customHeight="1" x14ac:dyDescent="0.25">
      <c r="A25" s="38">
        <v>8962661901</v>
      </c>
      <c r="B25" s="56" t="s">
        <v>244</v>
      </c>
      <c r="C25" s="43" t="s">
        <v>245</v>
      </c>
      <c r="D25" s="56" t="s">
        <v>297</v>
      </c>
      <c r="E25" s="56" t="s">
        <v>247</v>
      </c>
      <c r="F25" s="56" t="s">
        <v>248</v>
      </c>
      <c r="G25" s="56" t="s">
        <v>249</v>
      </c>
      <c r="H25" s="56" t="s">
        <v>285</v>
      </c>
      <c r="I25" s="56" t="s">
        <v>195</v>
      </c>
      <c r="J25" s="56" t="s">
        <v>115</v>
      </c>
      <c r="K25" s="56"/>
      <c r="L25" s="56"/>
      <c r="M25" s="56"/>
      <c r="N25" s="56" t="s">
        <v>298</v>
      </c>
      <c r="O25" s="64" t="s">
        <v>215</v>
      </c>
      <c r="P25" s="56" t="s">
        <v>196</v>
      </c>
      <c r="Q25" s="56">
        <v>1319</v>
      </c>
      <c r="R25" s="56"/>
      <c r="S25" s="56"/>
      <c r="T25" s="56"/>
      <c r="U25" s="56"/>
      <c r="V25" s="56"/>
      <c r="W25" s="56"/>
      <c r="X25" s="56"/>
      <c r="Y25" s="56">
        <v>32</v>
      </c>
      <c r="Z25" s="56">
        <v>264</v>
      </c>
      <c r="AA25" s="56">
        <v>396</v>
      </c>
      <c r="AB25" s="56">
        <v>330</v>
      </c>
      <c r="AC25" s="56">
        <v>297</v>
      </c>
    </row>
    <row r="26" spans="1:29" ht="19.95" customHeight="1" x14ac:dyDescent="0.25">
      <c r="A26" s="38">
        <v>8962661902</v>
      </c>
      <c r="B26" s="56" t="s">
        <v>244</v>
      </c>
      <c r="C26" s="43" t="s">
        <v>245</v>
      </c>
      <c r="D26" s="56" t="s">
        <v>299</v>
      </c>
      <c r="E26" s="56" t="s">
        <v>247</v>
      </c>
      <c r="F26" s="56" t="s">
        <v>248</v>
      </c>
      <c r="G26" s="56" t="s">
        <v>249</v>
      </c>
      <c r="H26" s="56" t="s">
        <v>287</v>
      </c>
      <c r="I26" s="56" t="s">
        <v>195</v>
      </c>
      <c r="J26" s="56" t="s">
        <v>115</v>
      </c>
      <c r="K26" s="56"/>
      <c r="L26" s="56"/>
      <c r="M26" s="56"/>
      <c r="N26" s="56" t="s">
        <v>300</v>
      </c>
      <c r="O26" s="64" t="s">
        <v>216</v>
      </c>
      <c r="P26" s="56" t="s">
        <v>21</v>
      </c>
      <c r="Q26" s="107">
        <v>1</v>
      </c>
      <c r="R26" s="56"/>
      <c r="S26" s="56"/>
      <c r="T26" s="56"/>
      <c r="U26" s="56"/>
      <c r="V26" s="56"/>
      <c r="W26" s="56"/>
      <c r="X26" s="56"/>
      <c r="Y26" s="56">
        <v>32</v>
      </c>
      <c r="Z26" s="56">
        <v>33</v>
      </c>
      <c r="AA26" s="56">
        <v>33</v>
      </c>
      <c r="AB26" s="56">
        <v>33</v>
      </c>
      <c r="AC26" s="56">
        <v>33</v>
      </c>
    </row>
    <row r="27" spans="1:29" ht="19.95" customHeight="1" x14ac:dyDescent="0.25">
      <c r="A27" s="38">
        <v>8962661903</v>
      </c>
      <c r="B27" s="56" t="s">
        <v>244</v>
      </c>
      <c r="C27" s="43" t="s">
        <v>245</v>
      </c>
      <c r="D27" s="56" t="s">
        <v>61</v>
      </c>
      <c r="E27" s="56" t="s">
        <v>247</v>
      </c>
      <c r="F27" s="56" t="s">
        <v>248</v>
      </c>
      <c r="G27" s="56" t="s">
        <v>249</v>
      </c>
      <c r="H27" s="56" t="s">
        <v>289</v>
      </c>
      <c r="I27" s="56" t="s">
        <v>195</v>
      </c>
      <c r="J27" s="56" t="s">
        <v>115</v>
      </c>
      <c r="K27" s="56"/>
      <c r="L27" s="56"/>
      <c r="M27" s="56"/>
      <c r="N27" s="56" t="s">
        <v>301</v>
      </c>
      <c r="O27" s="64" t="s">
        <v>217</v>
      </c>
      <c r="P27" s="56" t="s">
        <v>21</v>
      </c>
      <c r="Q27" s="107">
        <v>1</v>
      </c>
      <c r="R27" s="56"/>
      <c r="S27" s="56"/>
      <c r="T27" s="56"/>
      <c r="U27" s="56"/>
      <c r="V27" s="56"/>
      <c r="W27" s="56"/>
      <c r="X27" s="56"/>
      <c r="Y27" s="56">
        <v>9</v>
      </c>
      <c r="Z27" s="56">
        <v>9</v>
      </c>
      <c r="AA27" s="56">
        <v>9</v>
      </c>
      <c r="AB27" s="56">
        <v>9</v>
      </c>
      <c r="AC27" s="56">
        <v>9</v>
      </c>
    </row>
    <row r="28" spans="1:29" ht="19.95" customHeight="1" x14ac:dyDescent="0.25">
      <c r="A28" s="38">
        <v>8962661904</v>
      </c>
      <c r="B28" s="56" t="s">
        <v>244</v>
      </c>
      <c r="C28" s="43" t="s">
        <v>245</v>
      </c>
      <c r="D28" s="56" t="s">
        <v>302</v>
      </c>
      <c r="E28" s="56" t="s">
        <v>247</v>
      </c>
      <c r="F28" s="56" t="s">
        <v>248</v>
      </c>
      <c r="G28" s="56" t="s">
        <v>249</v>
      </c>
      <c r="H28" s="56" t="s">
        <v>291</v>
      </c>
      <c r="I28" s="56" t="s">
        <v>195</v>
      </c>
      <c r="J28" s="56" t="s">
        <v>115</v>
      </c>
      <c r="K28" s="56"/>
      <c r="L28" s="56"/>
      <c r="M28" s="56"/>
      <c r="N28" s="56" t="s">
        <v>303</v>
      </c>
      <c r="O28" s="64" t="s">
        <v>218</v>
      </c>
      <c r="P28" s="56" t="s">
        <v>21</v>
      </c>
      <c r="Q28" s="107">
        <v>1</v>
      </c>
      <c r="R28" s="56"/>
      <c r="S28" s="56"/>
      <c r="T28" s="56"/>
      <c r="U28" s="56"/>
      <c r="V28" s="56"/>
      <c r="W28" s="56"/>
      <c r="X28" s="56"/>
      <c r="Y28" s="56">
        <v>64</v>
      </c>
      <c r="Z28" s="56">
        <v>63.5</v>
      </c>
      <c r="AA28" s="56">
        <v>63.5</v>
      </c>
      <c r="AB28" s="56">
        <v>63.5</v>
      </c>
      <c r="AC28" s="56">
        <v>63.5</v>
      </c>
    </row>
    <row r="29" spans="1:29" ht="19.95" customHeight="1" x14ac:dyDescent="0.25">
      <c r="A29" s="38">
        <v>8962661905</v>
      </c>
      <c r="B29" s="56" t="s">
        <v>244</v>
      </c>
      <c r="C29" s="43" t="s">
        <v>245</v>
      </c>
      <c r="D29" s="56" t="s">
        <v>304</v>
      </c>
      <c r="E29" s="56" t="s">
        <v>247</v>
      </c>
      <c r="F29" s="56" t="s">
        <v>248</v>
      </c>
      <c r="G29" s="56" t="s">
        <v>249</v>
      </c>
      <c r="H29" s="56" t="s">
        <v>293</v>
      </c>
      <c r="I29" s="56" t="s">
        <v>195</v>
      </c>
      <c r="J29" s="56" t="s">
        <v>115</v>
      </c>
      <c r="K29" s="56"/>
      <c r="L29" s="56"/>
      <c r="M29" s="56"/>
      <c r="N29" s="56" t="s">
        <v>305</v>
      </c>
      <c r="O29" s="64" t="s">
        <v>219</v>
      </c>
      <c r="P29" s="56" t="s">
        <v>21</v>
      </c>
      <c r="Q29" s="107">
        <v>1</v>
      </c>
      <c r="R29" s="56"/>
      <c r="S29" s="56"/>
      <c r="T29" s="56"/>
      <c r="U29" s="56"/>
      <c r="V29" s="56"/>
      <c r="W29" s="56"/>
      <c r="X29" s="56"/>
      <c r="Y29" s="107">
        <v>1</v>
      </c>
      <c r="Z29" s="107">
        <v>1</v>
      </c>
      <c r="AA29" s="107">
        <v>1</v>
      </c>
      <c r="AB29" s="107">
        <v>1</v>
      </c>
      <c r="AC29" s="107">
        <v>1</v>
      </c>
    </row>
    <row r="30" spans="1:29" ht="19.95" customHeight="1" x14ac:dyDescent="0.25">
      <c r="A30" s="38">
        <v>8962661906</v>
      </c>
      <c r="B30" s="56" t="s">
        <v>244</v>
      </c>
      <c r="C30" s="43" t="s">
        <v>245</v>
      </c>
      <c r="D30" s="56" t="s">
        <v>306</v>
      </c>
      <c r="E30" s="56" t="s">
        <v>247</v>
      </c>
      <c r="F30" s="56" t="s">
        <v>248</v>
      </c>
      <c r="G30" s="56" t="s">
        <v>249</v>
      </c>
      <c r="H30" s="56" t="s">
        <v>295</v>
      </c>
      <c r="I30" s="56" t="s">
        <v>195</v>
      </c>
      <c r="J30" s="56" t="s">
        <v>115</v>
      </c>
      <c r="K30" s="56"/>
      <c r="L30" s="56"/>
      <c r="M30" s="56"/>
      <c r="N30" s="56" t="s">
        <v>307</v>
      </c>
      <c r="O30" s="64" t="s">
        <v>220</v>
      </c>
      <c r="P30" s="56" t="s">
        <v>18</v>
      </c>
      <c r="Q30" s="56">
        <v>8000</v>
      </c>
      <c r="R30" s="56"/>
      <c r="S30" s="56"/>
      <c r="T30" s="56"/>
      <c r="U30" s="56"/>
      <c r="V30" s="56"/>
      <c r="W30" s="56"/>
      <c r="X30" s="56"/>
      <c r="Y30" s="56">
        <v>200</v>
      </c>
      <c r="Z30" s="56">
        <v>1600</v>
      </c>
      <c r="AA30" s="56">
        <v>2400</v>
      </c>
      <c r="AB30" s="56">
        <v>2000</v>
      </c>
      <c r="AC30" s="56">
        <v>1800</v>
      </c>
    </row>
    <row r="31" spans="1:29" ht="19.95" customHeight="1" x14ac:dyDescent="0.25">
      <c r="A31" s="38">
        <v>8962661907</v>
      </c>
      <c r="B31" s="56" t="s">
        <v>244</v>
      </c>
      <c r="C31" s="43" t="s">
        <v>245</v>
      </c>
      <c r="D31" s="56" t="s">
        <v>308</v>
      </c>
      <c r="E31" s="56" t="s">
        <v>247</v>
      </c>
      <c r="F31" s="56" t="s">
        <v>248</v>
      </c>
      <c r="G31" s="56" t="s">
        <v>249</v>
      </c>
      <c r="H31" s="56" t="s">
        <v>297</v>
      </c>
      <c r="I31" s="56" t="s">
        <v>195</v>
      </c>
      <c r="J31" s="56" t="s">
        <v>115</v>
      </c>
      <c r="K31" s="56"/>
      <c r="L31" s="56"/>
      <c r="M31" s="56"/>
      <c r="N31" s="56" t="s">
        <v>309</v>
      </c>
      <c r="O31" s="64" t="s">
        <v>221</v>
      </c>
      <c r="P31" s="56" t="s">
        <v>18</v>
      </c>
      <c r="Q31" s="56">
        <v>53</v>
      </c>
      <c r="R31" s="56"/>
      <c r="S31" s="56"/>
      <c r="T31" s="56"/>
      <c r="U31" s="56"/>
      <c r="V31" s="56"/>
      <c r="W31" s="56"/>
      <c r="X31" s="56"/>
      <c r="Y31" s="56">
        <v>2</v>
      </c>
      <c r="Z31" s="56">
        <v>10</v>
      </c>
      <c r="AA31" s="56">
        <v>16</v>
      </c>
      <c r="AB31" s="56">
        <v>13</v>
      </c>
      <c r="AC31" s="56">
        <v>12</v>
      </c>
    </row>
    <row r="32" spans="1:29" ht="19.95" customHeight="1" x14ac:dyDescent="0.25">
      <c r="A32" s="38">
        <v>8962661908</v>
      </c>
      <c r="B32" s="56" t="s">
        <v>244</v>
      </c>
      <c r="C32" s="43" t="s">
        <v>245</v>
      </c>
      <c r="D32" s="56" t="s">
        <v>310</v>
      </c>
      <c r="E32" s="56" t="s">
        <v>247</v>
      </c>
      <c r="F32" s="56" t="s">
        <v>248</v>
      </c>
      <c r="G32" s="56" t="s">
        <v>249</v>
      </c>
      <c r="H32" s="56" t="s">
        <v>299</v>
      </c>
      <c r="I32" s="56" t="s">
        <v>195</v>
      </c>
      <c r="J32" s="56" t="s">
        <v>115</v>
      </c>
      <c r="K32" s="56"/>
      <c r="L32" s="56"/>
      <c r="M32" s="56"/>
      <c r="N32" s="56" t="s">
        <v>311</v>
      </c>
      <c r="O32" s="64" t="s">
        <v>222</v>
      </c>
      <c r="P32" s="56" t="s">
        <v>18</v>
      </c>
      <c r="Q32" s="56">
        <v>6500</v>
      </c>
      <c r="R32" s="56"/>
      <c r="S32" s="56"/>
      <c r="T32" s="56"/>
      <c r="U32" s="56"/>
      <c r="V32" s="56"/>
      <c r="W32" s="56"/>
      <c r="X32" s="56"/>
      <c r="Y32" s="56"/>
      <c r="Z32" s="56">
        <v>1000</v>
      </c>
      <c r="AA32" s="56">
        <v>2000</v>
      </c>
      <c r="AB32" s="56">
        <v>1500</v>
      </c>
      <c r="AC32" s="56">
        <v>2000</v>
      </c>
    </row>
    <row r="33" spans="1:29" ht="19.95" customHeight="1" x14ac:dyDescent="0.25">
      <c r="A33" s="38">
        <v>8962661909</v>
      </c>
      <c r="B33" s="56" t="s">
        <v>244</v>
      </c>
      <c r="C33" s="43" t="s">
        <v>245</v>
      </c>
      <c r="D33" s="56" t="s">
        <v>312</v>
      </c>
      <c r="E33" s="56" t="s">
        <v>247</v>
      </c>
      <c r="F33" s="56" t="s">
        <v>248</v>
      </c>
      <c r="G33" s="56" t="s">
        <v>249</v>
      </c>
      <c r="H33" s="56" t="s">
        <v>61</v>
      </c>
      <c r="I33" s="56" t="s">
        <v>195</v>
      </c>
      <c r="J33" s="56" t="s">
        <v>115</v>
      </c>
      <c r="K33" s="56"/>
      <c r="L33" s="56"/>
      <c r="M33" s="56"/>
      <c r="N33" s="56" t="s">
        <v>313</v>
      </c>
      <c r="O33" s="64" t="s">
        <v>223</v>
      </c>
      <c r="P33" s="56" t="s">
        <v>196</v>
      </c>
      <c r="Q33" s="56">
        <v>1072</v>
      </c>
      <c r="R33" s="56"/>
      <c r="S33" s="56"/>
      <c r="T33" s="56"/>
      <c r="U33" s="56"/>
      <c r="V33" s="56"/>
      <c r="W33" s="56"/>
      <c r="X33" s="56"/>
      <c r="Y33" s="56"/>
      <c r="Z33" s="56">
        <v>165</v>
      </c>
      <c r="AA33" s="56">
        <v>330</v>
      </c>
      <c r="AB33" s="56">
        <v>247</v>
      </c>
      <c r="AC33" s="56">
        <v>330</v>
      </c>
    </row>
    <row r="34" spans="1:29" ht="19.95" customHeight="1" x14ac:dyDescent="0.25">
      <c r="A34" s="38">
        <v>8962661910</v>
      </c>
      <c r="B34" s="56" t="s">
        <v>244</v>
      </c>
      <c r="C34" s="43" t="s">
        <v>245</v>
      </c>
      <c r="D34" s="56" t="s">
        <v>314</v>
      </c>
      <c r="E34" s="56" t="s">
        <v>247</v>
      </c>
      <c r="F34" s="56" t="s">
        <v>248</v>
      </c>
      <c r="G34" s="56" t="s">
        <v>249</v>
      </c>
      <c r="H34" s="56" t="s">
        <v>302</v>
      </c>
      <c r="I34" s="56" t="s">
        <v>195</v>
      </c>
      <c r="J34" s="56" t="s">
        <v>115</v>
      </c>
      <c r="K34" s="56"/>
      <c r="L34" s="56"/>
      <c r="M34" s="56"/>
      <c r="N34" s="56" t="s">
        <v>315</v>
      </c>
      <c r="O34" s="64" t="s">
        <v>224</v>
      </c>
      <c r="P34" s="56" t="s">
        <v>18</v>
      </c>
      <c r="Q34" s="56">
        <v>0</v>
      </c>
      <c r="R34" s="56"/>
      <c r="S34" s="56"/>
      <c r="T34" s="56"/>
      <c r="U34" s="56"/>
      <c r="V34" s="56"/>
      <c r="W34" s="56"/>
      <c r="X34" s="56"/>
      <c r="Y34" s="56"/>
      <c r="Z34" s="56"/>
      <c r="AA34" s="56"/>
      <c r="AB34" s="56"/>
      <c r="AC34" s="56"/>
    </row>
    <row r="35" spans="1:29" ht="19.95" customHeight="1" x14ac:dyDescent="0.25">
      <c r="A35" s="38">
        <v>8962661911</v>
      </c>
      <c r="B35" s="56" t="s">
        <v>244</v>
      </c>
      <c r="C35" s="43" t="s">
        <v>245</v>
      </c>
      <c r="D35" s="56" t="s">
        <v>316</v>
      </c>
      <c r="E35" s="56" t="s">
        <v>247</v>
      </c>
      <c r="F35" s="56" t="s">
        <v>248</v>
      </c>
      <c r="G35" s="56" t="s">
        <v>249</v>
      </c>
      <c r="H35" s="56" t="s">
        <v>304</v>
      </c>
      <c r="I35" s="56" t="s">
        <v>195</v>
      </c>
      <c r="J35" s="56" t="s">
        <v>115</v>
      </c>
      <c r="K35" s="56"/>
      <c r="L35" s="56"/>
      <c r="M35" s="56"/>
      <c r="N35" s="56" t="s">
        <v>317</v>
      </c>
      <c r="O35" s="64" t="s">
        <v>226</v>
      </c>
      <c r="P35" s="56" t="s">
        <v>18</v>
      </c>
      <c r="Q35" s="56">
        <v>4</v>
      </c>
      <c r="R35" s="56"/>
      <c r="S35" s="56"/>
      <c r="T35" s="56"/>
      <c r="U35" s="56"/>
      <c r="V35" s="56"/>
      <c r="W35" s="56"/>
      <c r="X35" s="56"/>
      <c r="Y35" s="56"/>
      <c r="Z35" s="56">
        <v>1</v>
      </c>
      <c r="AA35" s="56">
        <v>1</v>
      </c>
      <c r="AB35" s="56">
        <v>1</v>
      </c>
      <c r="AC35" s="56">
        <v>1</v>
      </c>
    </row>
    <row r="36" spans="1:29" ht="19.95" customHeight="1" x14ac:dyDescent="0.25">
      <c r="A36" s="38">
        <v>8962661912</v>
      </c>
      <c r="B36" s="56" t="s">
        <v>244</v>
      </c>
      <c r="C36" s="43" t="s">
        <v>245</v>
      </c>
      <c r="D36" s="56" t="s">
        <v>318</v>
      </c>
      <c r="E36" s="56" t="s">
        <v>247</v>
      </c>
      <c r="F36" s="56" t="s">
        <v>248</v>
      </c>
      <c r="G36" s="56" t="s">
        <v>249</v>
      </c>
      <c r="H36" s="56" t="s">
        <v>306</v>
      </c>
      <c r="I36" s="56" t="s">
        <v>195</v>
      </c>
      <c r="J36" s="56" t="s">
        <v>115</v>
      </c>
      <c r="K36" s="56"/>
      <c r="L36" s="56"/>
      <c r="M36" s="56"/>
      <c r="N36" s="56" t="s">
        <v>319</v>
      </c>
      <c r="O36" s="64" t="s">
        <v>227</v>
      </c>
      <c r="P36" s="56" t="s">
        <v>18</v>
      </c>
      <c r="Q36" s="56">
        <v>53</v>
      </c>
      <c r="R36" s="56"/>
      <c r="S36" s="56"/>
      <c r="T36" s="56"/>
      <c r="U36" s="56"/>
      <c r="V36" s="56"/>
      <c r="W36" s="56"/>
      <c r="X36" s="56"/>
      <c r="Y36" s="56">
        <v>2</v>
      </c>
      <c r="Z36" s="56">
        <v>10</v>
      </c>
      <c r="AA36" s="56">
        <v>16</v>
      </c>
      <c r="AB36" s="56">
        <v>13</v>
      </c>
      <c r="AC36" s="56">
        <v>12</v>
      </c>
    </row>
    <row r="37" spans="1:29" ht="19.95" customHeight="1" x14ac:dyDescent="0.25">
      <c r="A37" s="38">
        <v>8962661913</v>
      </c>
      <c r="B37" s="56" t="s">
        <v>244</v>
      </c>
      <c r="C37" s="43" t="s">
        <v>245</v>
      </c>
      <c r="D37" s="56" t="s">
        <v>320</v>
      </c>
      <c r="E37" s="56" t="s">
        <v>247</v>
      </c>
      <c r="F37" s="56" t="s">
        <v>248</v>
      </c>
      <c r="G37" s="56" t="s">
        <v>249</v>
      </c>
      <c r="H37" s="56" t="s">
        <v>308</v>
      </c>
      <c r="I37" s="56" t="s">
        <v>195</v>
      </c>
      <c r="J37" s="56" t="s">
        <v>115</v>
      </c>
      <c r="K37" s="56"/>
      <c r="L37" s="56"/>
      <c r="M37" s="56"/>
      <c r="N37" s="56" t="s">
        <v>321</v>
      </c>
      <c r="O37" s="64" t="s">
        <v>228</v>
      </c>
      <c r="P37" s="56" t="s">
        <v>18</v>
      </c>
      <c r="Q37" s="56">
        <v>0</v>
      </c>
      <c r="R37" s="56"/>
      <c r="S37" s="56"/>
      <c r="T37" s="56"/>
      <c r="U37" s="56"/>
      <c r="V37" s="56"/>
      <c r="W37" s="56"/>
      <c r="X37" s="56"/>
      <c r="Y37" s="56"/>
      <c r="Z37" s="56"/>
      <c r="AA37" s="56"/>
      <c r="AB37" s="56"/>
      <c r="AC37" s="56"/>
    </row>
    <row r="38" spans="1:29" ht="19.95" customHeight="1" x14ac:dyDescent="0.25">
      <c r="A38" s="38">
        <v>8962661914</v>
      </c>
      <c r="B38" s="56" t="s">
        <v>244</v>
      </c>
      <c r="C38" s="43" t="s">
        <v>245</v>
      </c>
      <c r="D38" s="56" t="s">
        <v>322</v>
      </c>
      <c r="E38" s="56" t="s">
        <v>247</v>
      </c>
      <c r="F38" s="56" t="s">
        <v>248</v>
      </c>
      <c r="G38" s="56" t="s">
        <v>249</v>
      </c>
      <c r="H38" s="56" t="s">
        <v>310</v>
      </c>
      <c r="I38" s="56" t="s">
        <v>195</v>
      </c>
      <c r="J38" s="56" t="s">
        <v>115</v>
      </c>
      <c r="K38" s="56"/>
      <c r="L38" s="56"/>
      <c r="M38" s="56"/>
      <c r="N38" s="56" t="s">
        <v>323</v>
      </c>
      <c r="O38" s="64" t="s">
        <v>242</v>
      </c>
      <c r="P38" s="56" t="s">
        <v>21</v>
      </c>
      <c r="Q38" s="107">
        <v>1</v>
      </c>
      <c r="R38" s="107">
        <v>1</v>
      </c>
      <c r="S38" s="107">
        <v>1</v>
      </c>
      <c r="T38" s="107">
        <v>1</v>
      </c>
      <c r="U38" s="107">
        <v>1</v>
      </c>
      <c r="V38" s="107">
        <v>1</v>
      </c>
      <c r="W38" s="56"/>
      <c r="X38" s="56"/>
      <c r="Y38" s="56"/>
      <c r="Z38" s="56"/>
      <c r="AA38" s="56"/>
      <c r="AB38" s="56"/>
      <c r="AC38" s="56"/>
    </row>
    <row r="39" spans="1:29" ht="19.95" customHeight="1" x14ac:dyDescent="0.25">
      <c r="A39" s="38">
        <v>8962661915</v>
      </c>
      <c r="B39" s="56" t="s">
        <v>244</v>
      </c>
      <c r="C39" s="43" t="s">
        <v>245</v>
      </c>
      <c r="D39" s="56" t="s">
        <v>324</v>
      </c>
      <c r="E39" s="56" t="s">
        <v>247</v>
      </c>
      <c r="F39" s="56" t="s">
        <v>248</v>
      </c>
      <c r="G39" s="56" t="s">
        <v>249</v>
      </c>
      <c r="H39" s="56" t="s">
        <v>312</v>
      </c>
      <c r="I39" s="56" t="s">
        <v>195</v>
      </c>
      <c r="J39" s="56" t="s">
        <v>115</v>
      </c>
      <c r="K39" s="56"/>
      <c r="L39" s="56"/>
      <c r="M39" s="56"/>
      <c r="N39" s="56" t="s">
        <v>325</v>
      </c>
      <c r="O39" s="64" t="s">
        <v>243</v>
      </c>
      <c r="P39" s="56" t="s">
        <v>21</v>
      </c>
      <c r="Q39" s="107">
        <v>1</v>
      </c>
      <c r="R39" s="107">
        <v>1</v>
      </c>
      <c r="S39" s="107">
        <v>1</v>
      </c>
      <c r="T39" s="107">
        <v>1</v>
      </c>
      <c r="U39" s="107">
        <v>1</v>
      </c>
      <c r="V39" s="107">
        <v>1</v>
      </c>
      <c r="W39" s="56"/>
      <c r="X39" s="56"/>
      <c r="Y39" s="56"/>
      <c r="Z39" s="56"/>
      <c r="AA39" s="56"/>
      <c r="AB39" s="56"/>
      <c r="AC39" s="56"/>
    </row>
    <row r="40" spans="1:29" x14ac:dyDescent="0.25">
      <c r="O40" s="31"/>
      <c r="P40" s="15"/>
      <c r="Q40" s="25"/>
      <c r="R40" s="15"/>
      <c r="S40" s="15"/>
      <c r="T40" s="15"/>
      <c r="U40" s="15"/>
      <c r="V40" s="15"/>
      <c r="W40" s="15"/>
      <c r="X40" s="15"/>
      <c r="Y40" s="15"/>
      <c r="Z40" s="15"/>
      <c r="AA40" s="15"/>
      <c r="AB40" s="15"/>
      <c r="AC40" s="15"/>
    </row>
  </sheetData>
  <phoneticPr fontId="2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361E0-72D5-429B-B98A-E83B281BC4F1}">
  <dimension ref="A1:AC34"/>
  <sheetViews>
    <sheetView topLeftCell="P1" workbookViewId="0">
      <selection activeCell="AH7" sqref="AH7"/>
    </sheetView>
  </sheetViews>
  <sheetFormatPr defaultRowHeight="13.2" x14ac:dyDescent="0.25"/>
  <cols>
    <col min="1" max="1" width="15.44140625" customWidth="1"/>
    <col min="2" max="2" width="20.5546875" bestFit="1" customWidth="1"/>
    <col min="3" max="3" width="34.44140625" bestFit="1" customWidth="1"/>
    <col min="4" max="4" width="15.44140625" customWidth="1"/>
    <col min="5" max="5" width="13.44140625" customWidth="1"/>
    <col min="6" max="6" width="15.44140625" customWidth="1"/>
    <col min="7" max="7" width="11.44140625" bestFit="1" customWidth="1"/>
    <col min="8" max="8" width="15.44140625" customWidth="1"/>
    <col min="9" max="9" width="17.44140625" bestFit="1" customWidth="1"/>
    <col min="10" max="13" width="10.88671875" bestFit="1" customWidth="1"/>
    <col min="14" max="14" width="13.33203125" bestFit="1" customWidth="1"/>
    <col min="15" max="15" width="66.5546875" style="66" customWidth="1"/>
    <col min="16" max="16" width="21.77734375" bestFit="1" customWidth="1"/>
    <col min="17" max="17" width="14.109375" bestFit="1" customWidth="1"/>
  </cols>
  <sheetData>
    <row r="1" spans="1:29" ht="26.4" x14ac:dyDescent="0.25">
      <c r="A1" s="62" t="s">
        <v>123</v>
      </c>
      <c r="B1" s="63" t="s">
        <v>1</v>
      </c>
      <c r="C1" s="62" t="s">
        <v>2</v>
      </c>
      <c r="D1" s="63" t="s">
        <v>3</v>
      </c>
      <c r="E1" s="62" t="s">
        <v>4</v>
      </c>
      <c r="F1" s="62" t="s">
        <v>5</v>
      </c>
      <c r="G1" s="62" t="s">
        <v>6</v>
      </c>
      <c r="H1" s="62" t="s">
        <v>7</v>
      </c>
      <c r="I1" s="63" t="s">
        <v>8</v>
      </c>
      <c r="J1" s="62" t="s">
        <v>9</v>
      </c>
      <c r="K1" s="62" t="s">
        <v>10</v>
      </c>
      <c r="L1" s="62" t="s">
        <v>126</v>
      </c>
      <c r="M1" s="62" t="s">
        <v>127</v>
      </c>
      <c r="N1" s="62"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38">
        <v>9131938013</v>
      </c>
      <c r="B2" s="56" t="s">
        <v>327</v>
      </c>
      <c r="C2" s="68" t="s">
        <v>329</v>
      </c>
      <c r="D2" s="56" t="s">
        <v>256</v>
      </c>
      <c r="E2" s="56" t="s">
        <v>247</v>
      </c>
      <c r="F2" s="56" t="s">
        <v>328</v>
      </c>
      <c r="G2" s="56" t="s">
        <v>236</v>
      </c>
      <c r="H2" s="56" t="s">
        <v>233</v>
      </c>
      <c r="I2" s="56" t="s">
        <v>195</v>
      </c>
      <c r="J2" s="56" t="s">
        <v>115</v>
      </c>
      <c r="K2" s="56"/>
      <c r="L2" s="56"/>
      <c r="M2" s="56"/>
      <c r="N2" s="56" t="s">
        <v>16</v>
      </c>
      <c r="O2" s="61" t="s">
        <v>197</v>
      </c>
      <c r="P2" s="56" t="s">
        <v>18</v>
      </c>
      <c r="Q2" s="56">
        <v>1</v>
      </c>
      <c r="R2" s="56"/>
      <c r="S2" s="56"/>
      <c r="T2" s="56"/>
      <c r="U2" s="56"/>
      <c r="V2" s="56"/>
      <c r="W2" s="56">
        <v>1</v>
      </c>
      <c r="X2" s="56"/>
      <c r="Y2" s="56"/>
      <c r="Z2" s="56"/>
      <c r="AA2" s="56"/>
      <c r="AB2" s="56"/>
      <c r="AC2" s="56"/>
    </row>
    <row r="3" spans="1:29" ht="19.95" customHeight="1" x14ac:dyDescent="0.25">
      <c r="A3" s="38">
        <v>9131938013</v>
      </c>
      <c r="B3" s="56" t="s">
        <v>327</v>
      </c>
      <c r="C3" s="68" t="s">
        <v>329</v>
      </c>
      <c r="D3" s="56" t="s">
        <v>256</v>
      </c>
      <c r="E3" s="56" t="s">
        <v>247</v>
      </c>
      <c r="F3" s="56" t="s">
        <v>328</v>
      </c>
      <c r="G3" s="56" t="s">
        <v>236</v>
      </c>
      <c r="H3" s="56" t="s">
        <v>233</v>
      </c>
      <c r="I3" s="56" t="s">
        <v>195</v>
      </c>
      <c r="J3" s="56" t="s">
        <v>115</v>
      </c>
      <c r="K3" s="56"/>
      <c r="L3" s="56"/>
      <c r="M3" s="56"/>
      <c r="N3" s="56" t="s">
        <v>16</v>
      </c>
      <c r="O3" s="61" t="s">
        <v>198</v>
      </c>
      <c r="P3" s="56" t="s">
        <v>18</v>
      </c>
      <c r="Q3" s="56">
        <v>1</v>
      </c>
      <c r="R3" s="56"/>
      <c r="S3" s="56"/>
      <c r="T3" s="56"/>
      <c r="U3" s="56"/>
      <c r="V3" s="56"/>
      <c r="W3" s="56">
        <v>1</v>
      </c>
      <c r="X3" s="56"/>
      <c r="Y3" s="56"/>
      <c r="Z3" s="56"/>
      <c r="AA3" s="56"/>
      <c r="AB3" s="56"/>
      <c r="AC3" s="56"/>
    </row>
    <row r="4" spans="1:29" ht="19.95" customHeight="1" x14ac:dyDescent="0.25">
      <c r="A4" s="38">
        <v>9131938013</v>
      </c>
      <c r="B4" s="56" t="s">
        <v>327</v>
      </c>
      <c r="C4" s="68" t="s">
        <v>329</v>
      </c>
      <c r="D4" s="56" t="s">
        <v>256</v>
      </c>
      <c r="E4" s="56" t="s">
        <v>247</v>
      </c>
      <c r="F4" s="56" t="s">
        <v>328</v>
      </c>
      <c r="G4" s="56" t="s">
        <v>236</v>
      </c>
      <c r="H4" s="56" t="s">
        <v>233</v>
      </c>
      <c r="I4" s="56" t="s">
        <v>195</v>
      </c>
      <c r="J4" s="56" t="s">
        <v>115</v>
      </c>
      <c r="K4" s="56"/>
      <c r="L4" s="56"/>
      <c r="M4" s="56"/>
      <c r="N4" s="56" t="s">
        <v>16</v>
      </c>
      <c r="O4" s="61" t="s">
        <v>199</v>
      </c>
      <c r="P4" s="56" t="s">
        <v>18</v>
      </c>
      <c r="Q4" s="56">
        <v>1</v>
      </c>
      <c r="R4" s="56"/>
      <c r="S4" s="56"/>
      <c r="T4" s="56"/>
      <c r="U4" s="56"/>
      <c r="V4" s="56"/>
      <c r="W4" s="56">
        <v>1</v>
      </c>
      <c r="X4" s="56"/>
      <c r="Y4" s="56"/>
      <c r="Z4" s="56"/>
      <c r="AA4" s="56"/>
      <c r="AB4" s="56"/>
      <c r="AC4" s="56"/>
    </row>
    <row r="5" spans="1:29" ht="19.95" customHeight="1" x14ac:dyDescent="0.25">
      <c r="A5" s="38">
        <v>9131938013</v>
      </c>
      <c r="B5" s="56" t="s">
        <v>327</v>
      </c>
      <c r="C5" s="68" t="s">
        <v>329</v>
      </c>
      <c r="D5" s="56" t="s">
        <v>256</v>
      </c>
      <c r="E5" s="56" t="s">
        <v>247</v>
      </c>
      <c r="F5" s="56" t="s">
        <v>328</v>
      </c>
      <c r="G5" s="56" t="s">
        <v>236</v>
      </c>
      <c r="H5" s="56" t="s">
        <v>233</v>
      </c>
      <c r="I5" s="56" t="s">
        <v>195</v>
      </c>
      <c r="J5" s="56" t="s">
        <v>115</v>
      </c>
      <c r="K5" s="56"/>
      <c r="L5" s="56"/>
      <c r="M5" s="56"/>
      <c r="N5" s="56" t="s">
        <v>16</v>
      </c>
      <c r="O5" s="61" t="s">
        <v>200</v>
      </c>
      <c r="P5" s="56" t="s">
        <v>18</v>
      </c>
      <c r="Q5" s="56">
        <v>1</v>
      </c>
      <c r="R5" s="56"/>
      <c r="S5" s="56"/>
      <c r="T5" s="56"/>
      <c r="U5" s="56"/>
      <c r="V5" s="56"/>
      <c r="W5" s="56">
        <v>1</v>
      </c>
      <c r="X5" s="56"/>
      <c r="Y5" s="56"/>
      <c r="Z5" s="56"/>
      <c r="AA5" s="56"/>
      <c r="AB5" s="56"/>
      <c r="AC5" s="56"/>
    </row>
    <row r="6" spans="1:29" ht="19.95" customHeight="1" x14ac:dyDescent="0.25">
      <c r="A6" s="38">
        <v>9131938013</v>
      </c>
      <c r="B6" s="56" t="s">
        <v>327</v>
      </c>
      <c r="C6" s="68" t="s">
        <v>329</v>
      </c>
      <c r="D6" s="56" t="s">
        <v>256</v>
      </c>
      <c r="E6" s="56" t="s">
        <v>247</v>
      </c>
      <c r="F6" s="56" t="s">
        <v>328</v>
      </c>
      <c r="G6" s="56" t="s">
        <v>236</v>
      </c>
      <c r="H6" s="56" t="s">
        <v>233</v>
      </c>
      <c r="I6" s="56" t="s">
        <v>195</v>
      </c>
      <c r="J6" s="56" t="s">
        <v>115</v>
      </c>
      <c r="K6" s="56"/>
      <c r="L6" s="56"/>
      <c r="M6" s="56"/>
      <c r="N6" s="56" t="s">
        <v>16</v>
      </c>
      <c r="O6" s="61" t="s">
        <v>201</v>
      </c>
      <c r="P6" s="56" t="s">
        <v>18</v>
      </c>
      <c r="Q6" s="56">
        <v>1</v>
      </c>
      <c r="R6" s="56"/>
      <c r="S6" s="56"/>
      <c r="T6" s="56"/>
      <c r="U6" s="56"/>
      <c r="V6" s="56"/>
      <c r="W6" s="56">
        <v>1</v>
      </c>
      <c r="X6" s="56"/>
      <c r="Y6" s="56"/>
      <c r="Z6" s="56"/>
      <c r="AA6" s="56"/>
      <c r="AB6" s="56"/>
      <c r="AC6" s="56"/>
    </row>
    <row r="7" spans="1:29" ht="19.95" customHeight="1" x14ac:dyDescent="0.25">
      <c r="A7" s="38">
        <v>9131938013</v>
      </c>
      <c r="B7" s="56" t="s">
        <v>327</v>
      </c>
      <c r="C7" s="68" t="s">
        <v>329</v>
      </c>
      <c r="D7" s="56" t="s">
        <v>256</v>
      </c>
      <c r="E7" s="56" t="s">
        <v>247</v>
      </c>
      <c r="F7" s="56" t="s">
        <v>328</v>
      </c>
      <c r="G7" s="56" t="s">
        <v>236</v>
      </c>
      <c r="H7" s="56" t="s">
        <v>233</v>
      </c>
      <c r="I7" s="56" t="s">
        <v>195</v>
      </c>
      <c r="J7" s="56" t="s">
        <v>115</v>
      </c>
      <c r="K7" s="56"/>
      <c r="L7" s="56"/>
      <c r="M7" s="56"/>
      <c r="N7" s="56" t="s">
        <v>16</v>
      </c>
      <c r="O7" s="61" t="s">
        <v>202</v>
      </c>
      <c r="P7" s="56" t="s">
        <v>18</v>
      </c>
      <c r="Q7" s="56">
        <v>0</v>
      </c>
      <c r="R7" s="56"/>
      <c r="S7" s="56"/>
      <c r="T7" s="56"/>
      <c r="U7" s="56"/>
      <c r="V7" s="56"/>
      <c r="W7" s="56"/>
      <c r="X7" s="56"/>
      <c r="Y7" s="56"/>
      <c r="Z7" s="56"/>
      <c r="AA7" s="56"/>
      <c r="AB7" s="56"/>
      <c r="AC7" s="56"/>
    </row>
    <row r="8" spans="1:29" ht="19.95" customHeight="1" x14ac:dyDescent="0.25">
      <c r="A8" s="38">
        <v>9131938013</v>
      </c>
      <c r="B8" s="56" t="s">
        <v>327</v>
      </c>
      <c r="C8" s="68" t="s">
        <v>329</v>
      </c>
      <c r="D8" s="56" t="s">
        <v>256</v>
      </c>
      <c r="E8" s="56" t="s">
        <v>247</v>
      </c>
      <c r="F8" s="56" t="s">
        <v>328</v>
      </c>
      <c r="G8" s="56" t="s">
        <v>236</v>
      </c>
      <c r="H8" s="56" t="s">
        <v>233</v>
      </c>
      <c r="I8" s="56" t="s">
        <v>195</v>
      </c>
      <c r="J8" s="56" t="s">
        <v>115</v>
      </c>
      <c r="K8" s="56"/>
      <c r="L8" s="56"/>
      <c r="M8" s="56"/>
      <c r="N8" s="56" t="s">
        <v>16</v>
      </c>
      <c r="O8" s="61" t="s">
        <v>203</v>
      </c>
      <c r="P8" s="56" t="s">
        <v>18</v>
      </c>
      <c r="Q8" s="56">
        <v>0</v>
      </c>
      <c r="R8" s="56"/>
      <c r="S8" s="56"/>
      <c r="T8" s="56"/>
      <c r="U8" s="56"/>
      <c r="V8" s="56"/>
      <c r="W8" s="56"/>
      <c r="X8" s="56"/>
      <c r="Y8" s="56"/>
      <c r="Z8" s="56"/>
      <c r="AA8" s="56"/>
      <c r="AB8" s="56"/>
      <c r="AC8" s="56"/>
    </row>
    <row r="9" spans="1:29" ht="19.95" customHeight="1" x14ac:dyDescent="0.25">
      <c r="A9" s="38">
        <v>9131938013</v>
      </c>
      <c r="B9" s="56" t="s">
        <v>327</v>
      </c>
      <c r="C9" s="68" t="s">
        <v>329</v>
      </c>
      <c r="D9" s="56" t="s">
        <v>256</v>
      </c>
      <c r="E9" s="56" t="s">
        <v>247</v>
      </c>
      <c r="F9" s="56" t="s">
        <v>328</v>
      </c>
      <c r="G9" s="56" t="s">
        <v>236</v>
      </c>
      <c r="H9" s="56" t="s">
        <v>233</v>
      </c>
      <c r="I9" s="56" t="s">
        <v>195</v>
      </c>
      <c r="J9" s="56" t="s">
        <v>115</v>
      </c>
      <c r="K9" s="56"/>
      <c r="L9" s="56"/>
      <c r="M9" s="56"/>
      <c r="N9" s="56" t="s">
        <v>16</v>
      </c>
      <c r="O9" s="61" t="s">
        <v>204</v>
      </c>
      <c r="P9" s="56" t="s">
        <v>18</v>
      </c>
      <c r="Q9" s="56">
        <v>1</v>
      </c>
      <c r="R9" s="56"/>
      <c r="S9" s="56"/>
      <c r="T9" s="56"/>
      <c r="U9" s="56"/>
      <c r="V9" s="56"/>
      <c r="W9" s="56">
        <v>1</v>
      </c>
      <c r="X9" s="56"/>
      <c r="Y9" s="56"/>
      <c r="Z9" s="56"/>
      <c r="AA9" s="56"/>
      <c r="AB9" s="56"/>
      <c r="AC9" s="56"/>
    </row>
    <row r="10" spans="1:29" ht="19.95" customHeight="1" x14ac:dyDescent="0.25">
      <c r="A10" s="38">
        <v>9131938013</v>
      </c>
      <c r="B10" s="56" t="s">
        <v>327</v>
      </c>
      <c r="C10" s="68" t="s">
        <v>329</v>
      </c>
      <c r="D10" s="56" t="s">
        <v>256</v>
      </c>
      <c r="E10" s="56" t="s">
        <v>247</v>
      </c>
      <c r="F10" s="56" t="s">
        <v>328</v>
      </c>
      <c r="G10" s="56" t="s">
        <v>236</v>
      </c>
      <c r="H10" s="56" t="s">
        <v>233</v>
      </c>
      <c r="I10" s="56" t="s">
        <v>195</v>
      </c>
      <c r="J10" s="56" t="s">
        <v>115</v>
      </c>
      <c r="K10" s="56"/>
      <c r="L10" s="56"/>
      <c r="M10" s="56"/>
      <c r="N10" s="56" t="s">
        <v>16</v>
      </c>
      <c r="O10" s="61" t="s">
        <v>205</v>
      </c>
      <c r="P10" s="56" t="s">
        <v>196</v>
      </c>
      <c r="Q10" s="56">
        <v>4000</v>
      </c>
      <c r="R10" s="56"/>
      <c r="S10" s="56"/>
      <c r="T10" s="56"/>
      <c r="U10" s="56"/>
      <c r="V10" s="56"/>
      <c r="W10" s="56"/>
      <c r="X10" s="56"/>
      <c r="Y10" s="56">
        <v>500</v>
      </c>
      <c r="Z10" s="56">
        <v>1000</v>
      </c>
      <c r="AA10" s="56">
        <v>1000</v>
      </c>
      <c r="AB10" s="56">
        <v>1000</v>
      </c>
      <c r="AC10" s="56">
        <v>500</v>
      </c>
    </row>
    <row r="11" spans="1:29" ht="19.95" customHeight="1" x14ac:dyDescent="0.25">
      <c r="A11" s="38">
        <v>9131938013</v>
      </c>
      <c r="B11" s="56" t="s">
        <v>327</v>
      </c>
      <c r="C11" s="68" t="s">
        <v>329</v>
      </c>
      <c r="D11" s="56" t="s">
        <v>256</v>
      </c>
      <c r="E11" s="56" t="s">
        <v>247</v>
      </c>
      <c r="F11" s="56" t="s">
        <v>328</v>
      </c>
      <c r="G11" s="56" t="s">
        <v>236</v>
      </c>
      <c r="H11" s="56" t="s">
        <v>233</v>
      </c>
      <c r="I11" s="56" t="s">
        <v>195</v>
      </c>
      <c r="J11" s="56" t="s">
        <v>115</v>
      </c>
      <c r="K11" s="56"/>
      <c r="L11" s="56"/>
      <c r="M11" s="56"/>
      <c r="N11" s="56" t="s">
        <v>16</v>
      </c>
      <c r="O11" s="61" t="s">
        <v>206</v>
      </c>
      <c r="P11" s="56" t="s">
        <v>21</v>
      </c>
      <c r="Q11" s="107">
        <v>1</v>
      </c>
      <c r="R11" s="56"/>
      <c r="S11" s="56"/>
      <c r="T11" s="56"/>
      <c r="U11" s="56"/>
      <c r="V11" s="56"/>
      <c r="W11" s="56"/>
      <c r="X11" s="107">
        <v>1</v>
      </c>
      <c r="Y11" s="107">
        <v>1</v>
      </c>
      <c r="Z11" s="107">
        <v>1</v>
      </c>
      <c r="AA11" s="107">
        <v>1</v>
      </c>
      <c r="AB11" s="107">
        <v>1</v>
      </c>
      <c r="AC11" s="107">
        <v>1</v>
      </c>
    </row>
    <row r="12" spans="1:29" ht="19.95" customHeight="1" x14ac:dyDescent="0.25">
      <c r="A12" s="38">
        <v>9131938013</v>
      </c>
      <c r="B12" s="56" t="s">
        <v>327</v>
      </c>
      <c r="C12" s="68" t="s">
        <v>329</v>
      </c>
      <c r="D12" s="56" t="s">
        <v>256</v>
      </c>
      <c r="E12" s="56" t="s">
        <v>247</v>
      </c>
      <c r="F12" s="56" t="s">
        <v>328</v>
      </c>
      <c r="G12" s="56" t="s">
        <v>236</v>
      </c>
      <c r="H12" s="56" t="s">
        <v>233</v>
      </c>
      <c r="I12" s="56" t="s">
        <v>195</v>
      </c>
      <c r="J12" s="56" t="s">
        <v>115</v>
      </c>
      <c r="K12" s="56"/>
      <c r="L12" s="56"/>
      <c r="M12" s="56"/>
      <c r="N12" s="56" t="s">
        <v>16</v>
      </c>
      <c r="O12" s="61" t="s">
        <v>207</v>
      </c>
      <c r="P12" s="56" t="s">
        <v>196</v>
      </c>
      <c r="Q12" s="56">
        <v>4000</v>
      </c>
      <c r="R12" s="56"/>
      <c r="S12" s="56"/>
      <c r="T12" s="56"/>
      <c r="U12" s="56"/>
      <c r="V12" s="56"/>
      <c r="W12" s="56"/>
      <c r="X12" s="56"/>
      <c r="Y12" s="56">
        <v>500</v>
      </c>
      <c r="Z12" s="56">
        <v>1000</v>
      </c>
      <c r="AA12" s="56">
        <v>1000</v>
      </c>
      <c r="AB12" s="56">
        <v>1000</v>
      </c>
      <c r="AC12" s="56">
        <v>500</v>
      </c>
    </row>
    <row r="13" spans="1:29" ht="19.95" customHeight="1" x14ac:dyDescent="0.25">
      <c r="A13" s="38">
        <v>9131938013</v>
      </c>
      <c r="B13" s="56" t="s">
        <v>327</v>
      </c>
      <c r="C13" s="68" t="s">
        <v>329</v>
      </c>
      <c r="D13" s="56" t="s">
        <v>256</v>
      </c>
      <c r="E13" s="56" t="s">
        <v>247</v>
      </c>
      <c r="F13" s="56" t="s">
        <v>328</v>
      </c>
      <c r="G13" s="56" t="s">
        <v>236</v>
      </c>
      <c r="H13" s="56" t="s">
        <v>233</v>
      </c>
      <c r="I13" s="56" t="s">
        <v>195</v>
      </c>
      <c r="J13" s="56" t="s">
        <v>115</v>
      </c>
      <c r="K13" s="56"/>
      <c r="L13" s="56"/>
      <c r="M13" s="56"/>
      <c r="N13" s="56" t="s">
        <v>16</v>
      </c>
      <c r="O13" s="61" t="s">
        <v>208</v>
      </c>
      <c r="P13" s="56" t="s">
        <v>21</v>
      </c>
      <c r="Q13" s="107">
        <v>1</v>
      </c>
      <c r="R13" s="56"/>
      <c r="S13" s="56"/>
      <c r="T13" s="56"/>
      <c r="U13" s="56"/>
      <c r="V13" s="56"/>
      <c r="W13" s="56"/>
      <c r="X13" s="107">
        <v>1</v>
      </c>
      <c r="Y13" s="107">
        <v>1</v>
      </c>
      <c r="Z13" s="107">
        <v>1</v>
      </c>
      <c r="AA13" s="107">
        <v>1</v>
      </c>
      <c r="AB13" s="107">
        <v>1</v>
      </c>
      <c r="AC13" s="107">
        <v>1</v>
      </c>
    </row>
    <row r="14" spans="1:29" ht="19.95" customHeight="1" x14ac:dyDescent="0.25">
      <c r="A14" s="38">
        <v>9131938013</v>
      </c>
      <c r="B14" s="56" t="s">
        <v>327</v>
      </c>
      <c r="C14" s="68" t="s">
        <v>329</v>
      </c>
      <c r="D14" s="56" t="s">
        <v>256</v>
      </c>
      <c r="E14" s="56" t="s">
        <v>247</v>
      </c>
      <c r="F14" s="56" t="s">
        <v>328</v>
      </c>
      <c r="G14" s="56" t="s">
        <v>236</v>
      </c>
      <c r="H14" s="56" t="s">
        <v>233</v>
      </c>
      <c r="I14" s="56" t="s">
        <v>195</v>
      </c>
      <c r="J14" s="56" t="s">
        <v>115</v>
      </c>
      <c r="K14" s="56"/>
      <c r="L14" s="56"/>
      <c r="M14" s="56"/>
      <c r="N14" s="56" t="s">
        <v>16</v>
      </c>
      <c r="O14" s="61" t="s">
        <v>209</v>
      </c>
      <c r="P14" s="56" t="s">
        <v>21</v>
      </c>
      <c r="Q14" s="107">
        <v>1</v>
      </c>
      <c r="R14" s="56"/>
      <c r="S14" s="56"/>
      <c r="T14" s="56"/>
      <c r="U14" s="56"/>
      <c r="V14" s="56"/>
      <c r="W14" s="56"/>
      <c r="X14" s="107">
        <v>1</v>
      </c>
      <c r="Y14" s="107">
        <v>1</v>
      </c>
      <c r="Z14" s="107">
        <v>1</v>
      </c>
      <c r="AA14" s="107">
        <v>1</v>
      </c>
      <c r="AB14" s="107">
        <v>1</v>
      </c>
      <c r="AC14" s="107">
        <v>1</v>
      </c>
    </row>
    <row r="15" spans="1:29" ht="19.95" customHeight="1" x14ac:dyDescent="0.25">
      <c r="A15" s="38">
        <v>9131938013</v>
      </c>
      <c r="B15" s="56" t="s">
        <v>327</v>
      </c>
      <c r="C15" s="68" t="s">
        <v>329</v>
      </c>
      <c r="D15" s="56" t="s">
        <v>256</v>
      </c>
      <c r="E15" s="56" t="s">
        <v>247</v>
      </c>
      <c r="F15" s="56" t="s">
        <v>328</v>
      </c>
      <c r="G15" s="56" t="s">
        <v>236</v>
      </c>
      <c r="H15" s="56" t="s">
        <v>233</v>
      </c>
      <c r="I15" s="56" t="s">
        <v>195</v>
      </c>
      <c r="J15" s="56" t="s">
        <v>115</v>
      </c>
      <c r="K15" s="56"/>
      <c r="L15" s="56"/>
      <c r="M15" s="56"/>
      <c r="N15" s="56" t="s">
        <v>16</v>
      </c>
      <c r="O15" s="61" t="s">
        <v>210</v>
      </c>
      <c r="P15" s="56" t="s">
        <v>21</v>
      </c>
      <c r="Q15" s="107">
        <v>1</v>
      </c>
      <c r="R15" s="56"/>
      <c r="S15" s="56"/>
      <c r="T15" s="56"/>
      <c r="U15" s="56"/>
      <c r="V15" s="56"/>
      <c r="W15" s="56"/>
      <c r="X15" s="107">
        <v>1</v>
      </c>
      <c r="Y15" s="107">
        <v>1</v>
      </c>
      <c r="Z15" s="107">
        <v>1</v>
      </c>
      <c r="AA15" s="107">
        <v>1</v>
      </c>
      <c r="AB15" s="107">
        <v>1</v>
      </c>
      <c r="AC15" s="107">
        <v>1</v>
      </c>
    </row>
    <row r="16" spans="1:29" ht="19.95" customHeight="1" x14ac:dyDescent="0.25">
      <c r="A16" s="38">
        <v>9131938013</v>
      </c>
      <c r="B16" s="56" t="s">
        <v>327</v>
      </c>
      <c r="C16" s="68" t="s">
        <v>329</v>
      </c>
      <c r="D16" s="56" t="s">
        <v>256</v>
      </c>
      <c r="E16" s="56" t="s">
        <v>247</v>
      </c>
      <c r="F16" s="56" t="s">
        <v>328</v>
      </c>
      <c r="G16" s="56" t="s">
        <v>236</v>
      </c>
      <c r="H16" s="56" t="s">
        <v>233</v>
      </c>
      <c r="I16" s="56" t="s">
        <v>195</v>
      </c>
      <c r="J16" s="56" t="s">
        <v>115</v>
      </c>
      <c r="K16" s="56"/>
      <c r="L16" s="56"/>
      <c r="M16" s="56"/>
      <c r="N16" s="56" t="s">
        <v>16</v>
      </c>
      <c r="O16" s="61" t="s">
        <v>211</v>
      </c>
      <c r="P16" s="56" t="s">
        <v>196</v>
      </c>
      <c r="Q16" s="56">
        <v>4000</v>
      </c>
      <c r="R16" s="56"/>
      <c r="S16" s="56"/>
      <c r="T16" s="56"/>
      <c r="U16" s="56"/>
      <c r="V16" s="56"/>
      <c r="W16" s="56"/>
      <c r="X16" s="56"/>
      <c r="Y16" s="56">
        <v>500</v>
      </c>
      <c r="Z16" s="56">
        <v>1000</v>
      </c>
      <c r="AA16" s="56">
        <v>1000</v>
      </c>
      <c r="AB16" s="56">
        <v>1000</v>
      </c>
      <c r="AC16" s="56">
        <v>500</v>
      </c>
    </row>
    <row r="17" spans="1:29" ht="19.95" customHeight="1" x14ac:dyDescent="0.25">
      <c r="A17" s="38">
        <v>9131938013</v>
      </c>
      <c r="B17" s="56" t="s">
        <v>327</v>
      </c>
      <c r="C17" s="68" t="s">
        <v>329</v>
      </c>
      <c r="D17" s="56" t="s">
        <v>256</v>
      </c>
      <c r="E17" s="56" t="s">
        <v>247</v>
      </c>
      <c r="F17" s="56" t="s">
        <v>328</v>
      </c>
      <c r="G17" s="56" t="s">
        <v>236</v>
      </c>
      <c r="H17" s="56" t="s">
        <v>233</v>
      </c>
      <c r="I17" s="56" t="s">
        <v>195</v>
      </c>
      <c r="J17" s="56" t="s">
        <v>115</v>
      </c>
      <c r="K17" s="56"/>
      <c r="L17" s="56"/>
      <c r="M17" s="56"/>
      <c r="N17" s="56" t="s">
        <v>16</v>
      </c>
      <c r="O17" s="61" t="s">
        <v>212</v>
      </c>
      <c r="P17" s="56" t="s">
        <v>196</v>
      </c>
      <c r="Q17" s="56">
        <v>4000</v>
      </c>
      <c r="R17" s="56"/>
      <c r="S17" s="56"/>
      <c r="T17" s="56"/>
      <c r="U17" s="56"/>
      <c r="V17" s="56"/>
      <c r="W17" s="56"/>
      <c r="X17" s="56"/>
      <c r="Y17" s="56">
        <v>500</v>
      </c>
      <c r="Z17" s="56">
        <v>1000</v>
      </c>
      <c r="AA17" s="56">
        <v>1000</v>
      </c>
      <c r="AB17" s="56">
        <v>1000</v>
      </c>
      <c r="AC17" s="56">
        <v>500</v>
      </c>
    </row>
    <row r="18" spans="1:29" ht="19.95" customHeight="1" x14ac:dyDescent="0.25">
      <c r="A18" s="38">
        <v>9131938013</v>
      </c>
      <c r="B18" s="56" t="s">
        <v>327</v>
      </c>
      <c r="C18" s="68" t="s">
        <v>329</v>
      </c>
      <c r="D18" s="56" t="s">
        <v>256</v>
      </c>
      <c r="E18" s="56" t="s">
        <v>247</v>
      </c>
      <c r="F18" s="56" t="s">
        <v>328</v>
      </c>
      <c r="G18" s="56" t="s">
        <v>236</v>
      </c>
      <c r="H18" s="56" t="s">
        <v>233</v>
      </c>
      <c r="I18" s="56" t="s">
        <v>195</v>
      </c>
      <c r="J18" s="56" t="s">
        <v>115</v>
      </c>
      <c r="K18" s="56"/>
      <c r="L18" s="56"/>
      <c r="M18" s="56"/>
      <c r="N18" s="56" t="s">
        <v>16</v>
      </c>
      <c r="O18" s="61" t="s">
        <v>213</v>
      </c>
      <c r="P18" s="56" t="s">
        <v>196</v>
      </c>
      <c r="Q18" s="56">
        <v>4000</v>
      </c>
      <c r="R18" s="56"/>
      <c r="S18" s="56"/>
      <c r="T18" s="56"/>
      <c r="U18" s="56"/>
      <c r="V18" s="56"/>
      <c r="W18" s="56"/>
      <c r="X18" s="56"/>
      <c r="Y18" s="56">
        <v>500</v>
      </c>
      <c r="Z18" s="56">
        <v>1000</v>
      </c>
      <c r="AA18" s="56">
        <v>1000</v>
      </c>
      <c r="AB18" s="56">
        <v>1000</v>
      </c>
      <c r="AC18" s="56">
        <v>500</v>
      </c>
    </row>
    <row r="19" spans="1:29" ht="19.95" customHeight="1" x14ac:dyDescent="0.25">
      <c r="A19" s="38">
        <v>9131938013</v>
      </c>
      <c r="B19" s="56" t="s">
        <v>327</v>
      </c>
      <c r="C19" s="68" t="s">
        <v>329</v>
      </c>
      <c r="D19" s="56" t="s">
        <v>256</v>
      </c>
      <c r="E19" s="56" t="s">
        <v>247</v>
      </c>
      <c r="F19" s="56" t="s">
        <v>328</v>
      </c>
      <c r="G19" s="56" t="s">
        <v>236</v>
      </c>
      <c r="H19" s="56" t="s">
        <v>233</v>
      </c>
      <c r="I19" s="56" t="s">
        <v>195</v>
      </c>
      <c r="J19" s="56" t="s">
        <v>115</v>
      </c>
      <c r="K19" s="56"/>
      <c r="L19" s="56"/>
      <c r="M19" s="56"/>
      <c r="N19" s="56" t="s">
        <v>16</v>
      </c>
      <c r="O19" s="61" t="s">
        <v>214</v>
      </c>
      <c r="P19" s="56" t="s">
        <v>196</v>
      </c>
      <c r="Q19" s="56">
        <v>4000</v>
      </c>
      <c r="R19" s="56"/>
      <c r="S19" s="56"/>
      <c r="T19" s="56"/>
      <c r="U19" s="56"/>
      <c r="V19" s="56"/>
      <c r="W19" s="56"/>
      <c r="X19" s="56"/>
      <c r="Y19" s="56">
        <v>100</v>
      </c>
      <c r="Z19" s="56">
        <v>800</v>
      </c>
      <c r="AA19" s="56">
        <v>1200</v>
      </c>
      <c r="AB19" s="56">
        <v>1000</v>
      </c>
      <c r="AC19" s="56">
        <v>900</v>
      </c>
    </row>
    <row r="20" spans="1:29" ht="19.95" customHeight="1" x14ac:dyDescent="0.25">
      <c r="A20" s="38">
        <v>9131938013</v>
      </c>
      <c r="B20" s="56" t="s">
        <v>327</v>
      </c>
      <c r="C20" s="68" t="s">
        <v>329</v>
      </c>
      <c r="D20" s="56" t="s">
        <v>256</v>
      </c>
      <c r="E20" s="56" t="s">
        <v>247</v>
      </c>
      <c r="F20" s="56" t="s">
        <v>328</v>
      </c>
      <c r="G20" s="56" t="s">
        <v>236</v>
      </c>
      <c r="H20" s="56" t="s">
        <v>233</v>
      </c>
      <c r="I20" s="56" t="s">
        <v>195</v>
      </c>
      <c r="J20" s="56" t="s">
        <v>115</v>
      </c>
      <c r="K20" s="56"/>
      <c r="L20" s="56"/>
      <c r="M20" s="56"/>
      <c r="N20" s="56" t="s">
        <v>16</v>
      </c>
      <c r="O20" s="61" t="s">
        <v>215</v>
      </c>
      <c r="P20" s="56" t="s">
        <v>196</v>
      </c>
      <c r="Q20" s="56">
        <v>1319</v>
      </c>
      <c r="R20" s="56"/>
      <c r="S20" s="56"/>
      <c r="T20" s="56"/>
      <c r="U20" s="56"/>
      <c r="V20" s="56"/>
      <c r="W20" s="56"/>
      <c r="X20" s="56"/>
      <c r="Y20" s="56">
        <v>32</v>
      </c>
      <c r="Z20" s="56">
        <v>264</v>
      </c>
      <c r="AA20" s="56">
        <v>396</v>
      </c>
      <c r="AB20" s="56">
        <v>330</v>
      </c>
      <c r="AC20" s="56">
        <v>297</v>
      </c>
    </row>
    <row r="21" spans="1:29" ht="19.95" customHeight="1" x14ac:dyDescent="0.25">
      <c r="A21" s="38">
        <v>9131938013</v>
      </c>
      <c r="B21" s="56" t="s">
        <v>327</v>
      </c>
      <c r="C21" s="68" t="s">
        <v>329</v>
      </c>
      <c r="D21" s="56" t="s">
        <v>256</v>
      </c>
      <c r="E21" s="56" t="s">
        <v>247</v>
      </c>
      <c r="F21" s="56" t="s">
        <v>328</v>
      </c>
      <c r="G21" s="56" t="s">
        <v>236</v>
      </c>
      <c r="H21" s="56" t="s">
        <v>233</v>
      </c>
      <c r="I21" s="56" t="s">
        <v>195</v>
      </c>
      <c r="J21" s="56" t="s">
        <v>115</v>
      </c>
      <c r="K21" s="56"/>
      <c r="L21" s="56"/>
      <c r="M21" s="56"/>
      <c r="N21" s="56" t="s">
        <v>16</v>
      </c>
      <c r="O21" s="61" t="s">
        <v>216</v>
      </c>
      <c r="P21" s="56" t="s">
        <v>21</v>
      </c>
      <c r="Q21" s="107">
        <v>1</v>
      </c>
      <c r="R21" s="56"/>
      <c r="S21" s="56"/>
      <c r="T21" s="56"/>
      <c r="U21" s="56"/>
      <c r="V21" s="56"/>
      <c r="W21" s="56"/>
      <c r="X21" s="56"/>
      <c r="Y21" s="56">
        <v>32</v>
      </c>
      <c r="Z21" s="56">
        <v>33</v>
      </c>
      <c r="AA21" s="56">
        <v>33</v>
      </c>
      <c r="AB21" s="56">
        <v>33</v>
      </c>
      <c r="AC21" s="56">
        <v>33</v>
      </c>
    </row>
    <row r="22" spans="1:29" ht="19.95" customHeight="1" x14ac:dyDescent="0.25">
      <c r="A22" s="38">
        <v>9131938013</v>
      </c>
      <c r="B22" s="56" t="s">
        <v>327</v>
      </c>
      <c r="C22" s="68" t="s">
        <v>329</v>
      </c>
      <c r="D22" s="56" t="s">
        <v>256</v>
      </c>
      <c r="E22" s="56" t="s">
        <v>247</v>
      </c>
      <c r="F22" s="56" t="s">
        <v>328</v>
      </c>
      <c r="G22" s="56" t="s">
        <v>236</v>
      </c>
      <c r="H22" s="56" t="s">
        <v>233</v>
      </c>
      <c r="I22" s="56" t="s">
        <v>195</v>
      </c>
      <c r="J22" s="56" t="s">
        <v>115</v>
      </c>
      <c r="K22" s="56"/>
      <c r="L22" s="56"/>
      <c r="M22" s="56"/>
      <c r="N22" s="56" t="s">
        <v>16</v>
      </c>
      <c r="O22" s="61" t="s">
        <v>217</v>
      </c>
      <c r="P22" s="56" t="s">
        <v>21</v>
      </c>
      <c r="Q22" s="107">
        <v>1</v>
      </c>
      <c r="R22" s="56"/>
      <c r="S22" s="56"/>
      <c r="T22" s="56"/>
      <c r="U22" s="56"/>
      <c r="V22" s="56"/>
      <c r="W22" s="56"/>
      <c r="X22" s="56"/>
      <c r="Y22" s="56">
        <v>9</v>
      </c>
      <c r="Z22" s="56">
        <v>9</v>
      </c>
      <c r="AA22" s="56">
        <v>9</v>
      </c>
      <c r="AB22" s="56">
        <v>9</v>
      </c>
      <c r="AC22" s="56">
        <v>9</v>
      </c>
    </row>
    <row r="23" spans="1:29" ht="19.95" customHeight="1" x14ac:dyDescent="0.25">
      <c r="A23" s="38">
        <v>9131938013</v>
      </c>
      <c r="B23" s="56" t="s">
        <v>327</v>
      </c>
      <c r="C23" s="68" t="s">
        <v>329</v>
      </c>
      <c r="D23" s="56" t="s">
        <v>256</v>
      </c>
      <c r="E23" s="56" t="s">
        <v>247</v>
      </c>
      <c r="F23" s="56" t="s">
        <v>328</v>
      </c>
      <c r="G23" s="56" t="s">
        <v>236</v>
      </c>
      <c r="H23" s="56" t="s">
        <v>233</v>
      </c>
      <c r="I23" s="56" t="s">
        <v>195</v>
      </c>
      <c r="J23" s="56" t="s">
        <v>115</v>
      </c>
      <c r="K23" s="56"/>
      <c r="L23" s="56"/>
      <c r="M23" s="56"/>
      <c r="N23" s="56" t="s">
        <v>16</v>
      </c>
      <c r="O23" s="61" t="s">
        <v>218</v>
      </c>
      <c r="P23" s="56" t="s">
        <v>21</v>
      </c>
      <c r="Q23" s="107">
        <v>1</v>
      </c>
      <c r="R23" s="56"/>
      <c r="S23" s="56"/>
      <c r="T23" s="56"/>
      <c r="U23" s="56"/>
      <c r="V23" s="56"/>
      <c r="W23" s="56"/>
      <c r="X23" s="56"/>
      <c r="Y23" s="56">
        <v>64</v>
      </c>
      <c r="Z23" s="56">
        <v>63.5</v>
      </c>
      <c r="AA23" s="56">
        <v>63.5</v>
      </c>
      <c r="AB23" s="56">
        <v>63.5</v>
      </c>
      <c r="AC23" s="56">
        <v>63.5</v>
      </c>
    </row>
    <row r="24" spans="1:29" ht="19.95" customHeight="1" x14ac:dyDescent="0.25">
      <c r="A24" s="38">
        <v>9131938013</v>
      </c>
      <c r="B24" s="56" t="s">
        <v>327</v>
      </c>
      <c r="C24" s="68" t="s">
        <v>329</v>
      </c>
      <c r="D24" s="56" t="s">
        <v>256</v>
      </c>
      <c r="E24" s="56" t="s">
        <v>247</v>
      </c>
      <c r="F24" s="56" t="s">
        <v>328</v>
      </c>
      <c r="G24" s="56" t="s">
        <v>236</v>
      </c>
      <c r="H24" s="56" t="s">
        <v>233</v>
      </c>
      <c r="I24" s="56" t="s">
        <v>195</v>
      </c>
      <c r="J24" s="56" t="s">
        <v>115</v>
      </c>
      <c r="K24" s="56"/>
      <c r="L24" s="56"/>
      <c r="M24" s="56"/>
      <c r="N24" s="56" t="s">
        <v>16</v>
      </c>
      <c r="O24" s="61" t="s">
        <v>219</v>
      </c>
      <c r="P24" s="56" t="s">
        <v>21</v>
      </c>
      <c r="Q24" s="107">
        <v>1</v>
      </c>
      <c r="R24" s="56"/>
      <c r="S24" s="56"/>
      <c r="T24" s="56"/>
      <c r="U24" s="56"/>
      <c r="V24" s="56"/>
      <c r="W24" s="56"/>
      <c r="X24" s="56"/>
      <c r="Y24" s="107">
        <v>1</v>
      </c>
      <c r="Z24" s="107">
        <v>1</v>
      </c>
      <c r="AA24" s="107">
        <v>1</v>
      </c>
      <c r="AB24" s="107">
        <v>1</v>
      </c>
      <c r="AC24" s="107">
        <v>1</v>
      </c>
    </row>
    <row r="25" spans="1:29" ht="19.95" customHeight="1" x14ac:dyDescent="0.25">
      <c r="A25" s="38">
        <v>9131938013</v>
      </c>
      <c r="B25" s="56" t="s">
        <v>327</v>
      </c>
      <c r="C25" s="68" t="s">
        <v>329</v>
      </c>
      <c r="D25" s="56" t="s">
        <v>256</v>
      </c>
      <c r="E25" s="56" t="s">
        <v>247</v>
      </c>
      <c r="F25" s="56" t="s">
        <v>328</v>
      </c>
      <c r="G25" s="56" t="s">
        <v>236</v>
      </c>
      <c r="H25" s="56" t="s">
        <v>233</v>
      </c>
      <c r="I25" s="56" t="s">
        <v>195</v>
      </c>
      <c r="J25" s="56" t="s">
        <v>115</v>
      </c>
      <c r="K25" s="56"/>
      <c r="L25" s="56"/>
      <c r="M25" s="56"/>
      <c r="N25" s="56" t="s">
        <v>16</v>
      </c>
      <c r="O25" s="61" t="s">
        <v>220</v>
      </c>
      <c r="P25" s="56" t="s">
        <v>18</v>
      </c>
      <c r="Q25" s="56">
        <v>8000</v>
      </c>
      <c r="R25" s="56"/>
      <c r="S25" s="56"/>
      <c r="T25" s="56"/>
      <c r="U25" s="56"/>
      <c r="V25" s="56"/>
      <c r="W25" s="56"/>
      <c r="X25" s="56"/>
      <c r="Y25" s="56">
        <v>200</v>
      </c>
      <c r="Z25" s="56">
        <v>1600</v>
      </c>
      <c r="AA25" s="56">
        <v>2400</v>
      </c>
      <c r="AB25" s="56">
        <v>2000</v>
      </c>
      <c r="AC25" s="56">
        <v>1800</v>
      </c>
    </row>
    <row r="26" spans="1:29" ht="19.95" customHeight="1" x14ac:dyDescent="0.25">
      <c r="A26" s="38">
        <v>9131938013</v>
      </c>
      <c r="B26" s="56" t="s">
        <v>327</v>
      </c>
      <c r="C26" s="68" t="s">
        <v>329</v>
      </c>
      <c r="D26" s="56" t="s">
        <v>256</v>
      </c>
      <c r="E26" s="56" t="s">
        <v>247</v>
      </c>
      <c r="F26" s="56" t="s">
        <v>328</v>
      </c>
      <c r="G26" s="56" t="s">
        <v>236</v>
      </c>
      <c r="H26" s="56" t="s">
        <v>233</v>
      </c>
      <c r="I26" s="56" t="s">
        <v>195</v>
      </c>
      <c r="J26" s="56" t="s">
        <v>115</v>
      </c>
      <c r="K26" s="56"/>
      <c r="L26" s="56"/>
      <c r="M26" s="56"/>
      <c r="N26" s="56" t="s">
        <v>16</v>
      </c>
      <c r="O26" s="61" t="s">
        <v>221</v>
      </c>
      <c r="P26" s="56" t="s">
        <v>18</v>
      </c>
      <c r="Q26" s="56">
        <v>53</v>
      </c>
      <c r="R26" s="56"/>
      <c r="S26" s="56"/>
      <c r="T26" s="56"/>
      <c r="U26" s="56"/>
      <c r="V26" s="56"/>
      <c r="W26" s="56"/>
      <c r="X26" s="56"/>
      <c r="Y26" s="56">
        <v>2</v>
      </c>
      <c r="Z26" s="56">
        <v>10</v>
      </c>
      <c r="AA26" s="56">
        <v>16</v>
      </c>
      <c r="AB26" s="56">
        <v>13</v>
      </c>
      <c r="AC26" s="56">
        <v>12</v>
      </c>
    </row>
    <row r="27" spans="1:29" ht="19.95" customHeight="1" x14ac:dyDescent="0.25">
      <c r="A27" s="38">
        <v>9131938013</v>
      </c>
      <c r="B27" s="56" t="s">
        <v>327</v>
      </c>
      <c r="C27" s="68" t="s">
        <v>329</v>
      </c>
      <c r="D27" s="56" t="s">
        <v>256</v>
      </c>
      <c r="E27" s="56" t="s">
        <v>247</v>
      </c>
      <c r="F27" s="56" t="s">
        <v>328</v>
      </c>
      <c r="G27" s="56" t="s">
        <v>236</v>
      </c>
      <c r="H27" s="56" t="s">
        <v>233</v>
      </c>
      <c r="I27" s="56" t="s">
        <v>195</v>
      </c>
      <c r="J27" s="56" t="s">
        <v>115</v>
      </c>
      <c r="K27" s="56"/>
      <c r="L27" s="56"/>
      <c r="M27" s="56"/>
      <c r="N27" s="56" t="s">
        <v>16</v>
      </c>
      <c r="O27" s="61" t="s">
        <v>222</v>
      </c>
      <c r="P27" s="56" t="s">
        <v>18</v>
      </c>
      <c r="Q27" s="56">
        <v>6500</v>
      </c>
      <c r="R27" s="56"/>
      <c r="S27" s="56"/>
      <c r="T27" s="56"/>
      <c r="U27" s="56"/>
      <c r="V27" s="56"/>
      <c r="W27" s="56"/>
      <c r="X27" s="56"/>
      <c r="Y27" s="56"/>
      <c r="Z27" s="56">
        <v>1000</v>
      </c>
      <c r="AA27" s="56">
        <v>2000</v>
      </c>
      <c r="AB27" s="56">
        <v>1500</v>
      </c>
      <c r="AC27" s="56">
        <v>2000</v>
      </c>
    </row>
    <row r="28" spans="1:29" ht="19.95" customHeight="1" x14ac:dyDescent="0.25">
      <c r="A28" s="38">
        <v>9131938013</v>
      </c>
      <c r="B28" s="56" t="s">
        <v>327</v>
      </c>
      <c r="C28" s="68" t="s">
        <v>329</v>
      </c>
      <c r="D28" s="56" t="s">
        <v>256</v>
      </c>
      <c r="E28" s="56" t="s">
        <v>247</v>
      </c>
      <c r="F28" s="56" t="s">
        <v>328</v>
      </c>
      <c r="G28" s="56" t="s">
        <v>236</v>
      </c>
      <c r="H28" s="56" t="s">
        <v>233</v>
      </c>
      <c r="I28" s="56" t="s">
        <v>195</v>
      </c>
      <c r="J28" s="56" t="s">
        <v>115</v>
      </c>
      <c r="K28" s="56"/>
      <c r="L28" s="56"/>
      <c r="M28" s="56"/>
      <c r="N28" s="56" t="s">
        <v>16</v>
      </c>
      <c r="O28" s="61" t="s">
        <v>223</v>
      </c>
      <c r="P28" s="56" t="s">
        <v>196</v>
      </c>
      <c r="Q28" s="56">
        <v>1072</v>
      </c>
      <c r="R28" s="56"/>
      <c r="S28" s="56"/>
      <c r="T28" s="56"/>
      <c r="U28" s="56"/>
      <c r="V28" s="56"/>
      <c r="W28" s="56"/>
      <c r="X28" s="56"/>
      <c r="Y28" s="56"/>
      <c r="Z28" s="56">
        <v>165</v>
      </c>
      <c r="AA28" s="56">
        <v>330</v>
      </c>
      <c r="AB28" s="56">
        <v>247</v>
      </c>
      <c r="AC28" s="56">
        <v>330</v>
      </c>
    </row>
    <row r="29" spans="1:29" ht="19.95" customHeight="1" x14ac:dyDescent="0.25">
      <c r="A29" s="38">
        <v>9131938013</v>
      </c>
      <c r="B29" s="56" t="s">
        <v>327</v>
      </c>
      <c r="C29" s="68" t="s">
        <v>329</v>
      </c>
      <c r="D29" s="56" t="s">
        <v>256</v>
      </c>
      <c r="E29" s="56" t="s">
        <v>247</v>
      </c>
      <c r="F29" s="56" t="s">
        <v>328</v>
      </c>
      <c r="G29" s="56" t="s">
        <v>236</v>
      </c>
      <c r="H29" s="56" t="s">
        <v>233</v>
      </c>
      <c r="I29" s="56" t="s">
        <v>195</v>
      </c>
      <c r="J29" s="56" t="s">
        <v>115</v>
      </c>
      <c r="K29" s="56"/>
      <c r="L29" s="56"/>
      <c r="M29" s="56"/>
      <c r="N29" s="56" t="s">
        <v>16</v>
      </c>
      <c r="O29" s="61" t="s">
        <v>224</v>
      </c>
      <c r="P29" s="56" t="s">
        <v>18</v>
      </c>
      <c r="Q29" s="56">
        <v>0</v>
      </c>
      <c r="R29" s="56"/>
      <c r="S29" s="56"/>
      <c r="T29" s="56"/>
      <c r="U29" s="56"/>
      <c r="V29" s="56"/>
      <c r="W29" s="56"/>
      <c r="X29" s="56"/>
      <c r="Y29" s="56"/>
      <c r="Z29" s="56"/>
      <c r="AA29" s="56"/>
      <c r="AB29" s="56"/>
      <c r="AC29" s="56"/>
    </row>
    <row r="30" spans="1:29" ht="19.95" customHeight="1" x14ac:dyDescent="0.25">
      <c r="A30" s="38">
        <v>9131938013</v>
      </c>
      <c r="B30" s="56" t="s">
        <v>327</v>
      </c>
      <c r="C30" s="68" t="s">
        <v>329</v>
      </c>
      <c r="D30" s="56" t="s">
        <v>256</v>
      </c>
      <c r="E30" s="56" t="s">
        <v>247</v>
      </c>
      <c r="F30" s="56" t="s">
        <v>328</v>
      </c>
      <c r="G30" s="56" t="s">
        <v>236</v>
      </c>
      <c r="H30" s="56" t="s">
        <v>233</v>
      </c>
      <c r="I30" s="56" t="s">
        <v>195</v>
      </c>
      <c r="J30" s="56" t="s">
        <v>115</v>
      </c>
      <c r="K30" s="56"/>
      <c r="L30" s="56"/>
      <c r="M30" s="56"/>
      <c r="N30" s="56" t="s">
        <v>16</v>
      </c>
      <c r="O30" s="61" t="s">
        <v>226</v>
      </c>
      <c r="P30" s="56" t="s">
        <v>18</v>
      </c>
      <c r="Q30" s="56">
        <v>4</v>
      </c>
      <c r="R30" s="56"/>
      <c r="S30" s="56"/>
      <c r="T30" s="56"/>
      <c r="U30" s="56"/>
      <c r="V30" s="56"/>
      <c r="W30" s="56"/>
      <c r="X30" s="56"/>
      <c r="Y30" s="56"/>
      <c r="Z30" s="56">
        <v>1</v>
      </c>
      <c r="AA30" s="56">
        <v>1</v>
      </c>
      <c r="AB30" s="56">
        <v>1</v>
      </c>
      <c r="AC30" s="56">
        <v>1</v>
      </c>
    </row>
    <row r="31" spans="1:29" ht="19.95" customHeight="1" x14ac:dyDescent="0.25">
      <c r="A31" s="38">
        <v>9131938013</v>
      </c>
      <c r="B31" s="56" t="s">
        <v>327</v>
      </c>
      <c r="C31" s="68" t="s">
        <v>329</v>
      </c>
      <c r="D31" s="56" t="s">
        <v>256</v>
      </c>
      <c r="E31" s="56" t="s">
        <v>247</v>
      </c>
      <c r="F31" s="56" t="s">
        <v>328</v>
      </c>
      <c r="G31" s="56" t="s">
        <v>236</v>
      </c>
      <c r="H31" s="56" t="s">
        <v>233</v>
      </c>
      <c r="I31" s="56" t="s">
        <v>195</v>
      </c>
      <c r="J31" s="56" t="s">
        <v>115</v>
      </c>
      <c r="K31" s="56"/>
      <c r="L31" s="56"/>
      <c r="M31" s="56"/>
      <c r="N31" s="56" t="s">
        <v>16</v>
      </c>
      <c r="O31" s="61" t="s">
        <v>227</v>
      </c>
      <c r="P31" s="56" t="s">
        <v>18</v>
      </c>
      <c r="Q31" s="56">
        <v>53</v>
      </c>
      <c r="R31" s="56"/>
      <c r="S31" s="56"/>
      <c r="T31" s="56"/>
      <c r="U31" s="56"/>
      <c r="V31" s="56"/>
      <c r="W31" s="56"/>
      <c r="X31" s="56"/>
      <c r="Y31" s="56">
        <v>2</v>
      </c>
      <c r="Z31" s="56">
        <v>10</v>
      </c>
      <c r="AA31" s="56">
        <v>16</v>
      </c>
      <c r="AB31" s="56">
        <v>13</v>
      </c>
      <c r="AC31" s="56">
        <v>12</v>
      </c>
    </row>
    <row r="32" spans="1:29" ht="19.95" customHeight="1" x14ac:dyDescent="0.25">
      <c r="A32" s="38">
        <v>9131938013</v>
      </c>
      <c r="B32" s="56" t="s">
        <v>327</v>
      </c>
      <c r="C32" s="68" t="s">
        <v>329</v>
      </c>
      <c r="D32" s="56" t="s">
        <v>256</v>
      </c>
      <c r="E32" s="56" t="s">
        <v>247</v>
      </c>
      <c r="F32" s="56" t="s">
        <v>328</v>
      </c>
      <c r="G32" s="56" t="s">
        <v>236</v>
      </c>
      <c r="H32" s="56" t="s">
        <v>233</v>
      </c>
      <c r="I32" s="56" t="s">
        <v>195</v>
      </c>
      <c r="J32" s="56" t="s">
        <v>115</v>
      </c>
      <c r="K32" s="56"/>
      <c r="L32" s="56"/>
      <c r="M32" s="56"/>
      <c r="N32" s="56" t="s">
        <v>16</v>
      </c>
      <c r="O32" s="61" t="s">
        <v>228</v>
      </c>
      <c r="P32" s="56" t="s">
        <v>18</v>
      </c>
      <c r="Q32" s="56">
        <v>0</v>
      </c>
      <c r="R32" s="56"/>
      <c r="S32" s="56"/>
      <c r="T32" s="56"/>
      <c r="U32" s="56"/>
      <c r="V32" s="56"/>
      <c r="W32" s="56"/>
      <c r="X32" s="56"/>
      <c r="Y32" s="56"/>
      <c r="Z32" s="56"/>
      <c r="AA32" s="56"/>
      <c r="AB32" s="56"/>
      <c r="AC32" s="56"/>
    </row>
    <row r="33" spans="1:29" ht="19.95" customHeight="1" x14ac:dyDescent="0.25">
      <c r="A33" s="38">
        <v>9131938013</v>
      </c>
      <c r="B33" s="56" t="s">
        <v>327</v>
      </c>
      <c r="C33" s="68" t="s">
        <v>329</v>
      </c>
      <c r="D33" s="56" t="s">
        <v>256</v>
      </c>
      <c r="E33" s="56" t="s">
        <v>247</v>
      </c>
      <c r="F33" s="56" t="s">
        <v>328</v>
      </c>
      <c r="G33" s="56" t="s">
        <v>236</v>
      </c>
      <c r="H33" s="56" t="s">
        <v>233</v>
      </c>
      <c r="I33" s="56" t="s">
        <v>195</v>
      </c>
      <c r="J33" s="56" t="s">
        <v>115</v>
      </c>
      <c r="K33" s="56"/>
      <c r="L33" s="56"/>
      <c r="M33" s="56"/>
      <c r="N33" s="56" t="s">
        <v>16</v>
      </c>
      <c r="O33" s="61" t="s">
        <v>326</v>
      </c>
      <c r="P33" s="56" t="s">
        <v>21</v>
      </c>
      <c r="Q33" s="107">
        <v>1</v>
      </c>
      <c r="R33" s="107">
        <v>1</v>
      </c>
      <c r="S33" s="107">
        <v>1</v>
      </c>
      <c r="T33" s="107">
        <v>1</v>
      </c>
      <c r="U33" s="107">
        <v>1</v>
      </c>
      <c r="V33" s="107">
        <v>1</v>
      </c>
      <c r="W33" s="56"/>
      <c r="X33" s="56"/>
      <c r="Y33" s="56"/>
      <c r="Z33" s="56"/>
      <c r="AA33" s="56"/>
      <c r="AB33" s="56"/>
      <c r="AC33" s="56"/>
    </row>
    <row r="34" spans="1:29" ht="19.95" customHeight="1" x14ac:dyDescent="0.25">
      <c r="A34" s="38">
        <v>9131938013</v>
      </c>
      <c r="B34" s="56" t="s">
        <v>327</v>
      </c>
      <c r="C34" s="68" t="s">
        <v>329</v>
      </c>
      <c r="D34" s="56" t="s">
        <v>256</v>
      </c>
      <c r="E34" s="56" t="s">
        <v>247</v>
      </c>
      <c r="F34" s="56" t="s">
        <v>328</v>
      </c>
      <c r="G34" s="56" t="s">
        <v>236</v>
      </c>
      <c r="H34" s="56" t="s">
        <v>233</v>
      </c>
      <c r="I34" s="56" t="s">
        <v>195</v>
      </c>
      <c r="J34" s="56" t="s">
        <v>115</v>
      </c>
      <c r="K34" s="56"/>
      <c r="L34" s="56"/>
      <c r="M34" s="56"/>
      <c r="N34" s="56" t="s">
        <v>16</v>
      </c>
      <c r="O34" s="61" t="s">
        <v>243</v>
      </c>
      <c r="P34" s="56" t="s">
        <v>21</v>
      </c>
      <c r="Q34" s="107">
        <v>1</v>
      </c>
      <c r="R34" s="107">
        <v>1</v>
      </c>
      <c r="S34" s="107">
        <v>1</v>
      </c>
      <c r="T34" s="107">
        <v>1</v>
      </c>
      <c r="U34" s="107">
        <v>1</v>
      </c>
      <c r="V34" s="107">
        <v>1</v>
      </c>
      <c r="W34" s="56"/>
      <c r="X34" s="56"/>
      <c r="Y34" s="56"/>
      <c r="Z34" s="56"/>
      <c r="AA34" s="56"/>
      <c r="AB34" s="56"/>
      <c r="AC34" s="5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46BA1-0D50-4DBE-AB6B-E817A9D6BD52}">
  <dimension ref="A1:AC69"/>
  <sheetViews>
    <sheetView topLeftCell="M1" workbookViewId="0">
      <selection activeCell="P4" sqref="P4"/>
    </sheetView>
  </sheetViews>
  <sheetFormatPr defaultRowHeight="13.2" x14ac:dyDescent="0.25"/>
  <cols>
    <col min="1" max="1" width="12.109375" bestFit="1" customWidth="1"/>
    <col min="2" max="2" width="19.6640625" bestFit="1" customWidth="1"/>
    <col min="3" max="3" width="39.44140625" bestFit="1" customWidth="1"/>
    <col min="4" max="4" width="9.5546875" bestFit="1" customWidth="1"/>
    <col min="5" max="5" width="8.5546875" bestFit="1" customWidth="1"/>
    <col min="6" max="6" width="8.44140625" bestFit="1" customWidth="1"/>
    <col min="7" max="7" width="21.44140625" bestFit="1" customWidth="1"/>
    <col min="8" max="8" width="8.88671875" bestFit="1" customWidth="1"/>
    <col min="9" max="9" width="12" customWidth="1"/>
    <col min="10" max="13" width="10.88671875" bestFit="1" customWidth="1"/>
    <col min="14" max="14" width="13.33203125" bestFit="1" customWidth="1"/>
    <col min="15" max="15" width="59.5546875" customWidth="1"/>
    <col min="16" max="16" width="21.77734375" bestFit="1" customWidth="1"/>
    <col min="17" max="17" width="14.33203125" bestFit="1" customWidth="1"/>
    <col min="18" max="29" width="5.88671875" bestFit="1" customWidth="1"/>
  </cols>
  <sheetData>
    <row r="1" spans="1:29" ht="26.4" x14ac:dyDescent="0.25">
      <c r="A1" s="62" t="s">
        <v>123</v>
      </c>
      <c r="B1" s="63" t="s">
        <v>1</v>
      </c>
      <c r="C1" s="62" t="s">
        <v>2</v>
      </c>
      <c r="D1" s="63" t="s">
        <v>3</v>
      </c>
      <c r="E1" s="62" t="s">
        <v>4</v>
      </c>
      <c r="F1" s="62" t="s">
        <v>5</v>
      </c>
      <c r="G1" s="62" t="s">
        <v>6</v>
      </c>
      <c r="H1" s="62" t="s">
        <v>7</v>
      </c>
      <c r="I1" s="63" t="s">
        <v>8</v>
      </c>
      <c r="J1" s="62" t="s">
        <v>9</v>
      </c>
      <c r="K1" s="62" t="s">
        <v>10</v>
      </c>
      <c r="L1" s="62" t="s">
        <v>126</v>
      </c>
      <c r="M1" s="62" t="s">
        <v>127</v>
      </c>
      <c r="N1" s="62"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25.05" customHeight="1" x14ac:dyDescent="0.25">
      <c r="A2" s="38">
        <v>7869732368</v>
      </c>
      <c r="B2" s="56" t="s">
        <v>671</v>
      </c>
      <c r="C2" s="43" t="s">
        <v>672</v>
      </c>
      <c r="D2" s="56" t="s">
        <v>251</v>
      </c>
      <c r="E2" s="56" t="s">
        <v>234</v>
      </c>
      <c r="F2" s="56" t="s">
        <v>235</v>
      </c>
      <c r="G2" s="56" t="s">
        <v>330</v>
      </c>
      <c r="H2" s="56" t="s">
        <v>115</v>
      </c>
      <c r="I2" s="56" t="s">
        <v>106</v>
      </c>
      <c r="J2" s="56" t="s">
        <v>185</v>
      </c>
      <c r="K2" s="56" t="s">
        <v>73</v>
      </c>
      <c r="L2" s="56" t="s">
        <v>12</v>
      </c>
      <c r="M2" s="56" t="s">
        <v>125</v>
      </c>
      <c r="N2" s="56" t="s">
        <v>16</v>
      </c>
      <c r="O2" s="138" t="s">
        <v>673</v>
      </c>
      <c r="P2" s="38" t="s">
        <v>18</v>
      </c>
      <c r="Q2" s="132">
        <v>64</v>
      </c>
      <c r="R2" s="133">
        <v>64</v>
      </c>
      <c r="S2" s="133">
        <v>64</v>
      </c>
      <c r="T2" s="133">
        <v>64</v>
      </c>
      <c r="U2" s="133">
        <v>64</v>
      </c>
      <c r="V2" s="133">
        <v>64</v>
      </c>
      <c r="W2" s="133">
        <v>64</v>
      </c>
      <c r="X2" s="133">
        <v>64</v>
      </c>
      <c r="Y2" s="133">
        <v>64</v>
      </c>
      <c r="Z2" s="133">
        <v>64</v>
      </c>
      <c r="AA2" s="133">
        <v>64</v>
      </c>
      <c r="AB2" s="133">
        <v>64</v>
      </c>
      <c r="AC2" s="133">
        <v>64</v>
      </c>
    </row>
    <row r="3" spans="1:29" ht="25.05" customHeight="1" x14ac:dyDescent="0.25">
      <c r="A3" s="38">
        <v>7869732368</v>
      </c>
      <c r="B3" s="56" t="s">
        <v>671</v>
      </c>
      <c r="C3" s="43" t="s">
        <v>672</v>
      </c>
      <c r="D3" s="56" t="s">
        <v>251</v>
      </c>
      <c r="E3" s="56" t="s">
        <v>234</v>
      </c>
      <c r="F3" s="56" t="s">
        <v>235</v>
      </c>
      <c r="G3" s="56" t="s">
        <v>330</v>
      </c>
      <c r="H3" s="56" t="s">
        <v>115</v>
      </c>
      <c r="I3" s="56" t="s">
        <v>106</v>
      </c>
      <c r="J3" s="56" t="s">
        <v>185</v>
      </c>
      <c r="K3" s="56" t="s">
        <v>73</v>
      </c>
      <c r="L3" s="56" t="s">
        <v>12</v>
      </c>
      <c r="M3" s="56" t="s">
        <v>125</v>
      </c>
      <c r="N3" s="56" t="s">
        <v>16</v>
      </c>
      <c r="O3" s="138" t="s">
        <v>674</v>
      </c>
      <c r="P3" s="38" t="s">
        <v>331</v>
      </c>
      <c r="Q3" s="134">
        <v>5500</v>
      </c>
      <c r="R3" s="134">
        <v>5500</v>
      </c>
      <c r="S3" s="134">
        <v>5500</v>
      </c>
      <c r="T3" s="134">
        <v>5500</v>
      </c>
      <c r="U3" s="134">
        <v>5500</v>
      </c>
      <c r="V3" s="134">
        <v>5500</v>
      </c>
      <c r="W3" s="134">
        <v>5500</v>
      </c>
      <c r="X3" s="134">
        <v>5500</v>
      </c>
      <c r="Y3" s="134">
        <v>5500</v>
      </c>
      <c r="Z3" s="134">
        <v>5500</v>
      </c>
      <c r="AA3" s="134">
        <v>5500</v>
      </c>
      <c r="AB3" s="134">
        <v>5500</v>
      </c>
      <c r="AC3" s="134">
        <v>5500</v>
      </c>
    </row>
    <row r="4" spans="1:29" ht="25.05" customHeight="1" x14ac:dyDescent="0.25">
      <c r="A4" s="38">
        <v>7869732368</v>
      </c>
      <c r="B4" s="56" t="s">
        <v>671</v>
      </c>
      <c r="C4" s="43" t="s">
        <v>672</v>
      </c>
      <c r="D4" s="56" t="s">
        <v>251</v>
      </c>
      <c r="E4" s="56" t="s">
        <v>234</v>
      </c>
      <c r="F4" s="56" t="s">
        <v>235</v>
      </c>
      <c r="G4" s="56" t="s">
        <v>330</v>
      </c>
      <c r="H4" s="56" t="s">
        <v>115</v>
      </c>
      <c r="I4" s="56" t="s">
        <v>106</v>
      </c>
      <c r="J4" s="56" t="s">
        <v>185</v>
      </c>
      <c r="K4" s="56" t="s">
        <v>73</v>
      </c>
      <c r="L4" s="56" t="s">
        <v>12</v>
      </c>
      <c r="M4" s="56" t="s">
        <v>125</v>
      </c>
      <c r="N4" s="56" t="s">
        <v>16</v>
      </c>
      <c r="O4" s="139" t="s">
        <v>675</v>
      </c>
      <c r="P4" s="38" t="s">
        <v>18</v>
      </c>
      <c r="Q4" s="135">
        <v>64</v>
      </c>
      <c r="R4" s="133">
        <v>64</v>
      </c>
      <c r="S4" s="133">
        <v>64</v>
      </c>
      <c r="T4" s="133">
        <v>64</v>
      </c>
      <c r="U4" s="133">
        <v>64</v>
      </c>
      <c r="V4" s="133">
        <v>64</v>
      </c>
      <c r="W4" s="133">
        <v>64</v>
      </c>
      <c r="X4" s="133">
        <v>64</v>
      </c>
      <c r="Y4" s="133">
        <v>64</v>
      </c>
      <c r="Z4" s="133">
        <v>64</v>
      </c>
      <c r="AA4" s="133">
        <v>64</v>
      </c>
      <c r="AB4" s="133">
        <v>64</v>
      </c>
      <c r="AC4" s="133">
        <v>64</v>
      </c>
    </row>
    <row r="5" spans="1:29" ht="25.05" customHeight="1" x14ac:dyDescent="0.25">
      <c r="A5" s="38">
        <v>7869732368</v>
      </c>
      <c r="B5" s="56" t="s">
        <v>671</v>
      </c>
      <c r="C5" s="43" t="s">
        <v>672</v>
      </c>
      <c r="D5" s="56" t="s">
        <v>251</v>
      </c>
      <c r="E5" s="56" t="s">
        <v>234</v>
      </c>
      <c r="F5" s="56" t="s">
        <v>235</v>
      </c>
      <c r="G5" s="56" t="s">
        <v>330</v>
      </c>
      <c r="H5" s="56" t="s">
        <v>115</v>
      </c>
      <c r="I5" s="56" t="s">
        <v>106</v>
      </c>
      <c r="J5" s="56" t="s">
        <v>185</v>
      </c>
      <c r="K5" s="56" t="s">
        <v>73</v>
      </c>
      <c r="L5" s="56" t="s">
        <v>12</v>
      </c>
      <c r="M5" s="56" t="s">
        <v>125</v>
      </c>
      <c r="N5" s="56" t="s">
        <v>16</v>
      </c>
      <c r="O5" s="139" t="s">
        <v>676</v>
      </c>
      <c r="P5" s="38" t="s">
        <v>331</v>
      </c>
      <c r="Q5" s="135">
        <v>10</v>
      </c>
      <c r="R5" s="135">
        <v>0</v>
      </c>
      <c r="S5" s="135">
        <v>0</v>
      </c>
      <c r="T5" s="135">
        <v>10</v>
      </c>
      <c r="U5" s="135">
        <v>0</v>
      </c>
      <c r="V5" s="135">
        <v>0</v>
      </c>
      <c r="W5" s="135">
        <v>0</v>
      </c>
      <c r="X5" s="135">
        <v>0</v>
      </c>
      <c r="Y5" s="135">
        <v>0</v>
      </c>
      <c r="Z5" s="135">
        <v>0</v>
      </c>
      <c r="AA5" s="135">
        <v>0</v>
      </c>
      <c r="AB5" s="135">
        <v>0</v>
      </c>
      <c r="AC5" s="135">
        <v>0</v>
      </c>
    </row>
    <row r="6" spans="1:29" ht="25.05" customHeight="1" x14ac:dyDescent="0.25">
      <c r="A6" s="38">
        <v>7869732368</v>
      </c>
      <c r="B6" s="56" t="s">
        <v>671</v>
      </c>
      <c r="C6" s="43" t="s">
        <v>672</v>
      </c>
      <c r="D6" s="56" t="s">
        <v>251</v>
      </c>
      <c r="E6" s="56" t="s">
        <v>234</v>
      </c>
      <c r="F6" s="56" t="s">
        <v>235</v>
      </c>
      <c r="G6" s="56" t="s">
        <v>330</v>
      </c>
      <c r="H6" s="56" t="s">
        <v>115</v>
      </c>
      <c r="I6" s="56" t="s">
        <v>106</v>
      </c>
      <c r="J6" s="56" t="s">
        <v>185</v>
      </c>
      <c r="K6" s="56" t="s">
        <v>73</v>
      </c>
      <c r="L6" s="56" t="s">
        <v>12</v>
      </c>
      <c r="M6" s="56" t="s">
        <v>125</v>
      </c>
      <c r="N6" s="56" t="s">
        <v>16</v>
      </c>
      <c r="O6" s="139" t="s">
        <v>677</v>
      </c>
      <c r="P6" s="38" t="s">
        <v>18</v>
      </c>
      <c r="Q6" s="135">
        <v>12</v>
      </c>
      <c r="R6" s="135">
        <v>0</v>
      </c>
      <c r="S6" s="135">
        <v>0</v>
      </c>
      <c r="T6" s="135">
        <v>12</v>
      </c>
      <c r="U6" s="135">
        <v>0</v>
      </c>
      <c r="V6" s="135">
        <v>0</v>
      </c>
      <c r="W6" s="135">
        <v>0</v>
      </c>
      <c r="X6" s="135">
        <v>0</v>
      </c>
      <c r="Y6" s="135">
        <v>0</v>
      </c>
      <c r="Z6" s="135">
        <v>0</v>
      </c>
      <c r="AA6" s="135">
        <v>0</v>
      </c>
      <c r="AB6" s="135">
        <v>0</v>
      </c>
      <c r="AC6" s="135">
        <v>0</v>
      </c>
    </row>
    <row r="7" spans="1:29" ht="25.05" customHeight="1" x14ac:dyDescent="0.25">
      <c r="A7" s="38">
        <v>7869732368</v>
      </c>
      <c r="B7" s="56" t="s">
        <v>671</v>
      </c>
      <c r="C7" s="43" t="s">
        <v>672</v>
      </c>
      <c r="D7" s="56" t="s">
        <v>251</v>
      </c>
      <c r="E7" s="56" t="s">
        <v>234</v>
      </c>
      <c r="F7" s="56" t="s">
        <v>235</v>
      </c>
      <c r="G7" s="56" t="s">
        <v>330</v>
      </c>
      <c r="H7" s="56" t="s">
        <v>115</v>
      </c>
      <c r="I7" s="56" t="s">
        <v>106</v>
      </c>
      <c r="J7" s="56" t="s">
        <v>185</v>
      </c>
      <c r="K7" s="56" t="s">
        <v>73</v>
      </c>
      <c r="L7" s="56" t="s">
        <v>12</v>
      </c>
      <c r="M7" s="56" t="s">
        <v>125</v>
      </c>
      <c r="N7" s="56" t="s">
        <v>16</v>
      </c>
      <c r="O7" s="139" t="s">
        <v>678</v>
      </c>
      <c r="P7" s="38" t="s">
        <v>18</v>
      </c>
      <c r="Q7" s="135">
        <v>132</v>
      </c>
      <c r="R7" s="133">
        <v>0</v>
      </c>
      <c r="S7" s="133">
        <v>0</v>
      </c>
      <c r="T7" s="133">
        <v>0</v>
      </c>
      <c r="U7" s="133">
        <v>11</v>
      </c>
      <c r="V7" s="133">
        <v>33</v>
      </c>
      <c r="W7" s="133">
        <v>22</v>
      </c>
      <c r="X7" s="133">
        <v>22</v>
      </c>
      <c r="Y7" s="133">
        <v>22</v>
      </c>
      <c r="Z7" s="133">
        <v>22</v>
      </c>
      <c r="AA7" s="133">
        <v>0</v>
      </c>
      <c r="AB7" s="133">
        <v>0</v>
      </c>
      <c r="AC7" s="133">
        <v>0</v>
      </c>
    </row>
    <row r="8" spans="1:29" ht="25.05" customHeight="1" x14ac:dyDescent="0.25">
      <c r="A8" s="38">
        <v>7869732368</v>
      </c>
      <c r="B8" s="56" t="s">
        <v>671</v>
      </c>
      <c r="C8" s="43" t="s">
        <v>672</v>
      </c>
      <c r="D8" s="56" t="s">
        <v>251</v>
      </c>
      <c r="E8" s="56" t="s">
        <v>234</v>
      </c>
      <c r="F8" s="56" t="s">
        <v>235</v>
      </c>
      <c r="G8" s="56" t="s">
        <v>330</v>
      </c>
      <c r="H8" s="56" t="s">
        <v>115</v>
      </c>
      <c r="I8" s="56" t="s">
        <v>106</v>
      </c>
      <c r="J8" s="56" t="s">
        <v>185</v>
      </c>
      <c r="K8" s="56" t="s">
        <v>73</v>
      </c>
      <c r="L8" s="56" t="s">
        <v>12</v>
      </c>
      <c r="M8" s="56" t="s">
        <v>125</v>
      </c>
      <c r="N8" s="56" t="s">
        <v>16</v>
      </c>
      <c r="O8" s="140" t="s">
        <v>679</v>
      </c>
      <c r="P8" s="38" t="s">
        <v>18</v>
      </c>
      <c r="Q8" s="134">
        <f>3*5500</f>
        <v>16500</v>
      </c>
      <c r="R8" s="133">
        <v>1375</v>
      </c>
      <c r="S8" s="133">
        <v>1375</v>
      </c>
      <c r="T8" s="133">
        <v>1375</v>
      </c>
      <c r="U8" s="133">
        <v>1375</v>
      </c>
      <c r="V8" s="133">
        <v>1375</v>
      </c>
      <c r="W8" s="133">
        <v>1375</v>
      </c>
      <c r="X8" s="133">
        <v>1375</v>
      </c>
      <c r="Y8" s="133">
        <v>1375</v>
      </c>
      <c r="Z8" s="133">
        <v>1375</v>
      </c>
      <c r="AA8" s="133">
        <v>1375</v>
      </c>
      <c r="AB8" s="133">
        <v>1375</v>
      </c>
      <c r="AC8" s="133">
        <v>1375</v>
      </c>
    </row>
    <row r="9" spans="1:29" ht="25.05" customHeight="1" x14ac:dyDescent="0.25">
      <c r="A9" s="38">
        <v>7869732368</v>
      </c>
      <c r="B9" s="56" t="s">
        <v>671</v>
      </c>
      <c r="C9" s="43" t="s">
        <v>672</v>
      </c>
      <c r="D9" s="56" t="s">
        <v>251</v>
      </c>
      <c r="E9" s="56" t="s">
        <v>234</v>
      </c>
      <c r="F9" s="56" t="s">
        <v>235</v>
      </c>
      <c r="G9" s="56" t="s">
        <v>330</v>
      </c>
      <c r="H9" s="56" t="s">
        <v>115</v>
      </c>
      <c r="I9" s="56" t="s">
        <v>106</v>
      </c>
      <c r="J9" s="56" t="s">
        <v>185</v>
      </c>
      <c r="K9" s="56" t="s">
        <v>73</v>
      </c>
      <c r="L9" s="56" t="s">
        <v>12</v>
      </c>
      <c r="M9" s="56" t="s">
        <v>125</v>
      </c>
      <c r="N9" s="56" t="s">
        <v>16</v>
      </c>
      <c r="O9" s="139" t="s">
        <v>680</v>
      </c>
      <c r="P9" s="38" t="s">
        <v>18</v>
      </c>
      <c r="Q9" s="135">
        <v>5500</v>
      </c>
      <c r="R9" s="133">
        <v>0</v>
      </c>
      <c r="S9" s="133">
        <v>0</v>
      </c>
      <c r="T9" s="135">
        <v>5500</v>
      </c>
      <c r="U9" s="133">
        <v>0</v>
      </c>
      <c r="V9" s="133">
        <v>0</v>
      </c>
      <c r="W9" s="133">
        <v>0</v>
      </c>
      <c r="X9" s="133">
        <v>0</v>
      </c>
      <c r="Y9" s="133">
        <v>0</v>
      </c>
      <c r="Z9" s="133">
        <v>0</v>
      </c>
      <c r="AA9" s="133">
        <v>0</v>
      </c>
      <c r="AB9" s="133">
        <v>0</v>
      </c>
      <c r="AC9" s="133">
        <v>0</v>
      </c>
    </row>
    <row r="10" spans="1:29" ht="25.05" customHeight="1" x14ac:dyDescent="0.25">
      <c r="A10" s="38">
        <v>7869732368</v>
      </c>
      <c r="B10" s="56" t="s">
        <v>671</v>
      </c>
      <c r="C10" s="43" t="s">
        <v>672</v>
      </c>
      <c r="D10" s="56" t="s">
        <v>251</v>
      </c>
      <c r="E10" s="56" t="s">
        <v>234</v>
      </c>
      <c r="F10" s="56" t="s">
        <v>235</v>
      </c>
      <c r="G10" s="56" t="s">
        <v>330</v>
      </c>
      <c r="H10" s="56" t="s">
        <v>115</v>
      </c>
      <c r="I10" s="56" t="s">
        <v>106</v>
      </c>
      <c r="J10" s="56" t="s">
        <v>185</v>
      </c>
      <c r="K10" s="56" t="s">
        <v>73</v>
      </c>
      <c r="L10" s="56" t="s">
        <v>12</v>
      </c>
      <c r="M10" s="56" t="s">
        <v>125</v>
      </c>
      <c r="N10" s="56" t="s">
        <v>16</v>
      </c>
      <c r="O10" s="139" t="s">
        <v>681</v>
      </c>
      <c r="P10" s="38" t="s">
        <v>18</v>
      </c>
      <c r="Q10" s="135">
        <v>12</v>
      </c>
      <c r="R10" s="133">
        <v>0</v>
      </c>
      <c r="S10" s="133">
        <v>1</v>
      </c>
      <c r="T10" s="135">
        <v>1</v>
      </c>
      <c r="U10" s="133">
        <v>2</v>
      </c>
      <c r="V10" s="133">
        <v>1</v>
      </c>
      <c r="W10" s="133">
        <v>1</v>
      </c>
      <c r="X10" s="133">
        <v>1</v>
      </c>
      <c r="Y10" s="133">
        <v>1</v>
      </c>
      <c r="Z10" s="133">
        <v>1</v>
      </c>
      <c r="AA10" s="133">
        <v>1</v>
      </c>
      <c r="AB10" s="133">
        <v>1</v>
      </c>
      <c r="AC10" s="133">
        <v>1</v>
      </c>
    </row>
    <row r="11" spans="1:29" ht="25.05" customHeight="1" x14ac:dyDescent="0.25">
      <c r="A11" s="38">
        <v>7869732368</v>
      </c>
      <c r="B11" s="56" t="s">
        <v>671</v>
      </c>
      <c r="C11" s="43" t="s">
        <v>672</v>
      </c>
      <c r="D11" s="56" t="s">
        <v>251</v>
      </c>
      <c r="E11" s="56" t="s">
        <v>234</v>
      </c>
      <c r="F11" s="56" t="s">
        <v>235</v>
      </c>
      <c r="G11" s="56" t="s">
        <v>330</v>
      </c>
      <c r="H11" s="56" t="s">
        <v>115</v>
      </c>
      <c r="I11" s="56" t="s">
        <v>106</v>
      </c>
      <c r="J11" s="56" t="s">
        <v>185</v>
      </c>
      <c r="K11" s="56" t="s">
        <v>73</v>
      </c>
      <c r="L11" s="56" t="s">
        <v>12</v>
      </c>
      <c r="M11" s="56" t="s">
        <v>125</v>
      </c>
      <c r="N11" s="56" t="s">
        <v>16</v>
      </c>
      <c r="O11" s="140" t="s">
        <v>682</v>
      </c>
      <c r="P11" s="38" t="s">
        <v>18</v>
      </c>
      <c r="Q11" s="135">
        <v>36</v>
      </c>
      <c r="R11" s="133">
        <v>3</v>
      </c>
      <c r="S11" s="133">
        <v>3</v>
      </c>
      <c r="T11" s="133">
        <v>3</v>
      </c>
      <c r="U11" s="133">
        <v>3</v>
      </c>
      <c r="V11" s="133">
        <v>3</v>
      </c>
      <c r="W11" s="133">
        <v>3</v>
      </c>
      <c r="X11" s="133">
        <v>3</v>
      </c>
      <c r="Y11" s="133">
        <v>3</v>
      </c>
      <c r="Z11" s="133">
        <v>3</v>
      </c>
      <c r="AA11" s="133">
        <v>3</v>
      </c>
      <c r="AB11" s="133">
        <v>3</v>
      </c>
      <c r="AC11" s="133">
        <v>3</v>
      </c>
    </row>
    <row r="12" spans="1:29" ht="25.05" customHeight="1" x14ac:dyDescent="0.25">
      <c r="A12" s="38">
        <v>7869732368</v>
      </c>
      <c r="B12" s="56" t="s">
        <v>671</v>
      </c>
      <c r="C12" s="43" t="s">
        <v>672</v>
      </c>
      <c r="D12" s="56" t="s">
        <v>251</v>
      </c>
      <c r="E12" s="56" t="s">
        <v>234</v>
      </c>
      <c r="F12" s="56" t="s">
        <v>235</v>
      </c>
      <c r="G12" s="56" t="s">
        <v>330</v>
      </c>
      <c r="H12" s="56" t="s">
        <v>115</v>
      </c>
      <c r="I12" s="56" t="s">
        <v>106</v>
      </c>
      <c r="J12" s="56" t="s">
        <v>185</v>
      </c>
      <c r="K12" s="56" t="s">
        <v>73</v>
      </c>
      <c r="L12" s="56" t="s">
        <v>12</v>
      </c>
      <c r="M12" s="56" t="s">
        <v>125</v>
      </c>
      <c r="N12" s="56" t="s">
        <v>16</v>
      </c>
      <c r="O12" s="139" t="s">
        <v>683</v>
      </c>
      <c r="P12" s="136" t="s">
        <v>18</v>
      </c>
      <c r="Q12" s="135">
        <v>4</v>
      </c>
      <c r="R12" s="133">
        <v>0</v>
      </c>
      <c r="S12" s="133">
        <v>0</v>
      </c>
      <c r="T12" s="133">
        <v>1</v>
      </c>
      <c r="U12" s="133">
        <v>0</v>
      </c>
      <c r="V12" s="133">
        <v>0</v>
      </c>
      <c r="W12" s="133">
        <v>1</v>
      </c>
      <c r="X12" s="133">
        <v>0</v>
      </c>
      <c r="Y12" s="133">
        <v>1</v>
      </c>
      <c r="Z12" s="133">
        <v>0</v>
      </c>
      <c r="AA12" s="133">
        <v>1</v>
      </c>
      <c r="AB12" s="133">
        <v>0</v>
      </c>
      <c r="AC12" s="133">
        <v>0</v>
      </c>
    </row>
    <row r="13" spans="1:29" ht="25.05" customHeight="1" x14ac:dyDescent="0.25">
      <c r="A13" s="38">
        <v>7869732368</v>
      </c>
      <c r="B13" s="56" t="s">
        <v>671</v>
      </c>
      <c r="C13" s="43" t="s">
        <v>672</v>
      </c>
      <c r="D13" s="56" t="s">
        <v>251</v>
      </c>
      <c r="E13" s="56" t="s">
        <v>234</v>
      </c>
      <c r="F13" s="56" t="s">
        <v>235</v>
      </c>
      <c r="G13" s="56" t="s">
        <v>330</v>
      </c>
      <c r="H13" s="56" t="s">
        <v>115</v>
      </c>
      <c r="I13" s="56" t="s">
        <v>106</v>
      </c>
      <c r="J13" s="56" t="s">
        <v>185</v>
      </c>
      <c r="K13" s="56" t="s">
        <v>73</v>
      </c>
      <c r="L13" s="56" t="s">
        <v>12</v>
      </c>
      <c r="M13" s="56" t="s">
        <v>125</v>
      </c>
      <c r="N13" s="56" t="s">
        <v>16</v>
      </c>
      <c r="O13" s="139" t="s">
        <v>684</v>
      </c>
      <c r="P13" s="136" t="s">
        <v>18</v>
      </c>
      <c r="Q13" s="135">
        <v>33</v>
      </c>
      <c r="R13" s="133">
        <v>0</v>
      </c>
      <c r="S13" s="133">
        <v>0</v>
      </c>
      <c r="T13" s="133">
        <v>0</v>
      </c>
      <c r="U13" s="133">
        <v>0</v>
      </c>
      <c r="V13" s="133">
        <v>6</v>
      </c>
      <c r="W13" s="133">
        <v>6</v>
      </c>
      <c r="X13" s="133">
        <v>6</v>
      </c>
      <c r="Y13" s="133">
        <v>6</v>
      </c>
      <c r="Z13" s="133">
        <v>6</v>
      </c>
      <c r="AA13" s="133">
        <v>3</v>
      </c>
      <c r="AB13" s="133">
        <v>0</v>
      </c>
      <c r="AC13" s="133">
        <v>0</v>
      </c>
    </row>
    <row r="14" spans="1:29" ht="25.05" customHeight="1" x14ac:dyDescent="0.25">
      <c r="A14" s="38">
        <v>7869732368</v>
      </c>
      <c r="B14" s="56" t="s">
        <v>671</v>
      </c>
      <c r="C14" s="43" t="s">
        <v>672</v>
      </c>
      <c r="D14" s="56" t="s">
        <v>251</v>
      </c>
      <c r="E14" s="56" t="s">
        <v>234</v>
      </c>
      <c r="F14" s="56" t="s">
        <v>235</v>
      </c>
      <c r="G14" s="56" t="s">
        <v>330</v>
      </c>
      <c r="H14" s="56" t="s">
        <v>115</v>
      </c>
      <c r="I14" s="56" t="s">
        <v>106</v>
      </c>
      <c r="J14" s="56" t="s">
        <v>185</v>
      </c>
      <c r="K14" s="56" t="s">
        <v>73</v>
      </c>
      <c r="L14" s="56" t="s">
        <v>12</v>
      </c>
      <c r="M14" s="56" t="s">
        <v>125</v>
      </c>
      <c r="N14" s="56" t="s">
        <v>16</v>
      </c>
      <c r="O14" s="139" t="s">
        <v>685</v>
      </c>
      <c r="P14" s="136" t="s">
        <v>18</v>
      </c>
      <c r="Q14" s="135">
        <v>64</v>
      </c>
      <c r="R14" s="133">
        <v>0</v>
      </c>
      <c r="S14" s="133">
        <v>0</v>
      </c>
      <c r="T14" s="133">
        <v>0</v>
      </c>
      <c r="U14" s="133">
        <v>0</v>
      </c>
      <c r="V14" s="133">
        <v>32</v>
      </c>
      <c r="W14" s="133">
        <v>32</v>
      </c>
      <c r="X14" s="133">
        <v>0</v>
      </c>
      <c r="Y14" s="133">
        <v>0</v>
      </c>
      <c r="Z14" s="133">
        <v>0</v>
      </c>
      <c r="AA14" s="133">
        <v>0</v>
      </c>
      <c r="AB14" s="133">
        <v>0</v>
      </c>
      <c r="AC14" s="133">
        <v>0</v>
      </c>
    </row>
    <row r="15" spans="1:29" ht="25.05" customHeight="1" x14ac:dyDescent="0.25">
      <c r="A15" s="38">
        <v>7869732368</v>
      </c>
      <c r="B15" s="56" t="s">
        <v>671</v>
      </c>
      <c r="C15" s="43" t="s">
        <v>672</v>
      </c>
      <c r="D15" s="56" t="s">
        <v>251</v>
      </c>
      <c r="E15" s="56" t="s">
        <v>234</v>
      </c>
      <c r="F15" s="56" t="s">
        <v>235</v>
      </c>
      <c r="G15" s="56" t="s">
        <v>330</v>
      </c>
      <c r="H15" s="56" t="s">
        <v>115</v>
      </c>
      <c r="I15" s="56" t="s">
        <v>106</v>
      </c>
      <c r="J15" s="56" t="s">
        <v>185</v>
      </c>
      <c r="K15" s="56" t="s">
        <v>73</v>
      </c>
      <c r="L15" s="56" t="s">
        <v>12</v>
      </c>
      <c r="M15" s="56" t="s">
        <v>125</v>
      </c>
      <c r="N15" s="56" t="s">
        <v>16</v>
      </c>
      <c r="O15" s="140" t="s">
        <v>686</v>
      </c>
      <c r="P15" s="38" t="s">
        <v>18</v>
      </c>
      <c r="Q15" s="135">
        <v>5</v>
      </c>
      <c r="R15" s="133">
        <v>0</v>
      </c>
      <c r="S15" s="133">
        <v>0</v>
      </c>
      <c r="T15" s="133">
        <v>0</v>
      </c>
      <c r="U15" s="133">
        <v>0</v>
      </c>
      <c r="V15" s="133">
        <v>0</v>
      </c>
      <c r="W15" s="133">
        <v>1</v>
      </c>
      <c r="X15" s="133">
        <v>0</v>
      </c>
      <c r="Y15" s="133">
        <v>2</v>
      </c>
      <c r="Z15" s="133">
        <v>2</v>
      </c>
      <c r="AA15" s="133">
        <v>0</v>
      </c>
      <c r="AB15" s="133">
        <v>0</v>
      </c>
      <c r="AC15" s="133">
        <v>0</v>
      </c>
    </row>
    <row r="16" spans="1:29" ht="25.05" customHeight="1" x14ac:dyDescent="0.25">
      <c r="A16" s="38">
        <v>7869732368</v>
      </c>
      <c r="B16" s="56" t="s">
        <v>671</v>
      </c>
      <c r="C16" s="43" t="s">
        <v>672</v>
      </c>
      <c r="D16" s="56" t="s">
        <v>251</v>
      </c>
      <c r="E16" s="56" t="s">
        <v>234</v>
      </c>
      <c r="F16" s="56" t="s">
        <v>235</v>
      </c>
      <c r="G16" s="56" t="s">
        <v>330</v>
      </c>
      <c r="H16" s="56" t="s">
        <v>115</v>
      </c>
      <c r="I16" s="56" t="s">
        <v>106</v>
      </c>
      <c r="J16" s="56" t="s">
        <v>185</v>
      </c>
      <c r="K16" s="56" t="s">
        <v>73</v>
      </c>
      <c r="L16" s="56" t="s">
        <v>12</v>
      </c>
      <c r="M16" s="56" t="s">
        <v>125</v>
      </c>
      <c r="N16" s="56" t="s">
        <v>16</v>
      </c>
      <c r="O16" s="139" t="s">
        <v>687</v>
      </c>
      <c r="P16" s="38" t="s">
        <v>18</v>
      </c>
      <c r="Q16" s="135">
        <v>11</v>
      </c>
      <c r="R16" s="133">
        <v>0</v>
      </c>
      <c r="S16" s="133">
        <v>0</v>
      </c>
      <c r="T16" s="133">
        <v>0</v>
      </c>
      <c r="U16" s="133">
        <v>11</v>
      </c>
      <c r="V16" s="133">
        <v>0</v>
      </c>
      <c r="W16" s="133">
        <v>0</v>
      </c>
      <c r="X16" s="133">
        <v>0</v>
      </c>
      <c r="Y16" s="133">
        <v>0</v>
      </c>
      <c r="Z16" s="133">
        <v>0</v>
      </c>
      <c r="AA16" s="133">
        <v>0</v>
      </c>
      <c r="AB16" s="133">
        <v>0</v>
      </c>
      <c r="AC16" s="133">
        <v>0</v>
      </c>
    </row>
    <row r="17" spans="1:29" ht="25.05" customHeight="1" x14ac:dyDescent="0.25">
      <c r="A17" s="38">
        <v>7869732368</v>
      </c>
      <c r="B17" s="56" t="s">
        <v>671</v>
      </c>
      <c r="C17" s="43" t="s">
        <v>672</v>
      </c>
      <c r="D17" s="56" t="s">
        <v>251</v>
      </c>
      <c r="E17" s="56" t="s">
        <v>234</v>
      </c>
      <c r="F17" s="56" t="s">
        <v>235</v>
      </c>
      <c r="G17" s="56" t="s">
        <v>330</v>
      </c>
      <c r="H17" s="56" t="s">
        <v>115</v>
      </c>
      <c r="I17" s="56" t="s">
        <v>106</v>
      </c>
      <c r="J17" s="56" t="s">
        <v>185</v>
      </c>
      <c r="K17" s="56" t="s">
        <v>73</v>
      </c>
      <c r="L17" s="56" t="s">
        <v>12</v>
      </c>
      <c r="M17" s="56" t="s">
        <v>125</v>
      </c>
      <c r="N17" s="56" t="s">
        <v>16</v>
      </c>
      <c r="O17" s="139" t="s">
        <v>688</v>
      </c>
      <c r="P17" s="38" t="s">
        <v>18</v>
      </c>
      <c r="Q17" s="135">
        <v>2</v>
      </c>
      <c r="R17" s="133">
        <v>0</v>
      </c>
      <c r="S17" s="133">
        <v>0</v>
      </c>
      <c r="T17" s="133">
        <v>0</v>
      </c>
      <c r="U17" s="133">
        <v>0</v>
      </c>
      <c r="V17" s="133">
        <v>0</v>
      </c>
      <c r="W17" s="133">
        <v>1</v>
      </c>
      <c r="X17" s="133">
        <v>0</v>
      </c>
      <c r="Y17" s="133">
        <v>0</v>
      </c>
      <c r="Z17" s="133">
        <v>1</v>
      </c>
      <c r="AA17" s="133">
        <v>0</v>
      </c>
      <c r="AB17" s="133">
        <v>0</v>
      </c>
      <c r="AC17" s="133">
        <v>0</v>
      </c>
    </row>
    <row r="18" spans="1:29" ht="25.05" customHeight="1" x14ac:dyDescent="0.25">
      <c r="A18" s="38">
        <v>7869732368</v>
      </c>
      <c r="B18" s="56" t="s">
        <v>671</v>
      </c>
      <c r="C18" s="43" t="s">
        <v>672</v>
      </c>
      <c r="D18" s="56" t="s">
        <v>251</v>
      </c>
      <c r="E18" s="56" t="s">
        <v>234</v>
      </c>
      <c r="F18" s="56" t="s">
        <v>235</v>
      </c>
      <c r="G18" s="56" t="s">
        <v>330</v>
      </c>
      <c r="H18" s="56" t="s">
        <v>115</v>
      </c>
      <c r="I18" s="56" t="s">
        <v>106</v>
      </c>
      <c r="J18" s="56" t="s">
        <v>185</v>
      </c>
      <c r="K18" s="56" t="s">
        <v>73</v>
      </c>
      <c r="L18" s="56" t="s">
        <v>12</v>
      </c>
      <c r="M18" s="56" t="s">
        <v>125</v>
      </c>
      <c r="N18" s="56" t="s">
        <v>16</v>
      </c>
      <c r="O18" s="139" t="s">
        <v>689</v>
      </c>
      <c r="P18" s="38" t="s">
        <v>18</v>
      </c>
      <c r="Q18" s="135">
        <v>300</v>
      </c>
      <c r="R18" s="133">
        <v>50</v>
      </c>
      <c r="S18" s="133">
        <v>30</v>
      </c>
      <c r="T18" s="133">
        <v>0</v>
      </c>
      <c r="U18" s="133">
        <v>0</v>
      </c>
      <c r="V18" s="133">
        <v>0</v>
      </c>
      <c r="W18" s="133">
        <v>0</v>
      </c>
      <c r="X18" s="133">
        <v>120</v>
      </c>
      <c r="Y18" s="133">
        <v>100</v>
      </c>
      <c r="Z18" s="133">
        <v>0</v>
      </c>
      <c r="AA18" s="133">
        <v>0</v>
      </c>
      <c r="AB18" s="133">
        <v>0</v>
      </c>
      <c r="AC18" s="133">
        <v>0</v>
      </c>
    </row>
    <row r="19" spans="1:29" ht="25.05" customHeight="1" x14ac:dyDescent="0.25">
      <c r="A19" s="38">
        <v>7869732368</v>
      </c>
      <c r="B19" s="56" t="s">
        <v>671</v>
      </c>
      <c r="C19" s="43" t="s">
        <v>672</v>
      </c>
      <c r="D19" s="56" t="s">
        <v>251</v>
      </c>
      <c r="E19" s="56" t="s">
        <v>234</v>
      </c>
      <c r="F19" s="56" t="s">
        <v>235</v>
      </c>
      <c r="G19" s="56" t="s">
        <v>330</v>
      </c>
      <c r="H19" s="56" t="s">
        <v>115</v>
      </c>
      <c r="I19" s="56" t="s">
        <v>106</v>
      </c>
      <c r="J19" s="56" t="s">
        <v>185</v>
      </c>
      <c r="K19" s="56" t="s">
        <v>73</v>
      </c>
      <c r="L19" s="56" t="s">
        <v>12</v>
      </c>
      <c r="M19" s="56" t="s">
        <v>125</v>
      </c>
      <c r="N19" s="56" t="s">
        <v>16</v>
      </c>
      <c r="O19" s="139" t="s">
        <v>690</v>
      </c>
      <c r="P19" s="38" t="s">
        <v>18</v>
      </c>
      <c r="Q19" s="135">
        <v>24</v>
      </c>
      <c r="R19" s="133">
        <v>2</v>
      </c>
      <c r="S19" s="133">
        <v>2</v>
      </c>
      <c r="T19" s="133">
        <v>2</v>
      </c>
      <c r="U19" s="133">
        <v>2</v>
      </c>
      <c r="V19" s="133">
        <v>2</v>
      </c>
      <c r="W19" s="133">
        <v>2</v>
      </c>
      <c r="X19" s="133">
        <v>2</v>
      </c>
      <c r="Y19" s="133">
        <v>0</v>
      </c>
      <c r="Z19" s="133">
        <v>1</v>
      </c>
      <c r="AA19" s="133">
        <v>2</v>
      </c>
      <c r="AB19" s="133">
        <v>2</v>
      </c>
      <c r="AC19" s="133">
        <v>2</v>
      </c>
    </row>
    <row r="20" spans="1:29" ht="25.05" customHeight="1" x14ac:dyDescent="0.25">
      <c r="A20" s="38">
        <v>7869732368</v>
      </c>
      <c r="B20" s="56" t="s">
        <v>671</v>
      </c>
      <c r="C20" s="43" t="s">
        <v>672</v>
      </c>
      <c r="D20" s="56" t="s">
        <v>251</v>
      </c>
      <c r="E20" s="56" t="s">
        <v>234</v>
      </c>
      <c r="F20" s="56" t="s">
        <v>235</v>
      </c>
      <c r="G20" s="56" t="s">
        <v>330</v>
      </c>
      <c r="H20" s="56" t="s">
        <v>115</v>
      </c>
      <c r="I20" s="56" t="s">
        <v>106</v>
      </c>
      <c r="J20" s="56" t="s">
        <v>185</v>
      </c>
      <c r="K20" s="56" t="s">
        <v>73</v>
      </c>
      <c r="L20" s="56" t="s">
        <v>12</v>
      </c>
      <c r="M20" s="56" t="s">
        <v>125</v>
      </c>
      <c r="N20" s="56" t="s">
        <v>16</v>
      </c>
      <c r="O20" s="140" t="s">
        <v>691</v>
      </c>
      <c r="P20" s="38" t="s">
        <v>18</v>
      </c>
      <c r="Q20" s="135">
        <v>120</v>
      </c>
      <c r="R20" s="133">
        <v>20</v>
      </c>
      <c r="S20" s="133">
        <v>20</v>
      </c>
      <c r="T20" s="133">
        <v>0</v>
      </c>
      <c r="U20" s="133">
        <v>0</v>
      </c>
      <c r="V20" s="133">
        <v>0</v>
      </c>
      <c r="W20" s="133">
        <v>0</v>
      </c>
      <c r="X20" s="133">
        <v>0</v>
      </c>
      <c r="Y20" s="133">
        <v>0</v>
      </c>
      <c r="Z20" s="133">
        <v>0</v>
      </c>
      <c r="AA20" s="133">
        <v>0</v>
      </c>
      <c r="AB20" s="133">
        <v>40</v>
      </c>
      <c r="AC20" s="133">
        <v>40</v>
      </c>
    </row>
    <row r="21" spans="1:29" ht="25.05" customHeight="1" x14ac:dyDescent="0.25">
      <c r="A21" s="38">
        <v>7869732368</v>
      </c>
      <c r="B21" s="56" t="s">
        <v>671</v>
      </c>
      <c r="C21" s="43" t="s">
        <v>672</v>
      </c>
      <c r="D21" s="56" t="s">
        <v>251</v>
      </c>
      <c r="E21" s="56" t="s">
        <v>234</v>
      </c>
      <c r="F21" s="56" t="s">
        <v>235</v>
      </c>
      <c r="G21" s="56" t="s">
        <v>330</v>
      </c>
      <c r="H21" s="56" t="s">
        <v>115</v>
      </c>
      <c r="I21" s="56" t="s">
        <v>106</v>
      </c>
      <c r="J21" s="56" t="s">
        <v>185</v>
      </c>
      <c r="K21" s="56" t="s">
        <v>73</v>
      </c>
      <c r="L21" s="56" t="s">
        <v>12</v>
      </c>
      <c r="M21" s="56" t="s">
        <v>125</v>
      </c>
      <c r="N21" s="56" t="s">
        <v>16</v>
      </c>
      <c r="O21" s="140" t="s">
        <v>692</v>
      </c>
      <c r="P21" s="38" t="s">
        <v>18</v>
      </c>
      <c r="Q21" s="135">
        <v>65</v>
      </c>
      <c r="R21" s="133">
        <v>0</v>
      </c>
      <c r="S21" s="133">
        <v>0</v>
      </c>
      <c r="T21" s="133">
        <v>50</v>
      </c>
      <c r="U21" s="133">
        <v>0</v>
      </c>
      <c r="V21" s="133">
        <v>0</v>
      </c>
      <c r="W21" s="133">
        <v>0</v>
      </c>
      <c r="X21" s="133">
        <v>0</v>
      </c>
      <c r="Y21" s="133">
        <v>0</v>
      </c>
      <c r="Z21" s="133">
        <v>0</v>
      </c>
      <c r="AA21" s="133">
        <v>0</v>
      </c>
      <c r="AB21" s="133">
        <v>0</v>
      </c>
      <c r="AC21" s="133">
        <v>15</v>
      </c>
    </row>
    <row r="22" spans="1:29" ht="25.05" customHeight="1" x14ac:dyDescent="0.25">
      <c r="A22" s="38">
        <v>7869732368</v>
      </c>
      <c r="B22" s="56" t="s">
        <v>671</v>
      </c>
      <c r="C22" s="43" t="s">
        <v>672</v>
      </c>
      <c r="D22" s="56" t="s">
        <v>251</v>
      </c>
      <c r="E22" s="56" t="s">
        <v>234</v>
      </c>
      <c r="F22" s="56" t="s">
        <v>235</v>
      </c>
      <c r="G22" s="56" t="s">
        <v>330</v>
      </c>
      <c r="H22" s="56" t="s">
        <v>115</v>
      </c>
      <c r="I22" s="56" t="s">
        <v>106</v>
      </c>
      <c r="J22" s="56" t="s">
        <v>185</v>
      </c>
      <c r="K22" s="56" t="s">
        <v>73</v>
      </c>
      <c r="L22" s="56" t="s">
        <v>12</v>
      </c>
      <c r="M22" s="56" t="s">
        <v>125</v>
      </c>
      <c r="N22" s="56" t="s">
        <v>16</v>
      </c>
      <c r="O22" s="140" t="s">
        <v>693</v>
      </c>
      <c r="P22" s="38" t="s">
        <v>18</v>
      </c>
      <c r="Q22" s="135">
        <v>64</v>
      </c>
      <c r="R22" s="133">
        <v>3</v>
      </c>
      <c r="S22" s="133">
        <v>3</v>
      </c>
      <c r="T22" s="133">
        <v>4</v>
      </c>
      <c r="U22" s="133">
        <v>6</v>
      </c>
      <c r="V22" s="133">
        <v>6</v>
      </c>
      <c r="W22" s="133">
        <v>6</v>
      </c>
      <c r="X22" s="133">
        <v>6</v>
      </c>
      <c r="Y22" s="133">
        <v>6</v>
      </c>
      <c r="Z22" s="133">
        <v>6</v>
      </c>
      <c r="AA22" s="133">
        <v>6</v>
      </c>
      <c r="AB22" s="133">
        <v>6</v>
      </c>
      <c r="AC22" s="133">
        <v>6</v>
      </c>
    </row>
    <row r="23" spans="1:29" ht="25.05" customHeight="1" x14ac:dyDescent="0.25">
      <c r="A23" s="38">
        <v>7869732368</v>
      </c>
      <c r="B23" s="56" t="s">
        <v>671</v>
      </c>
      <c r="C23" s="43" t="s">
        <v>672</v>
      </c>
      <c r="D23" s="56" t="s">
        <v>251</v>
      </c>
      <c r="E23" s="56" t="s">
        <v>234</v>
      </c>
      <c r="F23" s="56" t="s">
        <v>235</v>
      </c>
      <c r="G23" s="56" t="s">
        <v>330</v>
      </c>
      <c r="H23" s="56" t="s">
        <v>115</v>
      </c>
      <c r="I23" s="56" t="s">
        <v>106</v>
      </c>
      <c r="J23" s="56" t="s">
        <v>185</v>
      </c>
      <c r="K23" s="56" t="s">
        <v>73</v>
      </c>
      <c r="L23" s="56" t="s">
        <v>12</v>
      </c>
      <c r="M23" s="56" t="s">
        <v>125</v>
      </c>
      <c r="N23" s="56" t="s">
        <v>16</v>
      </c>
      <c r="O23" s="140" t="s">
        <v>694</v>
      </c>
      <c r="P23" s="38" t="s">
        <v>18</v>
      </c>
      <c r="Q23" s="135">
        <v>64</v>
      </c>
      <c r="R23" s="133">
        <v>3</v>
      </c>
      <c r="S23" s="133">
        <v>3</v>
      </c>
      <c r="T23" s="133">
        <v>4</v>
      </c>
      <c r="U23" s="133">
        <v>6</v>
      </c>
      <c r="V23" s="133">
        <v>6</v>
      </c>
      <c r="W23" s="133">
        <v>6</v>
      </c>
      <c r="X23" s="133">
        <v>6</v>
      </c>
      <c r="Y23" s="133">
        <v>6</v>
      </c>
      <c r="Z23" s="133">
        <v>6</v>
      </c>
      <c r="AA23" s="133">
        <v>6</v>
      </c>
      <c r="AB23" s="133">
        <v>6</v>
      </c>
      <c r="AC23" s="133">
        <v>6</v>
      </c>
    </row>
    <row r="24" spans="1:29" ht="25.05" customHeight="1" x14ac:dyDescent="0.25">
      <c r="A24" s="38">
        <v>7869732368</v>
      </c>
      <c r="B24" s="56" t="s">
        <v>671</v>
      </c>
      <c r="C24" s="43" t="s">
        <v>672</v>
      </c>
      <c r="D24" s="56" t="s">
        <v>251</v>
      </c>
      <c r="E24" s="56" t="s">
        <v>234</v>
      </c>
      <c r="F24" s="56" t="s">
        <v>235</v>
      </c>
      <c r="G24" s="56" t="s">
        <v>330</v>
      </c>
      <c r="H24" s="56" t="s">
        <v>115</v>
      </c>
      <c r="I24" s="56" t="s">
        <v>106</v>
      </c>
      <c r="J24" s="56" t="s">
        <v>185</v>
      </c>
      <c r="K24" s="56" t="s">
        <v>73</v>
      </c>
      <c r="L24" s="56" t="s">
        <v>12</v>
      </c>
      <c r="M24" s="56" t="s">
        <v>125</v>
      </c>
      <c r="N24" s="56" t="s">
        <v>16</v>
      </c>
      <c r="O24" s="140" t="s">
        <v>695</v>
      </c>
      <c r="P24" s="38" t="s">
        <v>18</v>
      </c>
      <c r="Q24" s="135">
        <v>64</v>
      </c>
      <c r="R24" s="133">
        <v>3</v>
      </c>
      <c r="S24" s="133">
        <v>3</v>
      </c>
      <c r="T24" s="133">
        <v>4</v>
      </c>
      <c r="U24" s="133">
        <v>6</v>
      </c>
      <c r="V24" s="133">
        <v>6</v>
      </c>
      <c r="W24" s="133">
        <v>6</v>
      </c>
      <c r="X24" s="133">
        <v>6</v>
      </c>
      <c r="Y24" s="133">
        <v>6</v>
      </c>
      <c r="Z24" s="133">
        <v>6</v>
      </c>
      <c r="AA24" s="133">
        <v>6</v>
      </c>
      <c r="AB24" s="133">
        <v>6</v>
      </c>
      <c r="AC24" s="133">
        <v>6</v>
      </c>
    </row>
    <row r="25" spans="1:29" ht="25.05" customHeight="1" x14ac:dyDescent="0.25">
      <c r="A25" s="38">
        <v>7869732368</v>
      </c>
      <c r="B25" s="56" t="s">
        <v>671</v>
      </c>
      <c r="C25" s="43" t="s">
        <v>672</v>
      </c>
      <c r="D25" s="56" t="s">
        <v>251</v>
      </c>
      <c r="E25" s="56" t="s">
        <v>234</v>
      </c>
      <c r="F25" s="56" t="s">
        <v>235</v>
      </c>
      <c r="G25" s="56" t="s">
        <v>330</v>
      </c>
      <c r="H25" s="56" t="s">
        <v>115</v>
      </c>
      <c r="I25" s="56" t="s">
        <v>106</v>
      </c>
      <c r="J25" s="56" t="s">
        <v>185</v>
      </c>
      <c r="K25" s="56" t="s">
        <v>73</v>
      </c>
      <c r="L25" s="56" t="s">
        <v>12</v>
      </c>
      <c r="M25" s="56" t="s">
        <v>125</v>
      </c>
      <c r="N25" s="56" t="s">
        <v>16</v>
      </c>
      <c r="O25" s="140" t="s">
        <v>696</v>
      </c>
      <c r="P25" s="38" t="s">
        <v>18</v>
      </c>
      <c r="Q25" s="134">
        <v>231</v>
      </c>
      <c r="R25" s="134">
        <v>231</v>
      </c>
      <c r="S25" s="134">
        <v>231</v>
      </c>
      <c r="T25" s="134">
        <v>231</v>
      </c>
      <c r="U25" s="134">
        <v>231</v>
      </c>
      <c r="V25" s="134">
        <v>231</v>
      </c>
      <c r="W25" s="134">
        <v>231</v>
      </c>
      <c r="X25" s="134">
        <v>231</v>
      </c>
      <c r="Y25" s="134">
        <v>231</v>
      </c>
      <c r="Z25" s="134">
        <v>231</v>
      </c>
      <c r="AA25" s="134">
        <v>231</v>
      </c>
      <c r="AB25" s="134">
        <v>231</v>
      </c>
      <c r="AC25" s="134">
        <v>231</v>
      </c>
    </row>
    <row r="26" spans="1:29" ht="25.05" customHeight="1" x14ac:dyDescent="0.25">
      <c r="A26" s="38">
        <v>7869732368</v>
      </c>
      <c r="B26" s="56" t="s">
        <v>671</v>
      </c>
      <c r="C26" s="43" t="s">
        <v>672</v>
      </c>
      <c r="D26" s="56" t="s">
        <v>251</v>
      </c>
      <c r="E26" s="56" t="s">
        <v>234</v>
      </c>
      <c r="F26" s="56" t="s">
        <v>235</v>
      </c>
      <c r="G26" s="56" t="s">
        <v>330</v>
      </c>
      <c r="H26" s="56" t="s">
        <v>115</v>
      </c>
      <c r="I26" s="56" t="s">
        <v>106</v>
      </c>
      <c r="J26" s="56" t="s">
        <v>185</v>
      </c>
      <c r="K26" s="56" t="s">
        <v>73</v>
      </c>
      <c r="L26" s="56" t="s">
        <v>12</v>
      </c>
      <c r="M26" s="56" t="s">
        <v>125</v>
      </c>
      <c r="N26" s="56" t="s">
        <v>16</v>
      </c>
      <c r="O26" s="140" t="s">
        <v>697</v>
      </c>
      <c r="P26" s="38" t="s">
        <v>18</v>
      </c>
      <c r="Q26" s="135">
        <v>25</v>
      </c>
      <c r="R26" s="133">
        <v>2</v>
      </c>
      <c r="S26" s="133">
        <v>2</v>
      </c>
      <c r="T26" s="133">
        <v>2</v>
      </c>
      <c r="U26" s="133">
        <v>2</v>
      </c>
      <c r="V26" s="133">
        <v>2</v>
      </c>
      <c r="W26" s="133">
        <v>2</v>
      </c>
      <c r="X26" s="133">
        <v>3</v>
      </c>
      <c r="Y26" s="133">
        <v>2</v>
      </c>
      <c r="Z26" s="133">
        <v>2</v>
      </c>
      <c r="AA26" s="133">
        <v>2</v>
      </c>
      <c r="AB26" s="133">
        <v>2</v>
      </c>
      <c r="AC26" s="133">
        <v>2</v>
      </c>
    </row>
    <row r="27" spans="1:29" ht="25.05" customHeight="1" x14ac:dyDescent="0.25">
      <c r="A27" s="38">
        <v>7869732368</v>
      </c>
      <c r="B27" s="56" t="s">
        <v>671</v>
      </c>
      <c r="C27" s="43" t="s">
        <v>672</v>
      </c>
      <c r="D27" s="56" t="s">
        <v>251</v>
      </c>
      <c r="E27" s="56" t="s">
        <v>234</v>
      </c>
      <c r="F27" s="56" t="s">
        <v>235</v>
      </c>
      <c r="G27" s="56" t="s">
        <v>330</v>
      </c>
      <c r="H27" s="56" t="s">
        <v>115</v>
      </c>
      <c r="I27" s="56" t="s">
        <v>106</v>
      </c>
      <c r="J27" s="56" t="s">
        <v>185</v>
      </c>
      <c r="K27" s="56" t="s">
        <v>73</v>
      </c>
      <c r="L27" s="56" t="s">
        <v>12</v>
      </c>
      <c r="M27" s="56" t="s">
        <v>125</v>
      </c>
      <c r="N27" s="56" t="s">
        <v>16</v>
      </c>
      <c r="O27" s="140" t="s">
        <v>698</v>
      </c>
      <c r="P27" s="38" t="s">
        <v>18</v>
      </c>
      <c r="Q27" s="137">
        <v>64</v>
      </c>
      <c r="R27" s="133">
        <v>3</v>
      </c>
      <c r="S27" s="133">
        <v>3</v>
      </c>
      <c r="T27" s="133">
        <v>3</v>
      </c>
      <c r="U27" s="133">
        <v>8</v>
      </c>
      <c r="V27" s="133">
        <v>8</v>
      </c>
      <c r="W27" s="133">
        <v>8</v>
      </c>
      <c r="X27" s="133">
        <v>8</v>
      </c>
      <c r="Y27" s="133">
        <v>7</v>
      </c>
      <c r="Z27" s="133">
        <v>7</v>
      </c>
      <c r="AA27" s="133">
        <v>3</v>
      </c>
      <c r="AB27" s="133">
        <v>3</v>
      </c>
      <c r="AC27" s="133">
        <v>3</v>
      </c>
    </row>
    <row r="28" spans="1:29" ht="25.05" customHeight="1" x14ac:dyDescent="0.25">
      <c r="A28" s="38">
        <v>7869732368</v>
      </c>
      <c r="B28" s="56" t="s">
        <v>671</v>
      </c>
      <c r="C28" s="43" t="s">
        <v>672</v>
      </c>
      <c r="D28" s="56" t="s">
        <v>251</v>
      </c>
      <c r="E28" s="56" t="s">
        <v>234</v>
      </c>
      <c r="F28" s="56" t="s">
        <v>235</v>
      </c>
      <c r="G28" s="56" t="s">
        <v>330</v>
      </c>
      <c r="H28" s="56" t="s">
        <v>115</v>
      </c>
      <c r="I28" s="56" t="s">
        <v>106</v>
      </c>
      <c r="J28" s="56" t="s">
        <v>185</v>
      </c>
      <c r="K28" s="56" t="s">
        <v>73</v>
      </c>
      <c r="L28" s="56" t="s">
        <v>12</v>
      </c>
      <c r="M28" s="56" t="s">
        <v>125</v>
      </c>
      <c r="N28" s="56" t="s">
        <v>16</v>
      </c>
      <c r="O28" s="140" t="s">
        <v>699</v>
      </c>
      <c r="P28" s="38" t="s">
        <v>18</v>
      </c>
      <c r="Q28" s="135">
        <v>6</v>
      </c>
      <c r="R28" s="133">
        <v>0</v>
      </c>
      <c r="S28" s="133">
        <v>0</v>
      </c>
      <c r="T28" s="133">
        <v>0</v>
      </c>
      <c r="U28" s="133">
        <v>0</v>
      </c>
      <c r="V28" s="133">
        <v>2</v>
      </c>
      <c r="W28" s="133">
        <v>2</v>
      </c>
      <c r="X28" s="133">
        <v>2</v>
      </c>
      <c r="Y28" s="133">
        <v>0</v>
      </c>
      <c r="Z28" s="133">
        <v>0</v>
      </c>
      <c r="AA28" s="133">
        <v>0</v>
      </c>
      <c r="AB28" s="133">
        <v>0</v>
      </c>
      <c r="AC28" s="133">
        <v>0</v>
      </c>
    </row>
    <row r="29" spans="1:29" ht="25.05" customHeight="1" x14ac:dyDescent="0.25">
      <c r="A29" s="38">
        <v>7869732368</v>
      </c>
      <c r="B29" s="56" t="s">
        <v>671</v>
      </c>
      <c r="C29" s="43" t="s">
        <v>672</v>
      </c>
      <c r="D29" s="56" t="s">
        <v>251</v>
      </c>
      <c r="E29" s="56" t="s">
        <v>234</v>
      </c>
      <c r="F29" s="56" t="s">
        <v>235</v>
      </c>
      <c r="G29" s="56" t="s">
        <v>330</v>
      </c>
      <c r="H29" s="56" t="s">
        <v>115</v>
      </c>
      <c r="I29" s="56" t="s">
        <v>106</v>
      </c>
      <c r="J29" s="56" t="s">
        <v>185</v>
      </c>
      <c r="K29" s="56" t="s">
        <v>73</v>
      </c>
      <c r="L29" s="56" t="s">
        <v>12</v>
      </c>
      <c r="M29" s="56" t="s">
        <v>125</v>
      </c>
      <c r="N29" s="56" t="s">
        <v>16</v>
      </c>
      <c r="O29" s="140" t="s">
        <v>700</v>
      </c>
      <c r="P29" s="38" t="s">
        <v>18</v>
      </c>
      <c r="Q29" s="135">
        <v>48</v>
      </c>
      <c r="R29" s="133">
        <v>4</v>
      </c>
      <c r="S29" s="133">
        <v>4</v>
      </c>
      <c r="T29" s="133">
        <v>4</v>
      </c>
      <c r="U29" s="133">
        <v>4</v>
      </c>
      <c r="V29" s="133">
        <v>4</v>
      </c>
      <c r="W29" s="133">
        <v>4</v>
      </c>
      <c r="X29" s="133">
        <v>4</v>
      </c>
      <c r="Y29" s="133">
        <v>4</v>
      </c>
      <c r="Z29" s="133">
        <v>4</v>
      </c>
      <c r="AA29" s="133">
        <v>4</v>
      </c>
      <c r="AB29" s="133">
        <v>4</v>
      </c>
      <c r="AC29" s="133">
        <v>4</v>
      </c>
    </row>
    <row r="30" spans="1:29" ht="25.05" customHeight="1" x14ac:dyDescent="0.25">
      <c r="A30" s="38">
        <v>7869732368</v>
      </c>
      <c r="B30" s="56" t="s">
        <v>671</v>
      </c>
      <c r="C30" s="43" t="s">
        <v>672</v>
      </c>
      <c r="D30" s="56" t="s">
        <v>251</v>
      </c>
      <c r="E30" s="56" t="s">
        <v>234</v>
      </c>
      <c r="F30" s="56" t="s">
        <v>235</v>
      </c>
      <c r="G30" s="56" t="s">
        <v>330</v>
      </c>
      <c r="H30" s="56" t="s">
        <v>115</v>
      </c>
      <c r="I30" s="56" t="s">
        <v>106</v>
      </c>
      <c r="J30" s="56" t="s">
        <v>185</v>
      </c>
      <c r="K30" s="56" t="s">
        <v>73</v>
      </c>
      <c r="L30" s="56" t="s">
        <v>12</v>
      </c>
      <c r="M30" s="56" t="s">
        <v>125</v>
      </c>
      <c r="N30" s="56" t="s">
        <v>16</v>
      </c>
      <c r="O30" s="140" t="s">
        <v>701</v>
      </c>
      <c r="P30" s="38" t="s">
        <v>18</v>
      </c>
      <c r="Q30" s="135">
        <v>64</v>
      </c>
      <c r="R30" s="133">
        <v>7</v>
      </c>
      <c r="S30" s="133">
        <v>7</v>
      </c>
      <c r="T30" s="133">
        <v>5</v>
      </c>
      <c r="U30" s="133">
        <v>5</v>
      </c>
      <c r="V30" s="133">
        <v>5</v>
      </c>
      <c r="W30" s="133">
        <v>5</v>
      </c>
      <c r="X30" s="133">
        <v>5</v>
      </c>
      <c r="Y30" s="133">
        <v>5</v>
      </c>
      <c r="Z30" s="133">
        <v>5</v>
      </c>
      <c r="AA30" s="133">
        <v>5</v>
      </c>
      <c r="AB30" s="133">
        <v>5</v>
      </c>
      <c r="AC30" s="133">
        <v>5</v>
      </c>
    </row>
    <row r="31" spans="1:29" ht="25.05" customHeight="1" x14ac:dyDescent="0.25">
      <c r="A31" s="38">
        <v>7869732368</v>
      </c>
      <c r="B31" s="56" t="s">
        <v>671</v>
      </c>
      <c r="C31" s="43" t="s">
        <v>672</v>
      </c>
      <c r="D31" s="56" t="s">
        <v>251</v>
      </c>
      <c r="E31" s="56" t="s">
        <v>234</v>
      </c>
      <c r="F31" s="56" t="s">
        <v>235</v>
      </c>
      <c r="G31" s="56" t="s">
        <v>330</v>
      </c>
      <c r="H31" s="56" t="s">
        <v>115</v>
      </c>
      <c r="I31" s="56" t="s">
        <v>106</v>
      </c>
      <c r="J31" s="56" t="s">
        <v>185</v>
      </c>
      <c r="K31" s="56" t="s">
        <v>73</v>
      </c>
      <c r="L31" s="56" t="s">
        <v>12</v>
      </c>
      <c r="M31" s="56" t="s">
        <v>125</v>
      </c>
      <c r="N31" s="56" t="s">
        <v>16</v>
      </c>
      <c r="O31" s="141" t="s">
        <v>702</v>
      </c>
      <c r="P31" s="38" t="s">
        <v>18</v>
      </c>
      <c r="Q31" s="135">
        <v>500</v>
      </c>
      <c r="R31" s="133">
        <v>0</v>
      </c>
      <c r="S31" s="133">
        <v>0</v>
      </c>
      <c r="T31" s="133">
        <v>500</v>
      </c>
      <c r="U31" s="133">
        <v>0</v>
      </c>
      <c r="V31" s="133">
        <v>0</v>
      </c>
      <c r="W31" s="133">
        <v>0</v>
      </c>
      <c r="X31" s="133">
        <v>0</v>
      </c>
      <c r="Y31" s="133">
        <v>0</v>
      </c>
      <c r="Z31" s="133">
        <v>0</v>
      </c>
      <c r="AA31" s="133">
        <v>0</v>
      </c>
      <c r="AB31" s="133">
        <v>0</v>
      </c>
      <c r="AC31" s="133">
        <v>0</v>
      </c>
    </row>
    <row r="32" spans="1:29" ht="25.05" customHeight="1" x14ac:dyDescent="0.25">
      <c r="A32" s="38">
        <v>7869732368</v>
      </c>
      <c r="B32" s="56" t="s">
        <v>671</v>
      </c>
      <c r="C32" s="43" t="s">
        <v>672</v>
      </c>
      <c r="D32" s="56" t="s">
        <v>251</v>
      </c>
      <c r="E32" s="56" t="s">
        <v>234</v>
      </c>
      <c r="F32" s="56" t="s">
        <v>235</v>
      </c>
      <c r="G32" s="56" t="s">
        <v>330</v>
      </c>
      <c r="H32" s="56" t="s">
        <v>115</v>
      </c>
      <c r="I32" s="56" t="s">
        <v>106</v>
      </c>
      <c r="J32" s="56" t="s">
        <v>185</v>
      </c>
      <c r="K32" s="56" t="s">
        <v>73</v>
      </c>
      <c r="L32" s="56" t="s">
        <v>12</v>
      </c>
      <c r="M32" s="56" t="s">
        <v>125</v>
      </c>
      <c r="N32" s="56" t="s">
        <v>16</v>
      </c>
      <c r="O32" s="141" t="s">
        <v>703</v>
      </c>
      <c r="P32" s="38" t="s">
        <v>18</v>
      </c>
      <c r="Q32" s="135">
        <v>64</v>
      </c>
      <c r="R32" s="133">
        <v>0</v>
      </c>
      <c r="S32" s="133">
        <v>0</v>
      </c>
      <c r="T32" s="133">
        <v>0</v>
      </c>
      <c r="U32" s="133">
        <v>64</v>
      </c>
      <c r="V32" s="133">
        <v>0</v>
      </c>
      <c r="W32" s="133">
        <v>0</v>
      </c>
      <c r="X32" s="133">
        <v>0</v>
      </c>
      <c r="Y32" s="133">
        <v>0</v>
      </c>
      <c r="Z32" s="133">
        <v>0</v>
      </c>
      <c r="AA32" s="133">
        <v>0</v>
      </c>
      <c r="AB32" s="133">
        <v>0</v>
      </c>
      <c r="AC32" s="133">
        <v>0</v>
      </c>
    </row>
    <row r="33" spans="1:29" ht="25.05" customHeight="1" x14ac:dyDescent="0.25">
      <c r="A33" s="38">
        <v>7869732368</v>
      </c>
      <c r="B33" s="56" t="s">
        <v>671</v>
      </c>
      <c r="C33" s="43" t="s">
        <v>672</v>
      </c>
      <c r="D33" s="56" t="s">
        <v>251</v>
      </c>
      <c r="E33" s="56" t="s">
        <v>234</v>
      </c>
      <c r="F33" s="56" t="s">
        <v>235</v>
      </c>
      <c r="G33" s="56" t="s">
        <v>330</v>
      </c>
      <c r="H33" s="56" t="s">
        <v>115</v>
      </c>
      <c r="I33" s="56" t="s">
        <v>106</v>
      </c>
      <c r="J33" s="56" t="s">
        <v>185</v>
      </c>
      <c r="K33" s="56" t="s">
        <v>73</v>
      </c>
      <c r="L33" s="56" t="s">
        <v>12</v>
      </c>
      <c r="M33" s="56" t="s">
        <v>125</v>
      </c>
      <c r="N33" s="56" t="s">
        <v>16</v>
      </c>
      <c r="O33" s="141" t="s">
        <v>704</v>
      </c>
      <c r="P33" s="38" t="s">
        <v>705</v>
      </c>
      <c r="Q33" s="135">
        <v>11</v>
      </c>
      <c r="R33" s="133">
        <v>0</v>
      </c>
      <c r="S33" s="133">
        <v>0</v>
      </c>
      <c r="T33" s="133">
        <v>11</v>
      </c>
      <c r="U33" s="133">
        <v>0</v>
      </c>
      <c r="V33" s="133">
        <v>0</v>
      </c>
      <c r="W33" s="133">
        <v>0</v>
      </c>
      <c r="X33" s="133">
        <v>0</v>
      </c>
      <c r="Y33" s="133">
        <v>0</v>
      </c>
      <c r="Z33" s="133">
        <v>0</v>
      </c>
      <c r="AA33" s="133">
        <v>0</v>
      </c>
      <c r="AB33" s="133">
        <v>0</v>
      </c>
      <c r="AC33" s="133">
        <v>0</v>
      </c>
    </row>
    <row r="34" spans="1:29" ht="25.05" customHeight="1" x14ac:dyDescent="0.25">
      <c r="A34" s="38">
        <v>7869732368</v>
      </c>
      <c r="B34" s="56" t="s">
        <v>671</v>
      </c>
      <c r="C34" s="43" t="s">
        <v>672</v>
      </c>
      <c r="D34" s="56" t="s">
        <v>251</v>
      </c>
      <c r="E34" s="56" t="s">
        <v>234</v>
      </c>
      <c r="F34" s="56" t="s">
        <v>235</v>
      </c>
      <c r="G34" s="56" t="s">
        <v>330</v>
      </c>
      <c r="H34" s="56" t="s">
        <v>115</v>
      </c>
      <c r="I34" s="56" t="s">
        <v>106</v>
      </c>
      <c r="J34" s="56" t="s">
        <v>185</v>
      </c>
      <c r="K34" s="56" t="s">
        <v>73</v>
      </c>
      <c r="L34" s="56" t="s">
        <v>12</v>
      </c>
      <c r="M34" s="56" t="s">
        <v>125</v>
      </c>
      <c r="N34" s="56" t="s">
        <v>16</v>
      </c>
      <c r="O34" s="141" t="s">
        <v>706</v>
      </c>
      <c r="P34" s="38" t="s">
        <v>707</v>
      </c>
      <c r="Q34" s="135">
        <v>367</v>
      </c>
      <c r="R34" s="133">
        <v>30</v>
      </c>
      <c r="S34" s="133">
        <v>30</v>
      </c>
      <c r="T34" s="133">
        <v>30</v>
      </c>
      <c r="U34" s="133">
        <v>37</v>
      </c>
      <c r="V34" s="133">
        <v>30</v>
      </c>
      <c r="W34" s="133">
        <v>30</v>
      </c>
      <c r="X34" s="133">
        <v>30</v>
      </c>
      <c r="Y34" s="133">
        <v>30</v>
      </c>
      <c r="Z34" s="133">
        <v>30</v>
      </c>
      <c r="AA34" s="133">
        <v>30</v>
      </c>
      <c r="AB34" s="133">
        <v>30</v>
      </c>
      <c r="AC34" s="133">
        <v>30</v>
      </c>
    </row>
    <row r="35" spans="1:29" ht="25.05" customHeight="1" x14ac:dyDescent="0.25">
      <c r="A35" s="38">
        <v>7869732368</v>
      </c>
      <c r="B35" s="56" t="s">
        <v>671</v>
      </c>
      <c r="C35" s="43" t="s">
        <v>672</v>
      </c>
      <c r="D35" s="56" t="s">
        <v>251</v>
      </c>
      <c r="E35" s="56" t="s">
        <v>234</v>
      </c>
      <c r="F35" s="56" t="s">
        <v>235</v>
      </c>
      <c r="G35" s="56" t="s">
        <v>330</v>
      </c>
      <c r="H35" s="56" t="s">
        <v>115</v>
      </c>
      <c r="I35" s="56" t="s">
        <v>106</v>
      </c>
      <c r="J35" s="56" t="s">
        <v>185</v>
      </c>
      <c r="K35" s="56" t="s">
        <v>73</v>
      </c>
      <c r="L35" s="56" t="s">
        <v>12</v>
      </c>
      <c r="M35" s="56" t="s">
        <v>125</v>
      </c>
      <c r="N35" s="56" t="s">
        <v>16</v>
      </c>
      <c r="O35" s="141" t="s">
        <v>708</v>
      </c>
      <c r="P35" s="136" t="s">
        <v>709</v>
      </c>
      <c r="Q35" s="135">
        <v>50</v>
      </c>
      <c r="R35" s="133">
        <v>0</v>
      </c>
      <c r="S35" s="133">
        <v>0</v>
      </c>
      <c r="T35" s="133">
        <v>25</v>
      </c>
      <c r="U35" s="133">
        <v>25</v>
      </c>
      <c r="V35" s="133">
        <v>0</v>
      </c>
      <c r="W35" s="133">
        <v>0</v>
      </c>
      <c r="X35" s="133">
        <v>0</v>
      </c>
      <c r="Y35" s="133">
        <v>0</v>
      </c>
      <c r="Z35" s="133">
        <v>0</v>
      </c>
      <c r="AA35" s="133">
        <v>0</v>
      </c>
      <c r="AB35" s="133">
        <v>0</v>
      </c>
      <c r="AC35" s="133">
        <v>0</v>
      </c>
    </row>
    <row r="36" spans="1:29" ht="25.05" customHeight="1" x14ac:dyDescent="0.25">
      <c r="A36" s="38">
        <v>7869732368</v>
      </c>
      <c r="B36" s="56" t="s">
        <v>671</v>
      </c>
      <c r="C36" s="43" t="s">
        <v>672</v>
      </c>
      <c r="D36" s="56" t="s">
        <v>251</v>
      </c>
      <c r="E36" s="56" t="s">
        <v>234</v>
      </c>
      <c r="F36" s="56" t="s">
        <v>235</v>
      </c>
      <c r="G36" s="56" t="s">
        <v>330</v>
      </c>
      <c r="H36" s="56" t="s">
        <v>115</v>
      </c>
      <c r="I36" s="56" t="s">
        <v>106</v>
      </c>
      <c r="J36" s="56" t="s">
        <v>185</v>
      </c>
      <c r="K36" s="56" t="s">
        <v>73</v>
      </c>
      <c r="L36" s="56" t="s">
        <v>12</v>
      </c>
      <c r="M36" s="56" t="s">
        <v>125</v>
      </c>
      <c r="N36" s="56" t="s">
        <v>16</v>
      </c>
      <c r="O36" s="141" t="s">
        <v>710</v>
      </c>
      <c r="P36" s="136" t="s">
        <v>18</v>
      </c>
      <c r="Q36" s="135">
        <v>50</v>
      </c>
      <c r="R36" s="133">
        <v>0</v>
      </c>
      <c r="S36" s="133">
        <v>0</v>
      </c>
      <c r="T36" s="133">
        <v>25</v>
      </c>
      <c r="U36" s="133">
        <v>25</v>
      </c>
      <c r="V36" s="133">
        <v>0</v>
      </c>
      <c r="W36" s="133">
        <v>0</v>
      </c>
      <c r="X36" s="133">
        <v>0</v>
      </c>
      <c r="Y36" s="133">
        <v>0</v>
      </c>
      <c r="Z36" s="133">
        <v>0</v>
      </c>
      <c r="AA36" s="133">
        <v>0</v>
      </c>
      <c r="AB36" s="133">
        <v>0</v>
      </c>
      <c r="AC36" s="133">
        <v>0</v>
      </c>
    </row>
    <row r="37" spans="1:29" ht="25.05" customHeight="1" x14ac:dyDescent="0.25">
      <c r="A37" s="38">
        <v>7869732368</v>
      </c>
      <c r="B37" s="56" t="s">
        <v>671</v>
      </c>
      <c r="C37" s="43" t="s">
        <v>672</v>
      </c>
      <c r="D37" s="56" t="s">
        <v>251</v>
      </c>
      <c r="E37" s="56" t="s">
        <v>234</v>
      </c>
      <c r="F37" s="56" t="s">
        <v>235</v>
      </c>
      <c r="G37" s="56" t="s">
        <v>330</v>
      </c>
      <c r="H37" s="56" t="s">
        <v>115</v>
      </c>
      <c r="I37" s="56" t="s">
        <v>106</v>
      </c>
      <c r="J37" s="56" t="s">
        <v>185</v>
      </c>
      <c r="K37" s="56" t="s">
        <v>73</v>
      </c>
      <c r="L37" s="56" t="s">
        <v>12</v>
      </c>
      <c r="M37" s="56" t="s">
        <v>125</v>
      </c>
      <c r="N37" s="56" t="s">
        <v>16</v>
      </c>
      <c r="O37" s="141" t="s">
        <v>711</v>
      </c>
      <c r="P37" s="136" t="s">
        <v>712</v>
      </c>
      <c r="Q37" s="135">
        <v>6000</v>
      </c>
      <c r="R37" s="133">
        <v>0</v>
      </c>
      <c r="S37" s="133">
        <v>0</v>
      </c>
      <c r="T37" s="133">
        <v>0</v>
      </c>
      <c r="U37" s="133">
        <v>3000</v>
      </c>
      <c r="V37" s="133">
        <v>3000</v>
      </c>
      <c r="W37" s="133">
        <v>0</v>
      </c>
      <c r="X37" s="133">
        <v>0</v>
      </c>
      <c r="Y37" s="133">
        <v>0</v>
      </c>
      <c r="Z37" s="133">
        <v>0</v>
      </c>
      <c r="AA37" s="133">
        <v>0</v>
      </c>
      <c r="AB37" s="133">
        <v>0</v>
      </c>
      <c r="AC37" s="133">
        <v>0</v>
      </c>
    </row>
    <row r="38" spans="1:29" ht="25.05" customHeight="1" x14ac:dyDescent="0.25">
      <c r="A38" s="38">
        <v>7869732368</v>
      </c>
      <c r="B38" s="56" t="s">
        <v>671</v>
      </c>
      <c r="C38" s="43" t="s">
        <v>672</v>
      </c>
      <c r="D38" s="56" t="s">
        <v>251</v>
      </c>
      <c r="E38" s="56" t="s">
        <v>234</v>
      </c>
      <c r="F38" s="56" t="s">
        <v>235</v>
      </c>
      <c r="G38" s="56" t="s">
        <v>330</v>
      </c>
      <c r="H38" s="56" t="s">
        <v>115</v>
      </c>
      <c r="I38" s="56" t="s">
        <v>106</v>
      </c>
      <c r="J38" s="56" t="s">
        <v>185</v>
      </c>
      <c r="K38" s="56" t="s">
        <v>73</v>
      </c>
      <c r="L38" s="56" t="s">
        <v>12</v>
      </c>
      <c r="M38" s="56" t="s">
        <v>125</v>
      </c>
      <c r="N38" s="56" t="s">
        <v>16</v>
      </c>
      <c r="O38" s="141" t="s">
        <v>713</v>
      </c>
      <c r="P38" s="136" t="s">
        <v>331</v>
      </c>
      <c r="Q38" s="135">
        <v>6000</v>
      </c>
      <c r="R38" s="133">
        <v>0</v>
      </c>
      <c r="S38" s="133">
        <v>0</v>
      </c>
      <c r="T38" s="133">
        <v>0</v>
      </c>
      <c r="U38" s="133">
        <v>3000</v>
      </c>
      <c r="V38" s="133">
        <v>3000</v>
      </c>
      <c r="W38" s="133">
        <v>0</v>
      </c>
      <c r="X38" s="133">
        <v>0</v>
      </c>
      <c r="Y38" s="133">
        <v>0</v>
      </c>
      <c r="Z38" s="133">
        <v>0</v>
      </c>
      <c r="AA38" s="133">
        <v>0</v>
      </c>
      <c r="AB38" s="133">
        <v>0</v>
      </c>
      <c r="AC38" s="133">
        <v>0</v>
      </c>
    </row>
    <row r="39" spans="1:29" ht="25.05" customHeight="1" x14ac:dyDescent="0.25">
      <c r="A39" s="38">
        <v>7869732368</v>
      </c>
      <c r="B39" s="56" t="s">
        <v>671</v>
      </c>
      <c r="C39" s="43" t="s">
        <v>672</v>
      </c>
      <c r="D39" s="56" t="s">
        <v>251</v>
      </c>
      <c r="E39" s="56" t="s">
        <v>234</v>
      </c>
      <c r="F39" s="56" t="s">
        <v>235</v>
      </c>
      <c r="G39" s="56" t="s">
        <v>330</v>
      </c>
      <c r="H39" s="56" t="s">
        <v>115</v>
      </c>
      <c r="I39" s="56" t="s">
        <v>106</v>
      </c>
      <c r="J39" s="56" t="s">
        <v>185</v>
      </c>
      <c r="K39" s="56" t="s">
        <v>73</v>
      </c>
      <c r="L39" s="56" t="s">
        <v>12</v>
      </c>
      <c r="M39" s="56" t="s">
        <v>125</v>
      </c>
      <c r="N39" s="56" t="s">
        <v>16</v>
      </c>
      <c r="O39" s="141" t="s">
        <v>714</v>
      </c>
      <c r="P39" s="136" t="s">
        <v>18</v>
      </c>
      <c r="Q39" s="135">
        <v>12</v>
      </c>
      <c r="R39" s="133">
        <v>0</v>
      </c>
      <c r="S39" s="133">
        <v>0</v>
      </c>
      <c r="T39" s="133">
        <v>0</v>
      </c>
      <c r="U39" s="133">
        <v>0</v>
      </c>
      <c r="V39" s="133">
        <v>6</v>
      </c>
      <c r="W39" s="133">
        <v>6</v>
      </c>
      <c r="X39" s="133">
        <v>0</v>
      </c>
      <c r="Y39" s="133">
        <v>0</v>
      </c>
      <c r="Z39" s="133">
        <v>0</v>
      </c>
      <c r="AA39" s="133">
        <v>0</v>
      </c>
      <c r="AB39" s="133">
        <v>0</v>
      </c>
      <c r="AC39" s="133">
        <v>0</v>
      </c>
    </row>
    <row r="40" spans="1:29" ht="25.05" customHeight="1" x14ac:dyDescent="0.25">
      <c r="A40" s="38">
        <v>7869732368</v>
      </c>
      <c r="B40" s="56" t="s">
        <v>671</v>
      </c>
      <c r="C40" s="43" t="s">
        <v>672</v>
      </c>
      <c r="D40" s="56" t="s">
        <v>251</v>
      </c>
      <c r="E40" s="56" t="s">
        <v>234</v>
      </c>
      <c r="F40" s="56" t="s">
        <v>235</v>
      </c>
      <c r="G40" s="56" t="s">
        <v>330</v>
      </c>
      <c r="H40" s="56" t="s">
        <v>115</v>
      </c>
      <c r="I40" s="56" t="s">
        <v>106</v>
      </c>
      <c r="J40" s="56" t="s">
        <v>185</v>
      </c>
      <c r="K40" s="56" t="s">
        <v>73</v>
      </c>
      <c r="L40" s="56" t="s">
        <v>12</v>
      </c>
      <c r="M40" s="56" t="s">
        <v>125</v>
      </c>
      <c r="N40" s="56" t="s">
        <v>16</v>
      </c>
      <c r="O40" s="141" t="s">
        <v>715</v>
      </c>
      <c r="P40" s="136" t="s">
        <v>18</v>
      </c>
      <c r="Q40" s="135">
        <v>50</v>
      </c>
      <c r="R40" s="133">
        <v>0</v>
      </c>
      <c r="S40" s="133">
        <v>0</v>
      </c>
      <c r="T40" s="133">
        <v>0</v>
      </c>
      <c r="U40" s="133">
        <v>25</v>
      </c>
      <c r="V40" s="133">
        <v>25</v>
      </c>
      <c r="W40" s="133">
        <v>0</v>
      </c>
      <c r="X40" s="133">
        <v>0</v>
      </c>
      <c r="Y40" s="133">
        <v>0</v>
      </c>
      <c r="Z40" s="133">
        <v>0</v>
      </c>
      <c r="AA40" s="133">
        <v>0</v>
      </c>
      <c r="AB40" s="133">
        <v>0</v>
      </c>
      <c r="AC40" s="133">
        <v>0</v>
      </c>
    </row>
    <row r="41" spans="1:29" ht="25.05" customHeight="1" x14ac:dyDescent="0.25">
      <c r="A41" s="38">
        <v>7869732368</v>
      </c>
      <c r="B41" s="56" t="s">
        <v>671</v>
      </c>
      <c r="C41" s="43" t="s">
        <v>672</v>
      </c>
      <c r="D41" s="56" t="s">
        <v>251</v>
      </c>
      <c r="E41" s="56" t="s">
        <v>234</v>
      </c>
      <c r="F41" s="56" t="s">
        <v>235</v>
      </c>
      <c r="G41" s="56" t="s">
        <v>330</v>
      </c>
      <c r="H41" s="56" t="s">
        <v>115</v>
      </c>
      <c r="I41" s="56" t="s">
        <v>106</v>
      </c>
      <c r="J41" s="56" t="s">
        <v>185</v>
      </c>
      <c r="K41" s="56" t="s">
        <v>73</v>
      </c>
      <c r="L41" s="56" t="s">
        <v>12</v>
      </c>
      <c r="M41" s="56" t="s">
        <v>125</v>
      </c>
      <c r="N41" s="56" t="s">
        <v>16</v>
      </c>
      <c r="O41" s="141" t="s">
        <v>716</v>
      </c>
      <c r="P41" s="136" t="s">
        <v>717</v>
      </c>
      <c r="Q41" s="135">
        <v>12</v>
      </c>
      <c r="R41" s="133">
        <v>0</v>
      </c>
      <c r="S41" s="133">
        <v>0</v>
      </c>
      <c r="T41" s="133">
        <v>0</v>
      </c>
      <c r="U41" s="133">
        <v>3</v>
      </c>
      <c r="V41" s="133">
        <v>3</v>
      </c>
      <c r="W41" s="133">
        <v>0</v>
      </c>
      <c r="X41" s="133">
        <v>0</v>
      </c>
      <c r="Y41" s="133">
        <v>0</v>
      </c>
      <c r="Z41" s="133">
        <v>0</v>
      </c>
      <c r="AA41" s="133">
        <v>0</v>
      </c>
      <c r="AB41" s="133">
        <v>0</v>
      </c>
      <c r="AC41" s="133">
        <v>0</v>
      </c>
    </row>
    <row r="42" spans="1:29" ht="25.05" customHeight="1" x14ac:dyDescent="0.25">
      <c r="A42" s="38">
        <v>7869732368</v>
      </c>
      <c r="B42" s="56" t="s">
        <v>671</v>
      </c>
      <c r="C42" s="43" t="s">
        <v>672</v>
      </c>
      <c r="D42" s="56" t="s">
        <v>251</v>
      </c>
      <c r="E42" s="56" t="s">
        <v>234</v>
      </c>
      <c r="F42" s="56" t="s">
        <v>235</v>
      </c>
      <c r="G42" s="56" t="s">
        <v>330</v>
      </c>
      <c r="H42" s="56" t="s">
        <v>115</v>
      </c>
      <c r="I42" s="56" t="s">
        <v>106</v>
      </c>
      <c r="J42" s="56" t="s">
        <v>185</v>
      </c>
      <c r="K42" s="56" t="s">
        <v>73</v>
      </c>
      <c r="L42" s="56" t="s">
        <v>12</v>
      </c>
      <c r="M42" s="56" t="s">
        <v>125</v>
      </c>
      <c r="N42" s="56" t="s">
        <v>16</v>
      </c>
      <c r="O42" s="141" t="s">
        <v>718</v>
      </c>
      <c r="P42" s="136" t="s">
        <v>719</v>
      </c>
      <c r="Q42" s="135">
        <v>300</v>
      </c>
      <c r="R42" s="133">
        <v>0</v>
      </c>
      <c r="S42" s="133">
        <v>0</v>
      </c>
      <c r="T42" s="133">
        <v>0</v>
      </c>
      <c r="U42" s="133">
        <v>150</v>
      </c>
      <c r="V42" s="133">
        <v>150</v>
      </c>
      <c r="W42" s="133">
        <v>0</v>
      </c>
      <c r="X42" s="133">
        <v>0</v>
      </c>
      <c r="Y42" s="133">
        <v>0</v>
      </c>
      <c r="Z42" s="133">
        <v>0</v>
      </c>
      <c r="AA42" s="133">
        <v>0</v>
      </c>
      <c r="AB42" s="133">
        <v>0</v>
      </c>
      <c r="AC42" s="133">
        <v>0</v>
      </c>
    </row>
    <row r="43" spans="1:29" ht="25.05" customHeight="1" x14ac:dyDescent="0.25">
      <c r="A43" s="38">
        <v>7869732368</v>
      </c>
      <c r="B43" s="56" t="s">
        <v>671</v>
      </c>
      <c r="C43" s="43" t="s">
        <v>672</v>
      </c>
      <c r="D43" s="56" t="s">
        <v>251</v>
      </c>
      <c r="E43" s="56" t="s">
        <v>234</v>
      </c>
      <c r="F43" s="56" t="s">
        <v>235</v>
      </c>
      <c r="G43" s="56" t="s">
        <v>330</v>
      </c>
      <c r="H43" s="56" t="s">
        <v>115</v>
      </c>
      <c r="I43" s="56" t="s">
        <v>106</v>
      </c>
      <c r="J43" s="56" t="s">
        <v>185</v>
      </c>
      <c r="K43" s="56" t="s">
        <v>73</v>
      </c>
      <c r="L43" s="56" t="s">
        <v>12</v>
      </c>
      <c r="M43" s="56" t="s">
        <v>125</v>
      </c>
      <c r="N43" s="56" t="s">
        <v>16</v>
      </c>
      <c r="O43" s="141" t="s">
        <v>720</v>
      </c>
      <c r="P43" s="136" t="s">
        <v>717</v>
      </c>
      <c r="Q43" s="135">
        <v>12</v>
      </c>
      <c r="R43" s="133">
        <v>0</v>
      </c>
      <c r="S43" s="133">
        <v>0</v>
      </c>
      <c r="T43" s="133">
        <v>0</v>
      </c>
      <c r="U43" s="133">
        <v>3</v>
      </c>
      <c r="V43" s="133">
        <v>3</v>
      </c>
      <c r="W43" s="133">
        <v>0</v>
      </c>
      <c r="X43" s="133">
        <v>0</v>
      </c>
      <c r="Y43" s="133"/>
      <c r="Z43" s="133">
        <v>0</v>
      </c>
      <c r="AA43" s="133">
        <v>0</v>
      </c>
      <c r="AB43" s="133">
        <v>0</v>
      </c>
      <c r="AC43" s="133">
        <v>0</v>
      </c>
    </row>
    <row r="44" spans="1:29" ht="25.05" customHeight="1" x14ac:dyDescent="0.25">
      <c r="A44" s="38">
        <v>7869732368</v>
      </c>
      <c r="B44" s="56" t="s">
        <v>671</v>
      </c>
      <c r="C44" s="43" t="s">
        <v>672</v>
      </c>
      <c r="D44" s="56" t="s">
        <v>251</v>
      </c>
      <c r="E44" s="56" t="s">
        <v>234</v>
      </c>
      <c r="F44" s="56" t="s">
        <v>235</v>
      </c>
      <c r="G44" s="56" t="s">
        <v>330</v>
      </c>
      <c r="H44" s="56" t="s">
        <v>115</v>
      </c>
      <c r="I44" s="56" t="s">
        <v>106</v>
      </c>
      <c r="J44" s="56" t="s">
        <v>185</v>
      </c>
      <c r="K44" s="56" t="s">
        <v>73</v>
      </c>
      <c r="L44" s="56" t="s">
        <v>12</v>
      </c>
      <c r="M44" s="56" t="s">
        <v>125</v>
      </c>
      <c r="N44" s="56" t="s">
        <v>16</v>
      </c>
      <c r="O44" s="141" t="s">
        <v>721</v>
      </c>
      <c r="P44" s="38" t="s">
        <v>331</v>
      </c>
      <c r="Q44" s="134">
        <v>5500</v>
      </c>
      <c r="R44" s="133">
        <v>0</v>
      </c>
      <c r="S44" s="133">
        <v>0</v>
      </c>
      <c r="T44" s="133">
        <v>0</v>
      </c>
      <c r="U44" s="133">
        <v>2000</v>
      </c>
      <c r="V44" s="133">
        <v>2000</v>
      </c>
      <c r="W44" s="133">
        <v>1500</v>
      </c>
      <c r="X44" s="133">
        <v>0</v>
      </c>
      <c r="Y44" s="133">
        <v>0</v>
      </c>
      <c r="Z44" s="133">
        <v>0</v>
      </c>
      <c r="AA44" s="133">
        <v>2000</v>
      </c>
      <c r="AB44" s="133">
        <v>2000</v>
      </c>
      <c r="AC44" s="133">
        <v>1500</v>
      </c>
    </row>
    <row r="45" spans="1:29" ht="25.05" customHeight="1" x14ac:dyDescent="0.25">
      <c r="A45" s="38">
        <v>7869732368</v>
      </c>
      <c r="B45" s="56" t="s">
        <v>671</v>
      </c>
      <c r="C45" s="43" t="s">
        <v>672</v>
      </c>
      <c r="D45" s="56" t="s">
        <v>251</v>
      </c>
      <c r="E45" s="56" t="s">
        <v>234</v>
      </c>
      <c r="F45" s="56" t="s">
        <v>235</v>
      </c>
      <c r="G45" s="56" t="s">
        <v>330</v>
      </c>
      <c r="H45" s="56" t="s">
        <v>115</v>
      </c>
      <c r="I45" s="56" t="s">
        <v>106</v>
      </c>
      <c r="J45" s="56" t="s">
        <v>185</v>
      </c>
      <c r="K45" s="56" t="s">
        <v>73</v>
      </c>
      <c r="L45" s="56" t="s">
        <v>12</v>
      </c>
      <c r="M45" s="56" t="s">
        <v>125</v>
      </c>
      <c r="N45" s="56" t="s">
        <v>16</v>
      </c>
      <c r="O45" s="141" t="s">
        <v>722</v>
      </c>
      <c r="P45" s="38" t="s">
        <v>331</v>
      </c>
      <c r="Q45" s="134">
        <v>5500</v>
      </c>
      <c r="R45" s="133">
        <v>0</v>
      </c>
      <c r="S45" s="133">
        <v>0</v>
      </c>
      <c r="T45" s="133">
        <v>0</v>
      </c>
      <c r="U45" s="133">
        <v>3500</v>
      </c>
      <c r="V45" s="133">
        <v>2000</v>
      </c>
      <c r="W45" s="133">
        <v>0</v>
      </c>
      <c r="X45" s="133">
        <v>0</v>
      </c>
      <c r="Y45" s="133">
        <v>0</v>
      </c>
      <c r="Z45" s="133">
        <v>0</v>
      </c>
      <c r="AA45" s="133">
        <v>0</v>
      </c>
      <c r="AB45" s="133">
        <v>0</v>
      </c>
      <c r="AC45" s="133">
        <v>0</v>
      </c>
    </row>
    <row r="46" spans="1:29" ht="25.05" customHeight="1" x14ac:dyDescent="0.25">
      <c r="A46" s="38">
        <v>7869732368</v>
      </c>
      <c r="B46" s="56" t="s">
        <v>671</v>
      </c>
      <c r="C46" s="43" t="s">
        <v>672</v>
      </c>
      <c r="D46" s="56" t="s">
        <v>251</v>
      </c>
      <c r="E46" s="56" t="s">
        <v>234</v>
      </c>
      <c r="F46" s="56" t="s">
        <v>235</v>
      </c>
      <c r="G46" s="56" t="s">
        <v>330</v>
      </c>
      <c r="H46" s="56" t="s">
        <v>115</v>
      </c>
      <c r="I46" s="56" t="s">
        <v>106</v>
      </c>
      <c r="J46" s="56" t="s">
        <v>185</v>
      </c>
      <c r="K46" s="56" t="s">
        <v>73</v>
      </c>
      <c r="L46" s="56" t="s">
        <v>12</v>
      </c>
      <c r="M46" s="56" t="s">
        <v>125</v>
      </c>
      <c r="N46" s="56" t="s">
        <v>16</v>
      </c>
      <c r="O46" s="141" t="s">
        <v>723</v>
      </c>
      <c r="P46" s="12" t="s">
        <v>18</v>
      </c>
      <c r="Q46" s="12">
        <v>11</v>
      </c>
      <c r="R46" s="133">
        <v>0</v>
      </c>
      <c r="S46" s="133">
        <v>0</v>
      </c>
      <c r="T46" s="133">
        <v>0</v>
      </c>
      <c r="U46" s="12">
        <v>0</v>
      </c>
      <c r="V46" s="12">
        <v>5</v>
      </c>
      <c r="W46" s="12">
        <v>6</v>
      </c>
      <c r="X46" s="133">
        <v>0</v>
      </c>
      <c r="Y46" s="133">
        <v>0</v>
      </c>
      <c r="Z46" s="133">
        <v>0</v>
      </c>
      <c r="AA46" s="133">
        <v>0</v>
      </c>
      <c r="AB46" s="133">
        <v>0</v>
      </c>
      <c r="AC46" s="133">
        <v>0</v>
      </c>
    </row>
    <row r="47" spans="1:29" ht="25.05" customHeight="1" x14ac:dyDescent="0.25">
      <c r="A47" s="38">
        <v>7869732368</v>
      </c>
      <c r="B47" s="56" t="s">
        <v>671</v>
      </c>
      <c r="C47" s="43" t="s">
        <v>672</v>
      </c>
      <c r="D47" s="56" t="s">
        <v>251</v>
      </c>
      <c r="E47" s="56" t="s">
        <v>234</v>
      </c>
      <c r="F47" s="56" t="s">
        <v>235</v>
      </c>
      <c r="G47" s="56" t="s">
        <v>330</v>
      </c>
      <c r="H47" s="56" t="s">
        <v>115</v>
      </c>
      <c r="I47" s="56" t="s">
        <v>106</v>
      </c>
      <c r="J47" s="56" t="s">
        <v>185</v>
      </c>
      <c r="K47" s="56" t="s">
        <v>73</v>
      </c>
      <c r="L47" s="56" t="s">
        <v>12</v>
      </c>
      <c r="M47" s="56" t="s">
        <v>125</v>
      </c>
      <c r="N47" s="56" t="s">
        <v>16</v>
      </c>
      <c r="O47" s="141" t="s">
        <v>724</v>
      </c>
      <c r="P47" s="12" t="s">
        <v>18</v>
      </c>
      <c r="Q47" s="135">
        <v>11</v>
      </c>
      <c r="R47" s="133">
        <v>0</v>
      </c>
      <c r="S47" s="133">
        <v>0</v>
      </c>
      <c r="T47" s="133">
        <v>0</v>
      </c>
      <c r="U47" s="133">
        <v>0</v>
      </c>
      <c r="V47" s="133">
        <v>5</v>
      </c>
      <c r="W47" s="133">
        <v>6</v>
      </c>
      <c r="X47" s="133">
        <v>0</v>
      </c>
      <c r="Y47" s="133">
        <v>0</v>
      </c>
      <c r="Z47" s="133">
        <v>0</v>
      </c>
      <c r="AA47" s="133">
        <v>0</v>
      </c>
      <c r="AB47" s="133">
        <v>0</v>
      </c>
      <c r="AC47" s="133">
        <v>0</v>
      </c>
    </row>
    <row r="48" spans="1:29" ht="25.05" customHeight="1" x14ac:dyDescent="0.25">
      <c r="A48" s="38">
        <v>7869732368</v>
      </c>
      <c r="B48" s="56" t="s">
        <v>671</v>
      </c>
      <c r="C48" s="43" t="s">
        <v>672</v>
      </c>
      <c r="D48" s="56" t="s">
        <v>251</v>
      </c>
      <c r="E48" s="56" t="s">
        <v>234</v>
      </c>
      <c r="F48" s="56" t="s">
        <v>235</v>
      </c>
      <c r="G48" s="56" t="s">
        <v>330</v>
      </c>
      <c r="H48" s="56" t="s">
        <v>115</v>
      </c>
      <c r="I48" s="56" t="s">
        <v>106</v>
      </c>
      <c r="J48" s="56" t="s">
        <v>185</v>
      </c>
      <c r="K48" s="56" t="s">
        <v>73</v>
      </c>
      <c r="L48" s="56" t="s">
        <v>12</v>
      </c>
      <c r="M48" s="56" t="s">
        <v>125</v>
      </c>
      <c r="N48" s="56" t="s">
        <v>16</v>
      </c>
      <c r="O48" s="141" t="s">
        <v>725</v>
      </c>
      <c r="P48" s="38" t="s">
        <v>18</v>
      </c>
      <c r="Q48" s="135">
        <v>12</v>
      </c>
      <c r="R48" s="133">
        <v>1</v>
      </c>
      <c r="S48" s="133">
        <v>1</v>
      </c>
      <c r="T48" s="133">
        <v>1</v>
      </c>
      <c r="U48" s="133">
        <v>1</v>
      </c>
      <c r="V48" s="133">
        <v>1</v>
      </c>
      <c r="W48" s="133">
        <v>1</v>
      </c>
      <c r="X48" s="133">
        <v>1</v>
      </c>
      <c r="Y48" s="133">
        <v>1</v>
      </c>
      <c r="Z48" s="133">
        <v>1</v>
      </c>
      <c r="AA48" s="133">
        <v>1</v>
      </c>
      <c r="AB48" s="133">
        <v>1</v>
      </c>
      <c r="AC48" s="133">
        <v>1</v>
      </c>
    </row>
    <row r="49" spans="1:29" ht="25.05" customHeight="1" x14ac:dyDescent="0.25">
      <c r="A49" s="38">
        <v>7869732368</v>
      </c>
      <c r="B49" s="56" t="s">
        <v>671</v>
      </c>
      <c r="C49" s="43" t="s">
        <v>672</v>
      </c>
      <c r="D49" s="56" t="s">
        <v>251</v>
      </c>
      <c r="E49" s="56" t="s">
        <v>234</v>
      </c>
      <c r="F49" s="56" t="s">
        <v>235</v>
      </c>
      <c r="G49" s="56" t="s">
        <v>330</v>
      </c>
      <c r="H49" s="56" t="s">
        <v>115</v>
      </c>
      <c r="I49" s="56" t="s">
        <v>106</v>
      </c>
      <c r="J49" s="56" t="s">
        <v>185</v>
      </c>
      <c r="K49" s="56" t="s">
        <v>73</v>
      </c>
      <c r="L49" s="56" t="s">
        <v>12</v>
      </c>
      <c r="M49" s="56" t="s">
        <v>125</v>
      </c>
      <c r="N49" s="56" t="s">
        <v>16</v>
      </c>
      <c r="O49" s="141" t="s">
        <v>726</v>
      </c>
      <c r="P49" s="38" t="s">
        <v>18</v>
      </c>
      <c r="Q49" s="135">
        <v>5500</v>
      </c>
      <c r="R49" s="133">
        <v>1100</v>
      </c>
      <c r="S49" s="133">
        <v>1187</v>
      </c>
      <c r="T49" s="133">
        <v>1384</v>
      </c>
      <c r="U49" s="133">
        <v>600</v>
      </c>
      <c r="V49" s="133">
        <v>1229</v>
      </c>
      <c r="W49" s="133">
        <v>0</v>
      </c>
      <c r="X49" s="133">
        <v>0</v>
      </c>
      <c r="Y49" s="133">
        <v>0</v>
      </c>
      <c r="Z49" s="133">
        <v>0</v>
      </c>
      <c r="AA49" s="133">
        <v>0</v>
      </c>
      <c r="AB49" s="133">
        <v>0</v>
      </c>
      <c r="AC49" s="133">
        <v>0</v>
      </c>
    </row>
    <row r="50" spans="1:29" ht="25.05" customHeight="1" x14ac:dyDescent="0.25">
      <c r="A50" s="38">
        <v>7869732368</v>
      </c>
      <c r="B50" s="56" t="s">
        <v>671</v>
      </c>
      <c r="C50" s="43" t="s">
        <v>672</v>
      </c>
      <c r="D50" s="56" t="s">
        <v>251</v>
      </c>
      <c r="E50" s="56" t="s">
        <v>234</v>
      </c>
      <c r="F50" s="56" t="s">
        <v>235</v>
      </c>
      <c r="G50" s="56" t="s">
        <v>330</v>
      </c>
      <c r="H50" s="56" t="s">
        <v>115</v>
      </c>
      <c r="I50" s="56" t="s">
        <v>106</v>
      </c>
      <c r="J50" s="56" t="s">
        <v>185</v>
      </c>
      <c r="K50" s="56" t="s">
        <v>73</v>
      </c>
      <c r="L50" s="56" t="s">
        <v>12</v>
      </c>
      <c r="M50" s="56" t="s">
        <v>125</v>
      </c>
      <c r="N50" s="56" t="s">
        <v>16</v>
      </c>
      <c r="O50" s="141" t="s">
        <v>727</v>
      </c>
      <c r="P50" s="38" t="s">
        <v>18</v>
      </c>
      <c r="Q50" s="135">
        <v>3</v>
      </c>
      <c r="R50" s="133">
        <v>0</v>
      </c>
      <c r="S50" s="133">
        <v>0</v>
      </c>
      <c r="T50" s="133">
        <v>0</v>
      </c>
      <c r="U50" s="133">
        <v>0</v>
      </c>
      <c r="V50" s="133">
        <v>1</v>
      </c>
      <c r="W50" s="133">
        <v>1</v>
      </c>
      <c r="X50" s="133">
        <v>1</v>
      </c>
      <c r="Y50" s="133">
        <v>0</v>
      </c>
      <c r="Z50" s="133">
        <v>0</v>
      </c>
      <c r="AA50" s="133">
        <v>0</v>
      </c>
      <c r="AB50" s="133">
        <v>0</v>
      </c>
      <c r="AC50" s="133">
        <v>0</v>
      </c>
    </row>
    <row r="51" spans="1:29" ht="25.05" customHeight="1" x14ac:dyDescent="0.25">
      <c r="A51" s="38">
        <v>7869732368</v>
      </c>
      <c r="B51" s="56" t="s">
        <v>671</v>
      </c>
      <c r="C51" s="43" t="s">
        <v>672</v>
      </c>
      <c r="D51" s="56" t="s">
        <v>251</v>
      </c>
      <c r="E51" s="56" t="s">
        <v>234</v>
      </c>
      <c r="F51" s="56" t="s">
        <v>235</v>
      </c>
      <c r="G51" s="56" t="s">
        <v>330</v>
      </c>
      <c r="H51" s="56" t="s">
        <v>115</v>
      </c>
      <c r="I51" s="56" t="s">
        <v>106</v>
      </c>
      <c r="J51" s="56" t="s">
        <v>185</v>
      </c>
      <c r="K51" s="56" t="s">
        <v>73</v>
      </c>
      <c r="L51" s="56" t="s">
        <v>12</v>
      </c>
      <c r="M51" s="56" t="s">
        <v>125</v>
      </c>
      <c r="N51" s="56" t="s">
        <v>16</v>
      </c>
      <c r="O51" s="141" t="s">
        <v>728</v>
      </c>
      <c r="P51" s="38" t="s">
        <v>18</v>
      </c>
      <c r="Q51" s="135">
        <v>1</v>
      </c>
      <c r="R51" s="133">
        <v>1</v>
      </c>
      <c r="S51" s="133">
        <v>1</v>
      </c>
      <c r="T51" s="133">
        <v>1</v>
      </c>
      <c r="U51" s="133">
        <v>1</v>
      </c>
      <c r="V51" s="133">
        <v>1</v>
      </c>
      <c r="W51" s="133">
        <v>1</v>
      </c>
      <c r="X51" s="133">
        <v>1</v>
      </c>
      <c r="Y51" s="133">
        <v>1</v>
      </c>
      <c r="Z51" s="133">
        <v>1</v>
      </c>
      <c r="AA51" s="133">
        <v>1</v>
      </c>
      <c r="AB51" s="133">
        <v>1</v>
      </c>
      <c r="AC51" s="133">
        <v>1</v>
      </c>
    </row>
    <row r="52" spans="1:29" ht="25.05" customHeight="1" x14ac:dyDescent="0.25">
      <c r="A52" s="38">
        <v>7869732368</v>
      </c>
      <c r="B52" s="56" t="s">
        <v>671</v>
      </c>
      <c r="C52" s="43" t="s">
        <v>672</v>
      </c>
      <c r="D52" s="56" t="s">
        <v>251</v>
      </c>
      <c r="E52" s="56" t="s">
        <v>234</v>
      </c>
      <c r="F52" s="56" t="s">
        <v>235</v>
      </c>
      <c r="G52" s="56" t="s">
        <v>330</v>
      </c>
      <c r="H52" s="56" t="s">
        <v>115</v>
      </c>
      <c r="I52" s="56" t="s">
        <v>106</v>
      </c>
      <c r="J52" s="56" t="s">
        <v>185</v>
      </c>
      <c r="K52" s="56" t="s">
        <v>73</v>
      </c>
      <c r="L52" s="56" t="s">
        <v>12</v>
      </c>
      <c r="M52" s="56" t="s">
        <v>125</v>
      </c>
      <c r="N52" s="56" t="s">
        <v>16</v>
      </c>
      <c r="O52" s="141" t="s">
        <v>729</v>
      </c>
      <c r="P52" s="38" t="s">
        <v>18</v>
      </c>
      <c r="Q52" s="135">
        <v>500</v>
      </c>
      <c r="R52" s="133">
        <v>0</v>
      </c>
      <c r="S52" s="133">
        <v>0</v>
      </c>
      <c r="T52" s="133">
        <v>0</v>
      </c>
      <c r="U52" s="133">
        <v>0</v>
      </c>
      <c r="V52" s="133">
        <v>0</v>
      </c>
      <c r="W52" s="133">
        <v>0</v>
      </c>
      <c r="X52" s="133">
        <v>0</v>
      </c>
      <c r="Y52" s="133">
        <v>0</v>
      </c>
      <c r="Z52" s="133">
        <v>150</v>
      </c>
      <c r="AA52" s="133">
        <v>150</v>
      </c>
      <c r="AB52" s="133">
        <v>100</v>
      </c>
      <c r="AC52" s="133">
        <v>100</v>
      </c>
    </row>
    <row r="53" spans="1:29" ht="25.05" customHeight="1" x14ac:dyDescent="0.25">
      <c r="A53" s="38">
        <v>7869732368</v>
      </c>
      <c r="B53" s="56" t="s">
        <v>671</v>
      </c>
      <c r="C53" s="43" t="s">
        <v>672</v>
      </c>
      <c r="D53" s="56" t="s">
        <v>251</v>
      </c>
      <c r="E53" s="56" t="s">
        <v>234</v>
      </c>
      <c r="F53" s="56" t="s">
        <v>235</v>
      </c>
      <c r="G53" s="56" t="s">
        <v>330</v>
      </c>
      <c r="H53" s="56" t="s">
        <v>115</v>
      </c>
      <c r="I53" s="56" t="s">
        <v>106</v>
      </c>
      <c r="J53" s="56" t="s">
        <v>185</v>
      </c>
      <c r="K53" s="56" t="s">
        <v>73</v>
      </c>
      <c r="L53" s="56" t="s">
        <v>12</v>
      </c>
      <c r="M53" s="56" t="s">
        <v>125</v>
      </c>
      <c r="N53" s="56" t="s">
        <v>16</v>
      </c>
      <c r="O53" s="141" t="s">
        <v>730</v>
      </c>
      <c r="P53" s="39" t="s">
        <v>731</v>
      </c>
      <c r="Q53" s="135">
        <v>2.5</v>
      </c>
      <c r="R53" s="133">
        <v>0</v>
      </c>
      <c r="S53" s="133">
        <v>0</v>
      </c>
      <c r="T53" s="133">
        <v>0</v>
      </c>
      <c r="U53" s="133">
        <v>0</v>
      </c>
      <c r="V53" s="133">
        <v>0</v>
      </c>
      <c r="W53" s="133">
        <v>0</v>
      </c>
      <c r="X53" s="133">
        <v>0</v>
      </c>
      <c r="Y53" s="133">
        <v>0</v>
      </c>
      <c r="Z53" s="133">
        <v>0.75</v>
      </c>
      <c r="AA53" s="133">
        <v>0.75</v>
      </c>
      <c r="AB53" s="133">
        <v>0.5</v>
      </c>
      <c r="AC53" s="133">
        <v>0.5</v>
      </c>
    </row>
    <row r="54" spans="1:29" ht="25.05" customHeight="1" x14ac:dyDescent="0.25">
      <c r="A54" s="38">
        <v>7869732368</v>
      </c>
      <c r="B54" s="56" t="s">
        <v>671</v>
      </c>
      <c r="C54" s="43" t="s">
        <v>672</v>
      </c>
      <c r="D54" s="56" t="s">
        <v>251</v>
      </c>
      <c r="E54" s="56" t="s">
        <v>234</v>
      </c>
      <c r="F54" s="56" t="s">
        <v>235</v>
      </c>
      <c r="G54" s="56" t="s">
        <v>330</v>
      </c>
      <c r="H54" s="56" t="s">
        <v>115</v>
      </c>
      <c r="I54" s="56" t="s">
        <v>106</v>
      </c>
      <c r="J54" s="56" t="s">
        <v>185</v>
      </c>
      <c r="K54" s="56" t="s">
        <v>73</v>
      </c>
      <c r="L54" s="56" t="s">
        <v>12</v>
      </c>
      <c r="M54" s="56" t="s">
        <v>125</v>
      </c>
      <c r="N54" s="56" t="s">
        <v>16</v>
      </c>
      <c r="O54" s="141" t="s">
        <v>732</v>
      </c>
      <c r="P54" s="38" t="s">
        <v>18</v>
      </c>
      <c r="Q54" s="135">
        <v>11</v>
      </c>
      <c r="R54" s="133">
        <v>0</v>
      </c>
      <c r="S54" s="133">
        <v>0</v>
      </c>
      <c r="T54" s="133">
        <v>0</v>
      </c>
      <c r="U54" s="133">
        <v>0</v>
      </c>
      <c r="V54" s="133">
        <v>0</v>
      </c>
      <c r="W54" s="133">
        <v>0</v>
      </c>
      <c r="X54" s="133">
        <v>0</v>
      </c>
      <c r="Y54" s="133">
        <v>0</v>
      </c>
      <c r="Z54" s="133">
        <v>0</v>
      </c>
      <c r="AA54" s="133">
        <v>6</v>
      </c>
      <c r="AB54" s="133">
        <v>5</v>
      </c>
      <c r="AC54" s="133">
        <v>0</v>
      </c>
    </row>
    <row r="55" spans="1:29" ht="25.05" customHeight="1" x14ac:dyDescent="0.25">
      <c r="A55" s="38">
        <v>7869732368</v>
      </c>
      <c r="B55" s="56" t="s">
        <v>671</v>
      </c>
      <c r="C55" s="43" t="s">
        <v>672</v>
      </c>
      <c r="D55" s="56" t="s">
        <v>251</v>
      </c>
      <c r="E55" s="56" t="s">
        <v>234</v>
      </c>
      <c r="F55" s="56" t="s">
        <v>235</v>
      </c>
      <c r="G55" s="56" t="s">
        <v>330</v>
      </c>
      <c r="H55" s="56" t="s">
        <v>115</v>
      </c>
      <c r="I55" s="56" t="s">
        <v>106</v>
      </c>
      <c r="J55" s="56" t="s">
        <v>185</v>
      </c>
      <c r="K55" s="56" t="s">
        <v>73</v>
      </c>
      <c r="L55" s="56" t="s">
        <v>12</v>
      </c>
      <c r="M55" s="56" t="s">
        <v>125</v>
      </c>
      <c r="N55" s="56" t="s">
        <v>16</v>
      </c>
      <c r="O55" s="141" t="s">
        <v>733</v>
      </c>
      <c r="P55" s="38" t="s">
        <v>18</v>
      </c>
      <c r="Q55" s="137">
        <v>12</v>
      </c>
      <c r="R55" s="133">
        <v>1</v>
      </c>
      <c r="S55" s="133">
        <v>1</v>
      </c>
      <c r="T55" s="133">
        <v>1</v>
      </c>
      <c r="U55" s="133">
        <v>1</v>
      </c>
      <c r="V55" s="133">
        <v>1</v>
      </c>
      <c r="W55" s="133">
        <v>1</v>
      </c>
      <c r="X55" s="133">
        <v>1</v>
      </c>
      <c r="Y55" s="133">
        <v>1</v>
      </c>
      <c r="Z55" s="133">
        <v>1</v>
      </c>
      <c r="AA55" s="133">
        <v>1</v>
      </c>
      <c r="AB55" s="133">
        <v>1</v>
      </c>
      <c r="AC55" s="133">
        <v>1</v>
      </c>
    </row>
    <row r="56" spans="1:29" ht="25.05" customHeight="1" x14ac:dyDescent="0.25">
      <c r="A56" s="38">
        <v>7869732368</v>
      </c>
      <c r="B56" s="56" t="s">
        <v>671</v>
      </c>
      <c r="C56" s="43" t="s">
        <v>672</v>
      </c>
      <c r="D56" s="56" t="s">
        <v>251</v>
      </c>
      <c r="E56" s="56" t="s">
        <v>234</v>
      </c>
      <c r="F56" s="56" t="s">
        <v>235</v>
      </c>
      <c r="G56" s="56" t="s">
        <v>330</v>
      </c>
      <c r="H56" s="56" t="s">
        <v>115</v>
      </c>
      <c r="I56" s="56" t="s">
        <v>106</v>
      </c>
      <c r="J56" s="56" t="s">
        <v>185</v>
      </c>
      <c r="K56" s="56" t="s">
        <v>73</v>
      </c>
      <c r="L56" s="56" t="s">
        <v>12</v>
      </c>
      <c r="M56" s="56" t="s">
        <v>125</v>
      </c>
      <c r="N56" s="56" t="s">
        <v>16</v>
      </c>
      <c r="O56" s="141" t="s">
        <v>734</v>
      </c>
      <c r="P56" s="38" t="s">
        <v>18</v>
      </c>
      <c r="Q56" s="137">
        <v>1</v>
      </c>
      <c r="R56" s="133">
        <v>0</v>
      </c>
      <c r="S56" s="133">
        <v>0</v>
      </c>
      <c r="T56" s="133">
        <v>0</v>
      </c>
      <c r="U56" s="133">
        <v>0</v>
      </c>
      <c r="V56" s="133">
        <v>0</v>
      </c>
      <c r="W56" s="133">
        <v>1</v>
      </c>
      <c r="X56" s="133">
        <v>0</v>
      </c>
      <c r="Y56" s="133">
        <v>0</v>
      </c>
      <c r="Z56" s="133">
        <v>0</v>
      </c>
      <c r="AA56" s="133">
        <v>0</v>
      </c>
      <c r="AB56" s="133">
        <v>0</v>
      </c>
      <c r="AC56" s="133">
        <v>0</v>
      </c>
    </row>
    <row r="57" spans="1:29" ht="25.05" customHeight="1" x14ac:dyDescent="0.25">
      <c r="A57" s="38">
        <v>7869732368</v>
      </c>
      <c r="B57" s="56" t="s">
        <v>671</v>
      </c>
      <c r="C57" s="43" t="s">
        <v>672</v>
      </c>
      <c r="D57" s="56" t="s">
        <v>251</v>
      </c>
      <c r="E57" s="56" t="s">
        <v>234</v>
      </c>
      <c r="F57" s="56" t="s">
        <v>235</v>
      </c>
      <c r="G57" s="56" t="s">
        <v>330</v>
      </c>
      <c r="H57" s="56" t="s">
        <v>115</v>
      </c>
      <c r="I57" s="56" t="s">
        <v>106</v>
      </c>
      <c r="J57" s="56" t="s">
        <v>185</v>
      </c>
      <c r="K57" s="56" t="s">
        <v>73</v>
      </c>
      <c r="L57" s="56" t="s">
        <v>12</v>
      </c>
      <c r="M57" s="56" t="s">
        <v>125</v>
      </c>
      <c r="N57" s="56" t="s">
        <v>16</v>
      </c>
      <c r="O57" s="141" t="s">
        <v>735</v>
      </c>
      <c r="P57" s="38" t="s">
        <v>196</v>
      </c>
      <c r="Q57" s="137">
        <v>2000</v>
      </c>
      <c r="R57" s="133">
        <v>0</v>
      </c>
      <c r="S57" s="133">
        <v>0</v>
      </c>
      <c r="T57" s="133">
        <v>500</v>
      </c>
      <c r="U57" s="133">
        <v>1100</v>
      </c>
      <c r="V57" s="133">
        <v>0</v>
      </c>
      <c r="W57" s="133">
        <v>0</v>
      </c>
      <c r="X57" s="133">
        <v>0</v>
      </c>
      <c r="Y57" s="133">
        <v>0</v>
      </c>
      <c r="Z57" s="133">
        <v>0</v>
      </c>
      <c r="AA57" s="133">
        <v>400</v>
      </c>
      <c r="AB57" s="137">
        <v>0</v>
      </c>
      <c r="AC57" s="133">
        <v>0</v>
      </c>
    </row>
    <row r="58" spans="1:29" ht="25.05" customHeight="1" x14ac:dyDescent="0.25">
      <c r="A58" s="38">
        <v>7869732368</v>
      </c>
      <c r="B58" s="56" t="s">
        <v>671</v>
      </c>
      <c r="C58" s="43" t="s">
        <v>672</v>
      </c>
      <c r="D58" s="56" t="s">
        <v>251</v>
      </c>
      <c r="E58" s="56" t="s">
        <v>234</v>
      </c>
      <c r="F58" s="56" t="s">
        <v>235</v>
      </c>
      <c r="G58" s="56" t="s">
        <v>330</v>
      </c>
      <c r="H58" s="56" t="s">
        <v>115</v>
      </c>
      <c r="I58" s="56" t="s">
        <v>106</v>
      </c>
      <c r="J58" s="56" t="s">
        <v>185</v>
      </c>
      <c r="K58" s="56" t="s">
        <v>73</v>
      </c>
      <c r="L58" s="56" t="s">
        <v>12</v>
      </c>
      <c r="M58" s="56" t="s">
        <v>125</v>
      </c>
      <c r="N58" s="56" t="s">
        <v>16</v>
      </c>
      <c r="O58" s="141" t="s">
        <v>736</v>
      </c>
      <c r="P58" s="38" t="s">
        <v>18</v>
      </c>
      <c r="Q58" s="135">
        <v>1</v>
      </c>
      <c r="R58" s="133">
        <v>0</v>
      </c>
      <c r="S58" s="133">
        <v>0</v>
      </c>
      <c r="T58" s="133">
        <v>0</v>
      </c>
      <c r="U58" s="133">
        <v>0</v>
      </c>
      <c r="V58" s="133">
        <v>0</v>
      </c>
      <c r="W58" s="133">
        <v>0</v>
      </c>
      <c r="X58" s="133">
        <v>1</v>
      </c>
      <c r="Y58" s="133">
        <v>0</v>
      </c>
      <c r="Z58" s="133">
        <v>0</v>
      </c>
      <c r="AA58" s="133">
        <v>0</v>
      </c>
      <c r="AB58" s="133">
        <v>0</v>
      </c>
      <c r="AC58" s="133">
        <v>0</v>
      </c>
    </row>
    <row r="59" spans="1:29" ht="25.05" customHeight="1" x14ac:dyDescent="0.25">
      <c r="A59" s="38">
        <v>7869732368</v>
      </c>
      <c r="B59" s="56" t="s">
        <v>671</v>
      </c>
      <c r="C59" s="43" t="s">
        <v>672</v>
      </c>
      <c r="D59" s="56" t="s">
        <v>251</v>
      </c>
      <c r="E59" s="56" t="s">
        <v>234</v>
      </c>
      <c r="F59" s="56" t="s">
        <v>235</v>
      </c>
      <c r="G59" s="56" t="s">
        <v>330</v>
      </c>
      <c r="H59" s="56" t="s">
        <v>115</v>
      </c>
      <c r="I59" s="56" t="s">
        <v>106</v>
      </c>
      <c r="J59" s="56" t="s">
        <v>185</v>
      </c>
      <c r="K59" s="56" t="s">
        <v>73</v>
      </c>
      <c r="L59" s="56" t="s">
        <v>12</v>
      </c>
      <c r="M59" s="56" t="s">
        <v>125</v>
      </c>
      <c r="N59" s="56" t="s">
        <v>16</v>
      </c>
      <c r="O59" s="141" t="s">
        <v>737</v>
      </c>
      <c r="P59" s="38" t="s">
        <v>196</v>
      </c>
      <c r="Q59" s="135">
        <v>5000</v>
      </c>
      <c r="R59" s="133">
        <v>0</v>
      </c>
      <c r="S59" s="133">
        <v>0</v>
      </c>
      <c r="T59" s="133">
        <v>0</v>
      </c>
      <c r="U59" s="133">
        <v>0</v>
      </c>
      <c r="V59" s="133">
        <v>0</v>
      </c>
      <c r="W59" s="133">
        <v>0</v>
      </c>
      <c r="X59" s="133">
        <v>0</v>
      </c>
      <c r="Y59" s="133">
        <v>300</v>
      </c>
      <c r="Z59" s="133">
        <v>1500</v>
      </c>
      <c r="AA59" s="133">
        <v>2000</v>
      </c>
      <c r="AB59" s="133">
        <v>700</v>
      </c>
      <c r="AC59" s="133">
        <v>500</v>
      </c>
    </row>
    <row r="60" spans="1:29" ht="25.05" customHeight="1" x14ac:dyDescent="0.25">
      <c r="A60" s="38">
        <v>7869732368</v>
      </c>
      <c r="B60" s="56" t="s">
        <v>671</v>
      </c>
      <c r="C60" s="43" t="s">
        <v>672</v>
      </c>
      <c r="D60" s="56" t="s">
        <v>251</v>
      </c>
      <c r="E60" s="56" t="s">
        <v>234</v>
      </c>
      <c r="F60" s="56" t="s">
        <v>235</v>
      </c>
      <c r="G60" s="56" t="s">
        <v>330</v>
      </c>
      <c r="H60" s="56" t="s">
        <v>115</v>
      </c>
      <c r="I60" s="56" t="s">
        <v>106</v>
      </c>
      <c r="J60" s="56" t="s">
        <v>185</v>
      </c>
      <c r="K60" s="56" t="s">
        <v>73</v>
      </c>
      <c r="L60" s="56" t="s">
        <v>12</v>
      </c>
      <c r="M60" s="56" t="s">
        <v>125</v>
      </c>
      <c r="N60" s="56" t="s">
        <v>16</v>
      </c>
      <c r="O60" s="141" t="s">
        <v>738</v>
      </c>
      <c r="P60" s="38" t="s">
        <v>331</v>
      </c>
      <c r="Q60" s="135">
        <v>5500</v>
      </c>
      <c r="R60" s="133">
        <v>0</v>
      </c>
      <c r="S60" s="133">
        <v>0</v>
      </c>
      <c r="T60" s="133">
        <v>0</v>
      </c>
      <c r="U60" s="133">
        <v>0</v>
      </c>
      <c r="V60" s="133">
        <v>0</v>
      </c>
      <c r="W60" s="133">
        <v>0</v>
      </c>
      <c r="X60" s="133">
        <v>0</v>
      </c>
      <c r="Y60" s="133">
        <v>300</v>
      </c>
      <c r="Z60" s="133">
        <v>1500</v>
      </c>
      <c r="AA60" s="133">
        <v>2000</v>
      </c>
      <c r="AB60" s="133">
        <v>700</v>
      </c>
      <c r="AC60" s="133">
        <v>500</v>
      </c>
    </row>
    <row r="61" spans="1:29" ht="25.05" customHeight="1" x14ac:dyDescent="0.25">
      <c r="A61" s="38">
        <v>7869732368</v>
      </c>
      <c r="B61" s="56" t="s">
        <v>671</v>
      </c>
      <c r="C61" s="43" t="s">
        <v>672</v>
      </c>
      <c r="D61" s="56" t="s">
        <v>251</v>
      </c>
      <c r="E61" s="56" t="s">
        <v>234</v>
      </c>
      <c r="F61" s="56" t="s">
        <v>235</v>
      </c>
      <c r="G61" s="56" t="s">
        <v>330</v>
      </c>
      <c r="H61" s="56" t="s">
        <v>115</v>
      </c>
      <c r="I61" s="56" t="s">
        <v>106</v>
      </c>
      <c r="J61" s="56" t="s">
        <v>185</v>
      </c>
      <c r="K61" s="56" t="s">
        <v>73</v>
      </c>
      <c r="L61" s="56" t="s">
        <v>12</v>
      </c>
      <c r="M61" s="56" t="s">
        <v>125</v>
      </c>
      <c r="N61" s="56" t="s">
        <v>16</v>
      </c>
      <c r="O61" s="141" t="s">
        <v>739</v>
      </c>
      <c r="P61" s="38" t="s">
        <v>331</v>
      </c>
      <c r="Q61" s="135">
        <v>5500</v>
      </c>
      <c r="R61" s="133">
        <v>0</v>
      </c>
      <c r="S61" s="133">
        <v>0</v>
      </c>
      <c r="T61" s="133">
        <v>0</v>
      </c>
      <c r="U61" s="133">
        <v>0</v>
      </c>
      <c r="V61" s="133">
        <v>0</v>
      </c>
      <c r="W61" s="133">
        <v>0</v>
      </c>
      <c r="X61" s="133">
        <v>0</v>
      </c>
      <c r="Y61" s="133">
        <v>300</v>
      </c>
      <c r="Z61" s="133">
        <v>1500</v>
      </c>
      <c r="AA61" s="133">
        <v>2000</v>
      </c>
      <c r="AB61" s="133">
        <v>700</v>
      </c>
      <c r="AC61" s="133">
        <v>500</v>
      </c>
    </row>
    <row r="62" spans="1:29" ht="25.05" customHeight="1" x14ac:dyDescent="0.25">
      <c r="A62" s="38">
        <v>7869732368</v>
      </c>
      <c r="B62" s="56" t="s">
        <v>671</v>
      </c>
      <c r="C62" s="43" t="s">
        <v>672</v>
      </c>
      <c r="D62" s="56" t="s">
        <v>251</v>
      </c>
      <c r="E62" s="56" t="s">
        <v>234</v>
      </c>
      <c r="F62" s="56" t="s">
        <v>235</v>
      </c>
      <c r="G62" s="56" t="s">
        <v>330</v>
      </c>
      <c r="H62" s="56" t="s">
        <v>115</v>
      </c>
      <c r="I62" s="56" t="s">
        <v>106</v>
      </c>
      <c r="J62" s="56" t="s">
        <v>185</v>
      </c>
      <c r="K62" s="56" t="s">
        <v>73</v>
      </c>
      <c r="L62" s="56" t="s">
        <v>12</v>
      </c>
      <c r="M62" s="56" t="s">
        <v>125</v>
      </c>
      <c r="N62" s="56" t="s">
        <v>16</v>
      </c>
      <c r="O62" s="141" t="s">
        <v>740</v>
      </c>
      <c r="P62" s="39" t="s">
        <v>741</v>
      </c>
      <c r="Q62" s="135">
        <v>50</v>
      </c>
      <c r="R62" s="133">
        <v>0</v>
      </c>
      <c r="S62" s="133">
        <v>0</v>
      </c>
      <c r="T62" s="133">
        <v>1.25</v>
      </c>
      <c r="U62" s="133">
        <v>2.75</v>
      </c>
      <c r="V62" s="133">
        <v>0</v>
      </c>
      <c r="W62" s="133">
        <v>0</v>
      </c>
      <c r="X62" s="133">
        <v>0</v>
      </c>
      <c r="Y62" s="133">
        <v>2.1</v>
      </c>
      <c r="Z62" s="133">
        <v>10.5</v>
      </c>
      <c r="AA62" s="133">
        <v>15</v>
      </c>
      <c r="AB62" s="133">
        <v>4.9000000000000004</v>
      </c>
      <c r="AC62" s="133">
        <v>3.5</v>
      </c>
    </row>
    <row r="63" spans="1:29" ht="25.05" customHeight="1" x14ac:dyDescent="0.25">
      <c r="A63" s="38">
        <v>7869732368</v>
      </c>
      <c r="B63" s="56" t="s">
        <v>671</v>
      </c>
      <c r="C63" s="43" t="s">
        <v>672</v>
      </c>
      <c r="D63" s="56" t="s">
        <v>251</v>
      </c>
      <c r="E63" s="56" t="s">
        <v>234</v>
      </c>
      <c r="F63" s="56" t="s">
        <v>235</v>
      </c>
      <c r="G63" s="56" t="s">
        <v>330</v>
      </c>
      <c r="H63" s="56" t="s">
        <v>115</v>
      </c>
      <c r="I63" s="56" t="s">
        <v>106</v>
      </c>
      <c r="J63" s="56" t="s">
        <v>185</v>
      </c>
      <c r="K63" s="56" t="s">
        <v>73</v>
      </c>
      <c r="L63" s="56" t="s">
        <v>12</v>
      </c>
      <c r="M63" s="56" t="s">
        <v>125</v>
      </c>
      <c r="N63" s="56" t="s">
        <v>16</v>
      </c>
      <c r="O63" s="141" t="s">
        <v>742</v>
      </c>
      <c r="P63" s="38" t="s">
        <v>743</v>
      </c>
      <c r="Q63" s="135">
        <v>100</v>
      </c>
      <c r="R63" s="133">
        <v>0</v>
      </c>
      <c r="S63" s="133">
        <v>0</v>
      </c>
      <c r="T63" s="133">
        <v>0</v>
      </c>
      <c r="U63" s="133">
        <v>50</v>
      </c>
      <c r="V63" s="133">
        <v>50</v>
      </c>
      <c r="W63" s="133">
        <v>0</v>
      </c>
      <c r="X63" s="133">
        <v>0</v>
      </c>
      <c r="Y63" s="133">
        <v>0</v>
      </c>
      <c r="Z63" s="133">
        <v>0</v>
      </c>
      <c r="AA63" s="133">
        <v>0</v>
      </c>
      <c r="AB63" s="133">
        <v>0</v>
      </c>
      <c r="AC63" s="133">
        <v>0</v>
      </c>
    </row>
    <row r="64" spans="1:29" ht="25.05" customHeight="1" x14ac:dyDescent="0.25">
      <c r="A64" s="38">
        <v>7869732368</v>
      </c>
      <c r="B64" s="56" t="s">
        <v>671</v>
      </c>
      <c r="C64" s="43" t="s">
        <v>672</v>
      </c>
      <c r="D64" s="56" t="s">
        <v>251</v>
      </c>
      <c r="E64" s="56" t="s">
        <v>234</v>
      </c>
      <c r="F64" s="56" t="s">
        <v>235</v>
      </c>
      <c r="G64" s="56" t="s">
        <v>330</v>
      </c>
      <c r="H64" s="56" t="s">
        <v>115</v>
      </c>
      <c r="I64" s="56" t="s">
        <v>106</v>
      </c>
      <c r="J64" s="56" t="s">
        <v>185</v>
      </c>
      <c r="K64" s="56" t="s">
        <v>73</v>
      </c>
      <c r="L64" s="56" t="s">
        <v>12</v>
      </c>
      <c r="M64" s="56" t="s">
        <v>125</v>
      </c>
      <c r="N64" s="56" t="s">
        <v>16</v>
      </c>
      <c r="O64" s="141" t="s">
        <v>744</v>
      </c>
      <c r="P64" s="38" t="s">
        <v>18</v>
      </c>
      <c r="Q64" s="135">
        <v>2000</v>
      </c>
      <c r="R64" s="133">
        <v>0</v>
      </c>
      <c r="S64" s="133">
        <v>0</v>
      </c>
      <c r="T64" s="133">
        <v>0</v>
      </c>
      <c r="U64" s="133">
        <v>0</v>
      </c>
      <c r="V64" s="133">
        <v>300</v>
      </c>
      <c r="W64" s="133">
        <v>300</v>
      </c>
      <c r="X64" s="133">
        <v>500</v>
      </c>
      <c r="Y64" s="133">
        <v>500</v>
      </c>
      <c r="Z64" s="133">
        <v>400</v>
      </c>
      <c r="AA64" s="133">
        <v>0</v>
      </c>
      <c r="AB64" s="133">
        <v>0</v>
      </c>
      <c r="AC64" s="133">
        <v>0</v>
      </c>
    </row>
    <row r="65" spans="1:29" ht="25.05" customHeight="1" x14ac:dyDescent="0.25">
      <c r="A65" s="38">
        <v>7869732368</v>
      </c>
      <c r="B65" s="56" t="s">
        <v>671</v>
      </c>
      <c r="C65" s="43" t="s">
        <v>672</v>
      </c>
      <c r="D65" s="56" t="s">
        <v>251</v>
      </c>
      <c r="E65" s="56" t="s">
        <v>234</v>
      </c>
      <c r="F65" s="56" t="s">
        <v>235</v>
      </c>
      <c r="G65" s="56" t="s">
        <v>330</v>
      </c>
      <c r="H65" s="56" t="s">
        <v>115</v>
      </c>
      <c r="I65" s="56" t="s">
        <v>106</v>
      </c>
      <c r="J65" s="56" t="s">
        <v>185</v>
      </c>
      <c r="K65" s="56" t="s">
        <v>73</v>
      </c>
      <c r="L65" s="56" t="s">
        <v>12</v>
      </c>
      <c r="M65" s="56" t="s">
        <v>125</v>
      </c>
      <c r="N65" s="56" t="s">
        <v>16</v>
      </c>
      <c r="O65" s="141" t="s">
        <v>745</v>
      </c>
      <c r="P65" s="38" t="s">
        <v>18</v>
      </c>
      <c r="Q65" s="135">
        <v>250</v>
      </c>
      <c r="R65" s="133">
        <v>0</v>
      </c>
      <c r="S65" s="133">
        <v>0</v>
      </c>
      <c r="T65" s="133">
        <v>125</v>
      </c>
      <c r="U65" s="133">
        <v>0</v>
      </c>
      <c r="V65" s="133">
        <v>0</v>
      </c>
      <c r="W65" s="133">
        <v>0</v>
      </c>
      <c r="X65" s="133">
        <v>125</v>
      </c>
      <c r="Y65" s="133">
        <v>0</v>
      </c>
      <c r="Z65" s="133">
        <v>0</v>
      </c>
      <c r="AA65" s="133">
        <v>0</v>
      </c>
      <c r="AB65" s="133">
        <v>0</v>
      </c>
      <c r="AC65" s="133">
        <v>0</v>
      </c>
    </row>
    <row r="66" spans="1:29" ht="25.05" customHeight="1" x14ac:dyDescent="0.25">
      <c r="A66" s="38">
        <v>7869732368</v>
      </c>
      <c r="B66" s="56" t="s">
        <v>671</v>
      </c>
      <c r="C66" s="43" t="s">
        <v>672</v>
      </c>
      <c r="D66" s="56" t="s">
        <v>251</v>
      </c>
      <c r="E66" s="56" t="s">
        <v>234</v>
      </c>
      <c r="F66" s="56" t="s">
        <v>235</v>
      </c>
      <c r="G66" s="56" t="s">
        <v>330</v>
      </c>
      <c r="H66" s="56" t="s">
        <v>115</v>
      </c>
      <c r="I66" s="56" t="s">
        <v>106</v>
      </c>
      <c r="J66" s="56" t="s">
        <v>185</v>
      </c>
      <c r="K66" s="56" t="s">
        <v>73</v>
      </c>
      <c r="L66" s="56" t="s">
        <v>12</v>
      </c>
      <c r="M66" s="56" t="s">
        <v>125</v>
      </c>
      <c r="N66" s="56" t="s">
        <v>16</v>
      </c>
      <c r="O66" s="141" t="s">
        <v>746</v>
      </c>
      <c r="P66" s="38" t="s">
        <v>331</v>
      </c>
      <c r="Q66" s="135">
        <v>600</v>
      </c>
      <c r="R66" s="133">
        <v>0</v>
      </c>
      <c r="S66" s="133">
        <v>0</v>
      </c>
      <c r="T66" s="133">
        <v>0</v>
      </c>
      <c r="U66" s="133">
        <v>0</v>
      </c>
      <c r="V66" s="133">
        <v>200</v>
      </c>
      <c r="W66" s="133">
        <v>100</v>
      </c>
      <c r="X66" s="133">
        <v>100</v>
      </c>
      <c r="Y66" s="133">
        <v>200</v>
      </c>
      <c r="Z66" s="133">
        <v>0</v>
      </c>
      <c r="AA66" s="133">
        <v>0</v>
      </c>
      <c r="AB66" s="133">
        <v>0</v>
      </c>
      <c r="AC66" s="133">
        <v>0</v>
      </c>
    </row>
    <row r="67" spans="1:29" ht="25.05" customHeight="1" x14ac:dyDescent="0.25">
      <c r="A67" s="38">
        <v>7869732368</v>
      </c>
      <c r="B67" s="56" t="s">
        <v>671</v>
      </c>
      <c r="C67" s="43" t="s">
        <v>672</v>
      </c>
      <c r="D67" s="56" t="s">
        <v>251</v>
      </c>
      <c r="E67" s="56" t="s">
        <v>234</v>
      </c>
      <c r="F67" s="56" t="s">
        <v>235</v>
      </c>
      <c r="G67" s="56" t="s">
        <v>330</v>
      </c>
      <c r="H67" s="56" t="s">
        <v>115</v>
      </c>
      <c r="I67" s="56" t="s">
        <v>106</v>
      </c>
      <c r="J67" s="56" t="s">
        <v>185</v>
      </c>
      <c r="K67" s="56" t="s">
        <v>73</v>
      </c>
      <c r="L67" s="56" t="s">
        <v>12</v>
      </c>
      <c r="M67" s="56" t="s">
        <v>125</v>
      </c>
      <c r="N67" s="56" t="s">
        <v>16</v>
      </c>
      <c r="O67" s="141" t="s">
        <v>747</v>
      </c>
      <c r="P67" s="38" t="s">
        <v>18</v>
      </c>
      <c r="Q67" s="135">
        <v>250</v>
      </c>
      <c r="R67" s="133">
        <v>0</v>
      </c>
      <c r="S67" s="133">
        <v>0</v>
      </c>
      <c r="T67" s="133">
        <v>125</v>
      </c>
      <c r="U67" s="133">
        <v>0</v>
      </c>
      <c r="V67" s="133">
        <v>0</v>
      </c>
      <c r="W67" s="133">
        <v>0</v>
      </c>
      <c r="X67" s="133">
        <v>125</v>
      </c>
      <c r="Y67" s="133">
        <v>0</v>
      </c>
      <c r="Z67" s="133">
        <v>0</v>
      </c>
      <c r="AA67" s="133">
        <v>0</v>
      </c>
      <c r="AB67" s="133">
        <v>0</v>
      </c>
      <c r="AC67" s="133">
        <v>0</v>
      </c>
    </row>
    <row r="68" spans="1:29" ht="25.05" customHeight="1" x14ac:dyDescent="0.25">
      <c r="A68" s="38">
        <v>7869732368</v>
      </c>
      <c r="B68" s="56" t="s">
        <v>671</v>
      </c>
      <c r="C68" s="43" t="s">
        <v>672</v>
      </c>
      <c r="D68" s="56" t="s">
        <v>251</v>
      </c>
      <c r="E68" s="56" t="s">
        <v>234</v>
      </c>
      <c r="F68" s="56" t="s">
        <v>235</v>
      </c>
      <c r="G68" s="56" t="s">
        <v>330</v>
      </c>
      <c r="H68" s="56" t="s">
        <v>115</v>
      </c>
      <c r="I68" s="56" t="s">
        <v>106</v>
      </c>
      <c r="J68" s="56" t="s">
        <v>185</v>
      </c>
      <c r="K68" s="56" t="s">
        <v>73</v>
      </c>
      <c r="L68" s="56" t="s">
        <v>12</v>
      </c>
      <c r="M68" s="56" t="s">
        <v>125</v>
      </c>
      <c r="N68" s="56" t="s">
        <v>16</v>
      </c>
      <c r="O68" s="141" t="s">
        <v>748</v>
      </c>
      <c r="P68" s="38" t="s">
        <v>18</v>
      </c>
      <c r="Q68" s="135">
        <v>24</v>
      </c>
      <c r="R68" s="133">
        <v>2</v>
      </c>
      <c r="S68" s="133">
        <v>2</v>
      </c>
      <c r="T68" s="133">
        <v>2</v>
      </c>
      <c r="U68" s="133">
        <v>2</v>
      </c>
      <c r="V68" s="133">
        <v>2</v>
      </c>
      <c r="W68" s="133">
        <v>2</v>
      </c>
      <c r="X68" s="133">
        <v>2</v>
      </c>
      <c r="Y68" s="133">
        <v>2</v>
      </c>
      <c r="Z68" s="133">
        <v>2</v>
      </c>
      <c r="AA68" s="133">
        <v>2</v>
      </c>
      <c r="AB68" s="133">
        <v>2</v>
      </c>
      <c r="AC68" s="133">
        <v>2</v>
      </c>
    </row>
    <row r="69" spans="1:29" ht="25.05" customHeight="1" x14ac:dyDescent="0.25">
      <c r="A69" s="38">
        <v>7869732368</v>
      </c>
      <c r="B69" s="56" t="s">
        <v>671</v>
      </c>
      <c r="C69" s="43" t="s">
        <v>672</v>
      </c>
      <c r="D69" s="56" t="s">
        <v>251</v>
      </c>
      <c r="E69" s="56" t="s">
        <v>234</v>
      </c>
      <c r="F69" s="56" t="s">
        <v>235</v>
      </c>
      <c r="G69" s="56" t="s">
        <v>330</v>
      </c>
      <c r="H69" s="56" t="s">
        <v>115</v>
      </c>
      <c r="I69" s="56" t="s">
        <v>106</v>
      </c>
      <c r="J69" s="56" t="s">
        <v>185</v>
      </c>
      <c r="K69" s="56" t="s">
        <v>73</v>
      </c>
      <c r="L69" s="56" t="s">
        <v>12</v>
      </c>
      <c r="M69" s="56" t="s">
        <v>125</v>
      </c>
      <c r="N69" s="56" t="s">
        <v>16</v>
      </c>
      <c r="O69" s="141" t="s">
        <v>749</v>
      </c>
      <c r="P69" s="38" t="s">
        <v>18</v>
      </c>
      <c r="Q69" s="135">
        <v>4</v>
      </c>
      <c r="R69" s="133">
        <v>0</v>
      </c>
      <c r="S69" s="133">
        <v>0</v>
      </c>
      <c r="T69" s="133">
        <v>0</v>
      </c>
      <c r="U69" s="133">
        <v>1</v>
      </c>
      <c r="V69" s="133">
        <v>1</v>
      </c>
      <c r="W69" s="133">
        <v>1</v>
      </c>
      <c r="X69" s="133">
        <v>0</v>
      </c>
      <c r="Y69" s="133">
        <v>0</v>
      </c>
      <c r="Z69" s="133">
        <v>1</v>
      </c>
      <c r="AA69" s="133">
        <v>0</v>
      </c>
      <c r="AB69" s="133">
        <v>0</v>
      </c>
      <c r="AC69" s="133">
        <v>0</v>
      </c>
    </row>
  </sheetData>
  <hyperlinks>
    <hyperlink ref="C2" r:id="rId1" xr:uid="{0216D640-0AA7-49F8-B7DE-5CF201A102E3}"/>
    <hyperlink ref="C3" r:id="rId2" xr:uid="{7AFB8124-BAA3-464B-B15C-E1A8CCE9704F}"/>
    <hyperlink ref="C4" r:id="rId3" xr:uid="{6EB13FFB-28AF-41DA-949A-57AF8CDF66EF}"/>
    <hyperlink ref="C5" r:id="rId4" xr:uid="{5905E083-366C-4878-8339-90F51CC80EA7}"/>
    <hyperlink ref="C6" r:id="rId5" xr:uid="{94D9DB06-8A23-4129-941B-7B80FDF43E17}"/>
    <hyperlink ref="C7" r:id="rId6" xr:uid="{18CA0968-6B34-4E71-A811-26D35CECBF46}"/>
    <hyperlink ref="C8" r:id="rId7" xr:uid="{0B30F3D6-6BD1-4D3F-849C-E9D92563F0AF}"/>
    <hyperlink ref="C9" r:id="rId8" xr:uid="{18957E5F-05DE-4C46-92DB-BFB44EA4B17E}"/>
    <hyperlink ref="C10" r:id="rId9" xr:uid="{D99C7DC0-5E2E-433E-A24E-D26E6EDD6CD8}"/>
    <hyperlink ref="C11" r:id="rId10" xr:uid="{289499C3-63C5-403F-9AAD-38A351DE7F25}"/>
    <hyperlink ref="C12" r:id="rId11" xr:uid="{446C1E10-1FD1-43F6-A9F4-C050174BB944}"/>
    <hyperlink ref="C13" r:id="rId12" xr:uid="{9123048B-56DC-4C05-9CDD-44E617CD0CA7}"/>
    <hyperlink ref="C14" r:id="rId13" xr:uid="{38F08147-0DE6-4995-A7E4-A57FCE1238AF}"/>
    <hyperlink ref="C15" r:id="rId14" xr:uid="{D762DD3C-F34E-4E75-8188-7299D3FB4EB3}"/>
    <hyperlink ref="C16" r:id="rId15" xr:uid="{3C8A53BB-714F-43A8-9DBE-CC17160A4CF8}"/>
    <hyperlink ref="C17" r:id="rId16" xr:uid="{0DF13E71-FAAF-410B-B84E-A61F660A64BC}"/>
    <hyperlink ref="C18" r:id="rId17" xr:uid="{3A1A3B92-8D1C-455B-B7AC-353B0130A84B}"/>
    <hyperlink ref="C19" r:id="rId18" xr:uid="{F856251B-E42D-42CB-B430-1AE90EC1EEC8}"/>
    <hyperlink ref="C20" r:id="rId19" xr:uid="{D851834D-28D3-4E69-9983-C469B400BE3C}"/>
    <hyperlink ref="C21" r:id="rId20" xr:uid="{27ED912F-5907-41FF-9232-5BBB8FDF3B10}"/>
    <hyperlink ref="C22" r:id="rId21" xr:uid="{97E48BBA-6B61-44DB-B16E-71A718D7EA48}"/>
    <hyperlink ref="C23" r:id="rId22" xr:uid="{2FF45A52-8437-45E5-93E7-875A9208B4B4}"/>
    <hyperlink ref="C24" r:id="rId23" xr:uid="{DE351B58-0E77-4642-9E4D-82AF3283100E}"/>
    <hyperlink ref="C25" r:id="rId24" xr:uid="{71B39D26-0CC2-4593-8F65-D31BBA923C1F}"/>
    <hyperlink ref="C26" r:id="rId25" xr:uid="{6B284E7B-347E-450E-B1B9-334898CA19E7}"/>
    <hyperlink ref="C27" r:id="rId26" xr:uid="{9039D1BD-8734-47F6-A626-2BC21A5D610F}"/>
    <hyperlink ref="C28" r:id="rId27" xr:uid="{94157B9F-8E89-4209-9BB5-435C56EC8886}"/>
    <hyperlink ref="C29" r:id="rId28" xr:uid="{37A9F322-3EE7-4007-BECB-884674DFEC55}"/>
    <hyperlink ref="C30" r:id="rId29" xr:uid="{916311CD-53BF-4020-8BBE-97DC68B41213}"/>
    <hyperlink ref="C31" r:id="rId30" xr:uid="{1F727ECA-B384-48D3-B633-A52A7BD6C141}"/>
    <hyperlink ref="C32" r:id="rId31" xr:uid="{D15896BE-CB3C-4D39-9CBA-AFF7262A4B78}"/>
    <hyperlink ref="C33" r:id="rId32" xr:uid="{AEC50F44-4810-4E0E-A44E-CD6B189AB5C1}"/>
    <hyperlink ref="C34" r:id="rId33" xr:uid="{482991DA-7762-42F1-8257-565A2AD57118}"/>
    <hyperlink ref="C35" r:id="rId34" xr:uid="{1CDCCA44-7126-4B48-9E0D-FECA55C9CB0E}"/>
    <hyperlink ref="C36" r:id="rId35" xr:uid="{47597815-A706-4B53-AAF2-1623A951226B}"/>
    <hyperlink ref="C37" r:id="rId36" xr:uid="{6DD8E410-686B-4E74-A2F5-D966DB207452}"/>
    <hyperlink ref="C38" r:id="rId37" xr:uid="{FCBC55EE-CA2F-4C43-85D1-4FAB005022DD}"/>
    <hyperlink ref="C39" r:id="rId38" xr:uid="{9CF7ED11-DC45-4641-9FC2-9335091FEBE5}"/>
    <hyperlink ref="C40" r:id="rId39" xr:uid="{E4C061D4-5859-4EDF-8E5D-46B82E70CA1F}"/>
    <hyperlink ref="C41" r:id="rId40" xr:uid="{4E50D364-BAED-4931-8FF9-E7F876C34D33}"/>
    <hyperlink ref="C42" r:id="rId41" xr:uid="{A519B488-E75F-4AB1-AF85-4713EDAE0A80}"/>
    <hyperlink ref="C43" r:id="rId42" xr:uid="{0837D385-39D9-4C3D-8C16-DCD8191B2B5C}"/>
    <hyperlink ref="C44" r:id="rId43" xr:uid="{CC534404-B3EA-42DC-B140-CE41581E4C66}"/>
    <hyperlink ref="C45" r:id="rId44" xr:uid="{D2E2D330-3182-4F6F-8F6D-0F0EAFE4288F}"/>
    <hyperlink ref="C46" r:id="rId45" xr:uid="{687FA44C-B1EB-4880-9A02-F4B2EA25761F}"/>
    <hyperlink ref="C47" r:id="rId46" xr:uid="{36A20E6B-F4BC-4CF8-90DD-9906DCEC90A7}"/>
    <hyperlink ref="C48" r:id="rId47" xr:uid="{7D6136A4-973D-41DE-9F5A-2ACBCEFFA7B7}"/>
    <hyperlink ref="C49" r:id="rId48" xr:uid="{57F4877D-9538-4097-9258-A6842CF24478}"/>
    <hyperlink ref="C50" r:id="rId49" xr:uid="{272FB02E-1265-4A2D-B933-1190F10BBDAD}"/>
    <hyperlink ref="C51" r:id="rId50" xr:uid="{80C5B5DA-432F-4543-A4AA-662D8214237E}"/>
    <hyperlink ref="C52" r:id="rId51" xr:uid="{BFC48C09-0AB7-4956-9BD5-FF046636680C}"/>
    <hyperlink ref="C53" r:id="rId52" xr:uid="{1C229288-62D7-4CF4-A400-8108A1384E88}"/>
    <hyperlink ref="C54" r:id="rId53" xr:uid="{DD0DB51F-1B37-40BA-8CE7-C37D8314A518}"/>
    <hyperlink ref="C55" r:id="rId54" xr:uid="{EC1CAD97-1F39-4B5A-878E-EBCE9E46D034}"/>
    <hyperlink ref="C56" r:id="rId55" xr:uid="{A0F69D66-6790-4861-862A-97345FF9A4E0}"/>
    <hyperlink ref="C57" r:id="rId56" xr:uid="{970101AC-EDFE-4FB5-9CC3-6C5DEB464454}"/>
    <hyperlink ref="C58" r:id="rId57" xr:uid="{D6BDFBFE-5DB8-4481-88FE-3EB809E1100A}"/>
    <hyperlink ref="C59" r:id="rId58" xr:uid="{28EC6B0B-4E53-42D2-8EE5-62CE2AD933BC}"/>
    <hyperlink ref="C60" r:id="rId59" xr:uid="{79BD0AF2-89E7-4E87-A907-F520F73030E8}"/>
    <hyperlink ref="C61" r:id="rId60" xr:uid="{9A32651E-A3E6-4A5B-BE7B-4C8AC53C5A89}"/>
    <hyperlink ref="C62" r:id="rId61" xr:uid="{10F90124-39EE-4936-A3DA-71E232BDEAA3}"/>
    <hyperlink ref="C63" r:id="rId62" xr:uid="{6C35FD13-C63B-4A73-9FF9-B8C43458AB1C}"/>
    <hyperlink ref="C64" r:id="rId63" xr:uid="{A50C5E0C-23B2-4D7A-BAE2-F9C49940D373}"/>
    <hyperlink ref="C65" r:id="rId64" xr:uid="{C1B15AE7-94CF-4ED6-A93B-9966F7BA2A38}"/>
    <hyperlink ref="C66" r:id="rId65" xr:uid="{4A365C01-FF08-4341-AB3C-AE313F070E20}"/>
    <hyperlink ref="C67" r:id="rId66" xr:uid="{A9F1F6EE-9322-4334-9D73-3BD90B650F85}"/>
    <hyperlink ref="C68" r:id="rId67" xr:uid="{AA916A29-1C17-42A3-8A78-D2112FD9BF8B}"/>
    <hyperlink ref="C69" r:id="rId68" xr:uid="{49E91AE7-68F7-441B-A996-959ECE3080D8}"/>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FB25-D527-49D1-B90E-8E748244C1E9}">
  <dimension ref="A1:AC29"/>
  <sheetViews>
    <sheetView topLeftCell="H1" workbookViewId="0">
      <selection activeCell="M20" sqref="M20"/>
    </sheetView>
  </sheetViews>
  <sheetFormatPr defaultRowHeight="13.2" x14ac:dyDescent="0.25"/>
  <cols>
    <col min="1" max="1" width="12.109375" bestFit="1" customWidth="1"/>
    <col min="2" max="2" width="16.109375" bestFit="1" customWidth="1"/>
    <col min="3" max="3" width="33" bestFit="1" customWidth="1"/>
    <col min="4" max="4" width="11.44140625" customWidth="1"/>
    <col min="5" max="6" width="9" bestFit="1" customWidth="1"/>
    <col min="7" max="7" width="21.44140625" bestFit="1" customWidth="1"/>
    <col min="8" max="8" width="8.88671875" bestFit="1" customWidth="1"/>
    <col min="9" max="9" width="13.33203125" customWidth="1"/>
    <col min="10" max="13" width="11.44140625" bestFit="1" customWidth="1"/>
    <col min="14" max="14" width="14.5546875" bestFit="1" customWidth="1"/>
    <col min="15" max="15" width="51.77734375" style="66" bestFit="1" customWidth="1"/>
    <col min="16" max="16" width="10.88671875" bestFit="1" customWidth="1"/>
  </cols>
  <sheetData>
    <row r="1" spans="1:29" ht="27.6" x14ac:dyDescent="0.25">
      <c r="A1" s="35" t="s">
        <v>123</v>
      </c>
      <c r="B1" s="58" t="s">
        <v>1</v>
      </c>
      <c r="C1" s="35" t="s">
        <v>2</v>
      </c>
      <c r="D1" s="58" t="s">
        <v>3</v>
      </c>
      <c r="E1" s="35" t="s">
        <v>4</v>
      </c>
      <c r="F1" s="35" t="s">
        <v>5</v>
      </c>
      <c r="G1" s="35" t="s">
        <v>6</v>
      </c>
      <c r="H1" s="35" t="s">
        <v>7</v>
      </c>
      <c r="I1" s="58" t="s">
        <v>8</v>
      </c>
      <c r="J1" s="35" t="s">
        <v>9</v>
      </c>
      <c r="K1" s="35" t="s">
        <v>10</v>
      </c>
      <c r="L1" s="35" t="s">
        <v>126</v>
      </c>
      <c r="M1" s="35" t="s">
        <v>127</v>
      </c>
      <c r="N1" s="35"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38">
        <v>9583078304</v>
      </c>
      <c r="B2" s="56" t="s">
        <v>350</v>
      </c>
      <c r="C2" s="43" t="s">
        <v>348</v>
      </c>
      <c r="D2" s="56" t="s">
        <v>347</v>
      </c>
      <c r="E2" s="56" t="s">
        <v>351</v>
      </c>
      <c r="F2" s="56" t="s">
        <v>349</v>
      </c>
      <c r="G2" s="56" t="s">
        <v>330</v>
      </c>
      <c r="H2" s="56" t="s">
        <v>115</v>
      </c>
      <c r="I2" s="56" t="s">
        <v>106</v>
      </c>
      <c r="J2" s="56" t="s">
        <v>185</v>
      </c>
      <c r="K2" s="56" t="s">
        <v>125</v>
      </c>
      <c r="L2" s="56" t="s">
        <v>12</v>
      </c>
      <c r="M2" s="56"/>
      <c r="N2" s="56" t="s">
        <v>16</v>
      </c>
      <c r="O2" s="13" t="s">
        <v>674</v>
      </c>
      <c r="P2" s="38" t="s">
        <v>17</v>
      </c>
      <c r="Q2" s="38">
        <v>4000</v>
      </c>
      <c r="R2" s="12"/>
      <c r="S2" s="12"/>
      <c r="T2" s="12"/>
      <c r="U2" s="12">
        <v>4000</v>
      </c>
      <c r="V2" s="12"/>
      <c r="W2" s="12"/>
      <c r="X2" s="12"/>
      <c r="Y2" s="12"/>
      <c r="Z2" s="12"/>
      <c r="AA2" s="12"/>
      <c r="AB2" s="12"/>
      <c r="AC2" s="12"/>
    </row>
    <row r="3" spans="1:29" ht="19.95" customHeight="1" x14ac:dyDescent="0.25">
      <c r="A3" s="38">
        <v>9583078304</v>
      </c>
      <c r="B3" s="56" t="s">
        <v>350</v>
      </c>
      <c r="C3" s="43" t="s">
        <v>348</v>
      </c>
      <c r="D3" s="56" t="s">
        <v>347</v>
      </c>
      <c r="E3" s="56" t="s">
        <v>351</v>
      </c>
      <c r="F3" s="56" t="s">
        <v>349</v>
      </c>
      <c r="G3" s="56" t="s">
        <v>330</v>
      </c>
      <c r="H3" s="56" t="s">
        <v>115</v>
      </c>
      <c r="I3" s="56" t="s">
        <v>106</v>
      </c>
      <c r="J3" s="56" t="s">
        <v>185</v>
      </c>
      <c r="K3" s="56" t="s">
        <v>125</v>
      </c>
      <c r="L3" s="56" t="s">
        <v>12</v>
      </c>
      <c r="M3" s="56"/>
      <c r="N3" s="56" t="s">
        <v>16</v>
      </c>
      <c r="O3" s="13" t="s">
        <v>750</v>
      </c>
      <c r="P3" s="38" t="s">
        <v>17</v>
      </c>
      <c r="Q3" s="38">
        <v>54</v>
      </c>
      <c r="R3" s="12"/>
      <c r="S3" s="12"/>
      <c r="T3" s="12">
        <v>10</v>
      </c>
      <c r="U3" s="12">
        <v>44</v>
      </c>
      <c r="V3" s="12"/>
      <c r="W3" s="12"/>
      <c r="X3" s="12"/>
      <c r="Y3" s="12"/>
      <c r="Z3" s="12"/>
      <c r="AA3" s="12"/>
      <c r="AB3" s="12"/>
      <c r="AC3" s="12"/>
    </row>
    <row r="4" spans="1:29" ht="19.95" customHeight="1" x14ac:dyDescent="0.25">
      <c r="A4" s="38">
        <v>9583078304</v>
      </c>
      <c r="B4" s="56" t="s">
        <v>350</v>
      </c>
      <c r="C4" s="43" t="s">
        <v>348</v>
      </c>
      <c r="D4" s="56" t="s">
        <v>347</v>
      </c>
      <c r="E4" s="56" t="s">
        <v>351</v>
      </c>
      <c r="F4" s="56" t="s">
        <v>349</v>
      </c>
      <c r="G4" s="56" t="s">
        <v>330</v>
      </c>
      <c r="H4" s="56" t="s">
        <v>115</v>
      </c>
      <c r="I4" s="56" t="s">
        <v>106</v>
      </c>
      <c r="J4" s="56" t="s">
        <v>185</v>
      </c>
      <c r="K4" s="56" t="s">
        <v>125</v>
      </c>
      <c r="L4" s="56" t="s">
        <v>12</v>
      </c>
      <c r="M4" s="56"/>
      <c r="N4" s="56" t="s">
        <v>16</v>
      </c>
      <c r="O4" s="13" t="s">
        <v>751</v>
      </c>
      <c r="P4" s="38" t="s">
        <v>17</v>
      </c>
      <c r="Q4" s="38">
        <v>54</v>
      </c>
      <c r="R4" s="12"/>
      <c r="S4" s="12"/>
      <c r="T4" s="12">
        <v>10</v>
      </c>
      <c r="U4" s="12">
        <v>44</v>
      </c>
      <c r="V4" s="12"/>
      <c r="W4" s="12"/>
      <c r="X4" s="12"/>
      <c r="Y4" s="12"/>
      <c r="Z4" s="12"/>
      <c r="AA4" s="12"/>
      <c r="AB4" s="12"/>
      <c r="AC4" s="12"/>
    </row>
    <row r="5" spans="1:29" ht="19.95" customHeight="1" x14ac:dyDescent="0.25">
      <c r="A5" s="38">
        <v>9583078304</v>
      </c>
      <c r="B5" s="56" t="s">
        <v>350</v>
      </c>
      <c r="C5" s="43" t="s">
        <v>348</v>
      </c>
      <c r="D5" s="56" t="s">
        <v>347</v>
      </c>
      <c r="E5" s="56" t="s">
        <v>351</v>
      </c>
      <c r="F5" s="56" t="s">
        <v>349</v>
      </c>
      <c r="G5" s="56" t="s">
        <v>330</v>
      </c>
      <c r="H5" s="56" t="s">
        <v>115</v>
      </c>
      <c r="I5" s="56" t="s">
        <v>106</v>
      </c>
      <c r="J5" s="56" t="s">
        <v>185</v>
      </c>
      <c r="K5" s="56" t="s">
        <v>125</v>
      </c>
      <c r="L5" s="56" t="s">
        <v>12</v>
      </c>
      <c r="M5" s="56"/>
      <c r="N5" s="56" t="s">
        <v>16</v>
      </c>
      <c r="O5" s="13" t="s">
        <v>752</v>
      </c>
      <c r="P5" s="38" t="s">
        <v>17</v>
      </c>
      <c r="Q5" s="38">
        <v>8</v>
      </c>
      <c r="R5" s="12"/>
      <c r="S5" s="12"/>
      <c r="T5" s="12"/>
      <c r="U5" s="12">
        <v>8</v>
      </c>
      <c r="V5" s="12"/>
      <c r="W5" s="12"/>
      <c r="X5" s="12"/>
      <c r="Y5" s="12"/>
      <c r="Z5" s="12"/>
      <c r="AA5" s="12"/>
      <c r="AB5" s="12"/>
      <c r="AC5" s="12"/>
    </row>
    <row r="6" spans="1:29" ht="19.95" customHeight="1" x14ac:dyDescent="0.25">
      <c r="A6" s="38">
        <v>9583078304</v>
      </c>
      <c r="B6" s="56" t="s">
        <v>350</v>
      </c>
      <c r="C6" s="43" t="s">
        <v>348</v>
      </c>
      <c r="D6" s="56" t="s">
        <v>347</v>
      </c>
      <c r="E6" s="56" t="s">
        <v>351</v>
      </c>
      <c r="F6" s="56" t="s">
        <v>349</v>
      </c>
      <c r="G6" s="56" t="s">
        <v>330</v>
      </c>
      <c r="H6" s="56" t="s">
        <v>115</v>
      </c>
      <c r="I6" s="56" t="s">
        <v>106</v>
      </c>
      <c r="J6" s="56" t="s">
        <v>185</v>
      </c>
      <c r="K6" s="56" t="s">
        <v>125</v>
      </c>
      <c r="L6" s="56" t="s">
        <v>12</v>
      </c>
      <c r="M6" s="56"/>
      <c r="N6" s="56" t="s">
        <v>16</v>
      </c>
      <c r="O6" s="13" t="s">
        <v>753</v>
      </c>
      <c r="P6" s="38" t="s">
        <v>17</v>
      </c>
      <c r="Q6" s="38">
        <v>126</v>
      </c>
      <c r="R6" s="12"/>
      <c r="S6" s="12"/>
      <c r="T6" s="12">
        <v>18</v>
      </c>
      <c r="U6" s="12">
        <v>18</v>
      </c>
      <c r="V6" s="12">
        <v>18</v>
      </c>
      <c r="W6" s="12">
        <v>18</v>
      </c>
      <c r="X6" s="12">
        <v>18</v>
      </c>
      <c r="Y6" s="12">
        <v>18</v>
      </c>
      <c r="Z6" s="12">
        <v>18</v>
      </c>
      <c r="AA6" s="12"/>
      <c r="AB6" s="12"/>
      <c r="AC6" s="12"/>
    </row>
    <row r="7" spans="1:29" ht="19.95" customHeight="1" x14ac:dyDescent="0.25">
      <c r="A7" s="38">
        <v>9583078304</v>
      </c>
      <c r="B7" s="56" t="s">
        <v>350</v>
      </c>
      <c r="C7" s="43" t="s">
        <v>348</v>
      </c>
      <c r="D7" s="56" t="s">
        <v>347</v>
      </c>
      <c r="E7" s="56" t="s">
        <v>351</v>
      </c>
      <c r="F7" s="56" t="s">
        <v>349</v>
      </c>
      <c r="G7" s="56" t="s">
        <v>330</v>
      </c>
      <c r="H7" s="56" t="s">
        <v>115</v>
      </c>
      <c r="I7" s="56" t="s">
        <v>106</v>
      </c>
      <c r="J7" s="56" t="s">
        <v>185</v>
      </c>
      <c r="K7" s="56" t="s">
        <v>125</v>
      </c>
      <c r="L7" s="56" t="s">
        <v>12</v>
      </c>
      <c r="M7" s="56"/>
      <c r="N7" s="56" t="s">
        <v>16</v>
      </c>
      <c r="O7" s="13" t="s">
        <v>754</v>
      </c>
      <c r="P7" s="12" t="s">
        <v>331</v>
      </c>
      <c r="Q7" s="38">
        <v>14000</v>
      </c>
      <c r="R7" s="12"/>
      <c r="S7" s="12"/>
      <c r="T7" s="12">
        <v>500</v>
      </c>
      <c r="U7" s="12">
        <v>1500</v>
      </c>
      <c r="V7" s="12">
        <v>1500</v>
      </c>
      <c r="W7" s="12">
        <v>1500</v>
      </c>
      <c r="X7" s="12">
        <v>1500</v>
      </c>
      <c r="Y7" s="12">
        <v>1500</v>
      </c>
      <c r="Z7" s="12">
        <v>1500</v>
      </c>
      <c r="AA7" s="12">
        <v>1500</v>
      </c>
      <c r="AB7" s="12">
        <v>1500</v>
      </c>
      <c r="AC7" s="12">
        <v>1500</v>
      </c>
    </row>
    <row r="8" spans="1:29" ht="19.95" customHeight="1" x14ac:dyDescent="0.25">
      <c r="A8" s="38">
        <v>9583078304</v>
      </c>
      <c r="B8" s="56" t="s">
        <v>350</v>
      </c>
      <c r="C8" s="43" t="s">
        <v>348</v>
      </c>
      <c r="D8" s="56" t="s">
        <v>347</v>
      </c>
      <c r="E8" s="56" t="s">
        <v>351</v>
      </c>
      <c r="F8" s="56" t="s">
        <v>349</v>
      </c>
      <c r="G8" s="56" t="s">
        <v>330</v>
      </c>
      <c r="H8" s="56" t="s">
        <v>115</v>
      </c>
      <c r="I8" s="56" t="s">
        <v>106</v>
      </c>
      <c r="J8" s="56" t="s">
        <v>185</v>
      </c>
      <c r="K8" s="56" t="s">
        <v>125</v>
      </c>
      <c r="L8" s="56" t="s">
        <v>12</v>
      </c>
      <c r="M8" s="56"/>
      <c r="N8" s="56" t="s">
        <v>16</v>
      </c>
      <c r="O8" s="13" t="s">
        <v>755</v>
      </c>
      <c r="P8" s="12" t="s">
        <v>17</v>
      </c>
      <c r="Q8" s="38">
        <v>4000</v>
      </c>
      <c r="R8" s="12"/>
      <c r="S8" s="12"/>
      <c r="T8" s="12">
        <v>4000</v>
      </c>
      <c r="U8" s="12"/>
      <c r="V8" s="12"/>
      <c r="W8" s="12"/>
      <c r="X8" s="12"/>
      <c r="Y8" s="12"/>
      <c r="Z8" s="12"/>
      <c r="AA8" s="12"/>
      <c r="AB8" s="12"/>
      <c r="AC8" s="12"/>
    </row>
    <row r="9" spans="1:29" ht="19.95" customHeight="1" x14ac:dyDescent="0.25">
      <c r="A9" s="38">
        <v>9583078304</v>
      </c>
      <c r="B9" s="56" t="s">
        <v>350</v>
      </c>
      <c r="C9" s="43" t="s">
        <v>348</v>
      </c>
      <c r="D9" s="56" t="s">
        <v>347</v>
      </c>
      <c r="E9" s="56" t="s">
        <v>351</v>
      </c>
      <c r="F9" s="56" t="s">
        <v>349</v>
      </c>
      <c r="G9" s="56" t="s">
        <v>330</v>
      </c>
      <c r="H9" s="56" t="s">
        <v>115</v>
      </c>
      <c r="I9" s="56" t="s">
        <v>106</v>
      </c>
      <c r="J9" s="56" t="s">
        <v>185</v>
      </c>
      <c r="K9" s="56" t="s">
        <v>125</v>
      </c>
      <c r="L9" s="56" t="s">
        <v>12</v>
      </c>
      <c r="M9" s="56"/>
      <c r="N9" s="56" t="s">
        <v>16</v>
      </c>
      <c r="O9" s="13" t="s">
        <v>756</v>
      </c>
      <c r="P9" s="12" t="s">
        <v>17</v>
      </c>
      <c r="Q9" s="38">
        <v>17</v>
      </c>
      <c r="R9" s="12"/>
      <c r="S9" s="12"/>
      <c r="T9" s="12">
        <v>2</v>
      </c>
      <c r="U9" s="12"/>
      <c r="V9" s="12"/>
      <c r="W9" s="12">
        <v>5</v>
      </c>
      <c r="X9" s="12"/>
      <c r="Y9" s="12"/>
      <c r="Z9" s="12">
        <v>5</v>
      </c>
      <c r="AA9" s="12"/>
      <c r="AB9" s="12"/>
      <c r="AC9" s="12">
        <v>5</v>
      </c>
    </row>
    <row r="10" spans="1:29" ht="19.95" customHeight="1" x14ac:dyDescent="0.25">
      <c r="A10" s="38">
        <v>9583078304</v>
      </c>
      <c r="B10" s="56" t="s">
        <v>350</v>
      </c>
      <c r="C10" s="43" t="s">
        <v>348</v>
      </c>
      <c r="D10" s="56" t="s">
        <v>347</v>
      </c>
      <c r="E10" s="56" t="s">
        <v>351</v>
      </c>
      <c r="F10" s="56" t="s">
        <v>349</v>
      </c>
      <c r="G10" s="56" t="s">
        <v>330</v>
      </c>
      <c r="H10" s="56" t="s">
        <v>115</v>
      </c>
      <c r="I10" s="56" t="s">
        <v>106</v>
      </c>
      <c r="J10" s="56" t="s">
        <v>185</v>
      </c>
      <c r="K10" s="56" t="s">
        <v>125</v>
      </c>
      <c r="L10" s="56" t="s">
        <v>12</v>
      </c>
      <c r="M10" s="56"/>
      <c r="N10" s="56" t="s">
        <v>16</v>
      </c>
      <c r="O10" s="13" t="s">
        <v>757</v>
      </c>
      <c r="P10" s="12" t="s">
        <v>332</v>
      </c>
      <c r="Q10" s="38">
        <v>20</v>
      </c>
      <c r="R10" s="12"/>
      <c r="S10" s="12"/>
      <c r="T10" s="12"/>
      <c r="U10" s="12">
        <v>10</v>
      </c>
      <c r="V10" s="12">
        <v>10</v>
      </c>
      <c r="W10" s="12"/>
      <c r="X10" s="12"/>
      <c r="Y10" s="12"/>
      <c r="Z10" s="12"/>
      <c r="AA10" s="12"/>
      <c r="AB10" s="12"/>
      <c r="AC10" s="12"/>
    </row>
    <row r="11" spans="1:29" ht="19.95" customHeight="1" x14ac:dyDescent="0.25">
      <c r="A11" s="38">
        <v>9583078304</v>
      </c>
      <c r="B11" s="56" t="s">
        <v>350</v>
      </c>
      <c r="C11" s="43" t="s">
        <v>348</v>
      </c>
      <c r="D11" s="56" t="s">
        <v>347</v>
      </c>
      <c r="E11" s="56" t="s">
        <v>351</v>
      </c>
      <c r="F11" s="56" t="s">
        <v>349</v>
      </c>
      <c r="G11" s="56" t="s">
        <v>330</v>
      </c>
      <c r="H11" s="56" t="s">
        <v>115</v>
      </c>
      <c r="I11" s="56" t="s">
        <v>106</v>
      </c>
      <c r="J11" s="56" t="s">
        <v>185</v>
      </c>
      <c r="K11" s="56" t="s">
        <v>125</v>
      </c>
      <c r="L11" s="56" t="s">
        <v>12</v>
      </c>
      <c r="M11" s="56"/>
      <c r="N11" s="56" t="s">
        <v>16</v>
      </c>
      <c r="O11" s="13" t="s">
        <v>758</v>
      </c>
      <c r="P11" s="12" t="s">
        <v>17</v>
      </c>
      <c r="Q11" s="38">
        <v>12</v>
      </c>
      <c r="R11" s="12">
        <v>1</v>
      </c>
      <c r="S11" s="12">
        <v>1</v>
      </c>
      <c r="T11" s="12">
        <v>1</v>
      </c>
      <c r="U11" s="12">
        <v>1</v>
      </c>
      <c r="V11" s="12">
        <v>1</v>
      </c>
      <c r="W11" s="12">
        <v>1</v>
      </c>
      <c r="X11" s="12">
        <v>1</v>
      </c>
      <c r="Y11" s="12">
        <v>1</v>
      </c>
      <c r="Z11" s="12">
        <v>1</v>
      </c>
      <c r="AA11" s="12">
        <v>1</v>
      </c>
      <c r="AB11" s="12">
        <v>1</v>
      </c>
      <c r="AC11" s="12">
        <v>1</v>
      </c>
    </row>
    <row r="12" spans="1:29" ht="19.95" customHeight="1" x14ac:dyDescent="0.25">
      <c r="A12" s="38">
        <v>9583078304</v>
      </c>
      <c r="B12" s="56" t="s">
        <v>350</v>
      </c>
      <c r="C12" s="43" t="s">
        <v>348</v>
      </c>
      <c r="D12" s="56" t="s">
        <v>347</v>
      </c>
      <c r="E12" s="56" t="s">
        <v>351</v>
      </c>
      <c r="F12" s="56" t="s">
        <v>349</v>
      </c>
      <c r="G12" s="56" t="s">
        <v>330</v>
      </c>
      <c r="H12" s="56" t="s">
        <v>115</v>
      </c>
      <c r="I12" s="56" t="s">
        <v>106</v>
      </c>
      <c r="J12" s="56" t="s">
        <v>185</v>
      </c>
      <c r="K12" s="56" t="s">
        <v>125</v>
      </c>
      <c r="L12" s="56" t="s">
        <v>12</v>
      </c>
      <c r="M12" s="56"/>
      <c r="N12" s="56" t="s">
        <v>16</v>
      </c>
      <c r="O12" s="13" t="s">
        <v>759</v>
      </c>
      <c r="P12" s="12" t="s">
        <v>17</v>
      </c>
      <c r="Q12" s="38">
        <v>4</v>
      </c>
      <c r="R12" s="12"/>
      <c r="S12" s="12"/>
      <c r="T12" s="12">
        <v>1</v>
      </c>
      <c r="U12" s="12"/>
      <c r="V12" s="12">
        <v>1</v>
      </c>
      <c r="W12" s="12"/>
      <c r="X12" s="12">
        <v>1</v>
      </c>
      <c r="Y12" s="12"/>
      <c r="Z12" s="12"/>
      <c r="AA12" s="12"/>
      <c r="AB12" s="12">
        <v>1</v>
      </c>
      <c r="AC12" s="12"/>
    </row>
    <row r="13" spans="1:29" ht="19.95" customHeight="1" x14ac:dyDescent="0.25">
      <c r="A13" s="38">
        <v>9583078304</v>
      </c>
      <c r="B13" s="56" t="s">
        <v>350</v>
      </c>
      <c r="C13" s="43" t="s">
        <v>348</v>
      </c>
      <c r="D13" s="56" t="s">
        <v>347</v>
      </c>
      <c r="E13" s="56" t="s">
        <v>351</v>
      </c>
      <c r="F13" s="56" t="s">
        <v>349</v>
      </c>
      <c r="G13" s="56" t="s">
        <v>330</v>
      </c>
      <c r="H13" s="56" t="s">
        <v>115</v>
      </c>
      <c r="I13" s="56" t="s">
        <v>106</v>
      </c>
      <c r="J13" s="56" t="s">
        <v>185</v>
      </c>
      <c r="K13" s="56" t="s">
        <v>125</v>
      </c>
      <c r="L13" s="56" t="s">
        <v>12</v>
      </c>
      <c r="M13" s="56"/>
      <c r="N13" s="56" t="s">
        <v>16</v>
      </c>
      <c r="O13" s="13" t="s">
        <v>760</v>
      </c>
      <c r="P13" s="12" t="s">
        <v>17</v>
      </c>
      <c r="Q13" s="38">
        <v>16</v>
      </c>
      <c r="R13" s="12"/>
      <c r="S13" s="12"/>
      <c r="T13" s="12"/>
      <c r="U13" s="12"/>
      <c r="V13" s="12">
        <v>8</v>
      </c>
      <c r="W13" s="12"/>
      <c r="X13" s="12"/>
      <c r="Y13" s="12">
        <v>8</v>
      </c>
      <c r="Z13" s="12"/>
      <c r="AA13" s="12"/>
      <c r="AB13" s="12">
        <v>8</v>
      </c>
      <c r="AC13" s="12"/>
    </row>
    <row r="14" spans="1:29" ht="19.95" customHeight="1" x14ac:dyDescent="0.25">
      <c r="A14" s="38">
        <v>9583078304</v>
      </c>
      <c r="B14" s="56" t="s">
        <v>350</v>
      </c>
      <c r="C14" s="43" t="s">
        <v>348</v>
      </c>
      <c r="D14" s="56" t="s">
        <v>347</v>
      </c>
      <c r="E14" s="56" t="s">
        <v>351</v>
      </c>
      <c r="F14" s="56" t="s">
        <v>349</v>
      </c>
      <c r="G14" s="56" t="s">
        <v>330</v>
      </c>
      <c r="H14" s="56" t="s">
        <v>115</v>
      </c>
      <c r="I14" s="56" t="s">
        <v>106</v>
      </c>
      <c r="J14" s="56" t="s">
        <v>185</v>
      </c>
      <c r="K14" s="56" t="s">
        <v>125</v>
      </c>
      <c r="L14" s="56" t="s">
        <v>12</v>
      </c>
      <c r="M14" s="56"/>
      <c r="N14" s="56" t="s">
        <v>16</v>
      </c>
      <c r="O14" s="13" t="s">
        <v>761</v>
      </c>
      <c r="P14" s="12" t="s">
        <v>17</v>
      </c>
      <c r="Q14" s="38">
        <v>48</v>
      </c>
      <c r="R14" s="12"/>
      <c r="S14" s="12"/>
      <c r="T14" s="12"/>
      <c r="U14" s="12"/>
      <c r="V14" s="12">
        <v>24</v>
      </c>
      <c r="W14" s="12">
        <v>24</v>
      </c>
      <c r="X14" s="12"/>
      <c r="Y14" s="12"/>
      <c r="Z14" s="12"/>
      <c r="AA14" s="12"/>
      <c r="AB14" s="12"/>
      <c r="AC14" s="12"/>
    </row>
    <row r="15" spans="1:29" ht="19.95" customHeight="1" x14ac:dyDescent="0.25">
      <c r="A15" s="38">
        <v>9583078304</v>
      </c>
      <c r="B15" s="56" t="s">
        <v>350</v>
      </c>
      <c r="C15" s="43" t="s">
        <v>348</v>
      </c>
      <c r="D15" s="56" t="s">
        <v>347</v>
      </c>
      <c r="E15" s="56" t="s">
        <v>351</v>
      </c>
      <c r="F15" s="56" t="s">
        <v>349</v>
      </c>
      <c r="G15" s="56" t="s">
        <v>330</v>
      </c>
      <c r="H15" s="56" t="s">
        <v>115</v>
      </c>
      <c r="I15" s="56" t="s">
        <v>106</v>
      </c>
      <c r="J15" s="56" t="s">
        <v>185</v>
      </c>
      <c r="K15" s="56" t="s">
        <v>125</v>
      </c>
      <c r="L15" s="56" t="s">
        <v>12</v>
      </c>
      <c r="M15" s="56"/>
      <c r="N15" s="56" t="s">
        <v>16</v>
      </c>
      <c r="O15" s="13" t="s">
        <v>762</v>
      </c>
      <c r="P15" s="12" t="s">
        <v>17</v>
      </c>
      <c r="Q15" s="38">
        <v>5</v>
      </c>
      <c r="R15" s="12"/>
      <c r="S15" s="12"/>
      <c r="T15" s="12"/>
      <c r="U15" s="12">
        <v>3</v>
      </c>
      <c r="V15" s="12">
        <v>2</v>
      </c>
      <c r="W15" s="12"/>
      <c r="X15" s="12"/>
      <c r="Y15" s="12"/>
      <c r="Z15" s="12"/>
      <c r="AA15" s="12"/>
      <c r="AB15" s="12"/>
      <c r="AC15" s="12"/>
    </row>
    <row r="16" spans="1:29" ht="19.95" customHeight="1" x14ac:dyDescent="0.25">
      <c r="A16" s="38">
        <v>9583078304</v>
      </c>
      <c r="B16" s="56" t="s">
        <v>350</v>
      </c>
      <c r="C16" s="43" t="s">
        <v>348</v>
      </c>
      <c r="D16" s="56" t="s">
        <v>347</v>
      </c>
      <c r="E16" s="56" t="s">
        <v>351</v>
      </c>
      <c r="F16" s="56" t="s">
        <v>349</v>
      </c>
      <c r="G16" s="56" t="s">
        <v>330</v>
      </c>
      <c r="H16" s="56" t="s">
        <v>115</v>
      </c>
      <c r="I16" s="56" t="s">
        <v>106</v>
      </c>
      <c r="J16" s="56" t="s">
        <v>185</v>
      </c>
      <c r="K16" s="56" t="s">
        <v>125</v>
      </c>
      <c r="L16" s="56" t="s">
        <v>12</v>
      </c>
      <c r="M16" s="56"/>
      <c r="N16" s="56" t="s">
        <v>16</v>
      </c>
      <c r="O16" s="13" t="s">
        <v>763</v>
      </c>
      <c r="P16" s="12" t="s">
        <v>17</v>
      </c>
      <c r="Q16" s="38">
        <v>10</v>
      </c>
      <c r="R16" s="12"/>
      <c r="S16" s="12"/>
      <c r="T16" s="12"/>
      <c r="U16" s="12">
        <v>10</v>
      </c>
      <c r="V16" s="12"/>
      <c r="W16" s="12"/>
      <c r="X16" s="12"/>
      <c r="Y16" s="12"/>
      <c r="Z16" s="12"/>
      <c r="AA16" s="12"/>
      <c r="AB16" s="12"/>
      <c r="AC16" s="12"/>
    </row>
    <row r="17" spans="1:29" ht="19.95" customHeight="1" x14ac:dyDescent="0.25">
      <c r="A17" s="38">
        <v>9583078304</v>
      </c>
      <c r="B17" s="56" t="s">
        <v>350</v>
      </c>
      <c r="C17" s="43" t="s">
        <v>348</v>
      </c>
      <c r="D17" s="56" t="s">
        <v>347</v>
      </c>
      <c r="E17" s="56" t="s">
        <v>351</v>
      </c>
      <c r="F17" s="56" t="s">
        <v>349</v>
      </c>
      <c r="G17" s="56" t="s">
        <v>330</v>
      </c>
      <c r="H17" s="56" t="s">
        <v>115</v>
      </c>
      <c r="I17" s="56" t="s">
        <v>106</v>
      </c>
      <c r="J17" s="56" t="s">
        <v>185</v>
      </c>
      <c r="K17" s="56" t="s">
        <v>125</v>
      </c>
      <c r="L17" s="56" t="s">
        <v>12</v>
      </c>
      <c r="M17" s="56"/>
      <c r="N17" s="56" t="s">
        <v>16</v>
      </c>
      <c r="O17" s="13" t="s">
        <v>764</v>
      </c>
      <c r="P17" s="12" t="s">
        <v>17</v>
      </c>
      <c r="Q17" s="38">
        <v>20</v>
      </c>
      <c r="R17" s="12"/>
      <c r="S17" s="12"/>
      <c r="T17" s="12"/>
      <c r="U17" s="12">
        <v>20</v>
      </c>
      <c r="V17" s="12"/>
      <c r="W17" s="12"/>
      <c r="X17" s="12"/>
      <c r="Y17" s="12"/>
      <c r="Z17" s="12"/>
      <c r="AA17" s="12"/>
      <c r="AB17" s="12"/>
      <c r="AC17" s="12"/>
    </row>
    <row r="18" spans="1:29" ht="19.95" customHeight="1" x14ac:dyDescent="0.25">
      <c r="A18" s="38">
        <v>9583078304</v>
      </c>
      <c r="B18" s="56" t="s">
        <v>350</v>
      </c>
      <c r="C18" s="43" t="s">
        <v>348</v>
      </c>
      <c r="D18" s="56" t="s">
        <v>347</v>
      </c>
      <c r="E18" s="56" t="s">
        <v>351</v>
      </c>
      <c r="F18" s="56" t="s">
        <v>349</v>
      </c>
      <c r="G18" s="56" t="s">
        <v>330</v>
      </c>
      <c r="H18" s="56" t="s">
        <v>115</v>
      </c>
      <c r="I18" s="56" t="s">
        <v>106</v>
      </c>
      <c r="J18" s="56" t="s">
        <v>185</v>
      </c>
      <c r="K18" s="56" t="s">
        <v>125</v>
      </c>
      <c r="L18" s="56" t="s">
        <v>12</v>
      </c>
      <c r="M18" s="56"/>
      <c r="N18" s="56" t="s">
        <v>16</v>
      </c>
      <c r="O18" s="13" t="s">
        <v>335</v>
      </c>
      <c r="P18" s="12" t="s">
        <v>17</v>
      </c>
      <c r="Q18" s="38">
        <v>12</v>
      </c>
      <c r="R18" s="12">
        <v>1</v>
      </c>
      <c r="S18" s="12">
        <v>1</v>
      </c>
      <c r="T18" s="12">
        <v>1</v>
      </c>
      <c r="U18" s="12">
        <v>1</v>
      </c>
      <c r="V18" s="12">
        <v>1</v>
      </c>
      <c r="W18" s="12">
        <v>1</v>
      </c>
      <c r="X18" s="12">
        <v>1</v>
      </c>
      <c r="Y18" s="12">
        <v>1</v>
      </c>
      <c r="Z18" s="12">
        <v>1</v>
      </c>
      <c r="AA18" s="12">
        <v>1</v>
      </c>
      <c r="AB18" s="12">
        <v>1</v>
      </c>
      <c r="AC18" s="12">
        <v>1</v>
      </c>
    </row>
    <row r="19" spans="1:29" ht="19.95" customHeight="1" x14ac:dyDescent="0.25">
      <c r="A19" s="38">
        <v>9583078304</v>
      </c>
      <c r="B19" s="56" t="s">
        <v>350</v>
      </c>
      <c r="C19" s="43" t="s">
        <v>348</v>
      </c>
      <c r="D19" s="56" t="s">
        <v>347</v>
      </c>
      <c r="E19" s="56" t="s">
        <v>351</v>
      </c>
      <c r="F19" s="56" t="s">
        <v>349</v>
      </c>
      <c r="G19" s="56" t="s">
        <v>330</v>
      </c>
      <c r="H19" s="56" t="s">
        <v>115</v>
      </c>
      <c r="I19" s="56" t="s">
        <v>106</v>
      </c>
      <c r="J19" s="56" t="s">
        <v>185</v>
      </c>
      <c r="K19" s="56" t="s">
        <v>125</v>
      </c>
      <c r="L19" s="56" t="s">
        <v>12</v>
      </c>
      <c r="M19" s="56"/>
      <c r="N19" s="56" t="s">
        <v>16</v>
      </c>
      <c r="O19" s="13" t="s">
        <v>336</v>
      </c>
      <c r="P19" s="12" t="s">
        <v>17</v>
      </c>
      <c r="Q19" s="38">
        <v>12</v>
      </c>
      <c r="R19" s="12">
        <v>1</v>
      </c>
      <c r="S19" s="12">
        <v>1</v>
      </c>
      <c r="T19" s="12">
        <v>1</v>
      </c>
      <c r="U19" s="12">
        <v>1</v>
      </c>
      <c r="V19" s="12">
        <v>1</v>
      </c>
      <c r="W19" s="12">
        <v>1</v>
      </c>
      <c r="X19" s="12">
        <v>1</v>
      </c>
      <c r="Y19" s="12">
        <v>1</v>
      </c>
      <c r="Z19" s="12">
        <v>1</v>
      </c>
      <c r="AA19" s="12">
        <v>1</v>
      </c>
      <c r="AB19" s="12">
        <v>1</v>
      </c>
      <c r="AC19" s="12">
        <v>1</v>
      </c>
    </row>
    <row r="20" spans="1:29" ht="19.95" customHeight="1" x14ac:dyDescent="0.25">
      <c r="A20" s="38">
        <v>9583078304</v>
      </c>
      <c r="B20" s="56" t="s">
        <v>350</v>
      </c>
      <c r="C20" s="43" t="s">
        <v>348</v>
      </c>
      <c r="D20" s="56" t="s">
        <v>347</v>
      </c>
      <c r="E20" s="56" t="s">
        <v>351</v>
      </c>
      <c r="F20" s="56" t="s">
        <v>349</v>
      </c>
      <c r="G20" s="56" t="s">
        <v>330</v>
      </c>
      <c r="H20" s="56" t="s">
        <v>115</v>
      </c>
      <c r="I20" s="56" t="s">
        <v>106</v>
      </c>
      <c r="J20" s="56" t="s">
        <v>185</v>
      </c>
      <c r="K20" s="56" t="s">
        <v>125</v>
      </c>
      <c r="L20" s="56" t="s">
        <v>12</v>
      </c>
      <c r="M20" s="56"/>
      <c r="N20" s="56" t="s">
        <v>16</v>
      </c>
      <c r="O20" s="13" t="s">
        <v>337</v>
      </c>
      <c r="P20" s="12" t="s">
        <v>17</v>
      </c>
      <c r="Q20" s="38">
        <v>4000</v>
      </c>
      <c r="R20" s="12"/>
      <c r="S20" s="12"/>
      <c r="T20" s="12"/>
      <c r="U20" s="12">
        <v>1000</v>
      </c>
      <c r="V20" s="12">
        <v>1500</v>
      </c>
      <c r="W20" s="12">
        <v>1500</v>
      </c>
      <c r="X20" s="12"/>
      <c r="Y20" s="12"/>
      <c r="Z20" s="12"/>
      <c r="AA20" s="12"/>
      <c r="AB20" s="12"/>
      <c r="AC20" s="12"/>
    </row>
    <row r="21" spans="1:29" ht="19.95" customHeight="1" x14ac:dyDescent="0.25">
      <c r="A21" s="38">
        <v>9583078304</v>
      </c>
      <c r="B21" s="56" t="s">
        <v>350</v>
      </c>
      <c r="C21" s="43" t="s">
        <v>348</v>
      </c>
      <c r="D21" s="56" t="s">
        <v>347</v>
      </c>
      <c r="E21" s="56" t="s">
        <v>351</v>
      </c>
      <c r="F21" s="56" t="s">
        <v>349</v>
      </c>
      <c r="G21" s="56" t="s">
        <v>330</v>
      </c>
      <c r="H21" s="56" t="s">
        <v>115</v>
      </c>
      <c r="I21" s="56" t="s">
        <v>106</v>
      </c>
      <c r="J21" s="56" t="s">
        <v>185</v>
      </c>
      <c r="K21" s="56" t="s">
        <v>125</v>
      </c>
      <c r="L21" s="56" t="s">
        <v>12</v>
      </c>
      <c r="M21" s="56"/>
      <c r="N21" s="56" t="s">
        <v>16</v>
      </c>
      <c r="O21" s="13" t="s">
        <v>338</v>
      </c>
      <c r="P21" s="12" t="s">
        <v>17</v>
      </c>
      <c r="Q21" s="38">
        <v>8</v>
      </c>
      <c r="R21" s="12"/>
      <c r="S21" s="12"/>
      <c r="T21" s="12"/>
      <c r="U21" s="12"/>
      <c r="V21" s="12"/>
      <c r="W21" s="12"/>
      <c r="X21" s="12">
        <v>8</v>
      </c>
      <c r="Y21" s="12"/>
      <c r="Z21" s="12"/>
      <c r="AA21" s="12"/>
      <c r="AB21" s="12"/>
      <c r="AC21" s="12"/>
    </row>
    <row r="22" spans="1:29" ht="19.95" customHeight="1" x14ac:dyDescent="0.25">
      <c r="A22" s="38">
        <v>9583078304</v>
      </c>
      <c r="B22" s="56" t="s">
        <v>350</v>
      </c>
      <c r="C22" s="43" t="s">
        <v>348</v>
      </c>
      <c r="D22" s="56" t="s">
        <v>347</v>
      </c>
      <c r="E22" s="56" t="s">
        <v>351</v>
      </c>
      <c r="F22" s="56" t="s">
        <v>349</v>
      </c>
      <c r="G22" s="56" t="s">
        <v>330</v>
      </c>
      <c r="H22" s="56" t="s">
        <v>115</v>
      </c>
      <c r="I22" s="56" t="s">
        <v>106</v>
      </c>
      <c r="J22" s="56" t="s">
        <v>185</v>
      </c>
      <c r="K22" s="56" t="s">
        <v>125</v>
      </c>
      <c r="L22" s="56" t="s">
        <v>12</v>
      </c>
      <c r="M22" s="56"/>
      <c r="N22" s="56" t="s">
        <v>16</v>
      </c>
      <c r="O22" s="13" t="s">
        <v>339</v>
      </c>
      <c r="P22" s="12" t="s">
        <v>17</v>
      </c>
      <c r="Q22" s="38">
        <v>8</v>
      </c>
      <c r="R22" s="12"/>
      <c r="S22" s="12"/>
      <c r="T22" s="12"/>
      <c r="U22" s="12"/>
      <c r="V22" s="12"/>
      <c r="W22" s="12">
        <v>8</v>
      </c>
      <c r="X22" s="12"/>
      <c r="Y22" s="12"/>
      <c r="Z22" s="12"/>
      <c r="AA22" s="12"/>
      <c r="AB22" s="12"/>
      <c r="AC22" s="12"/>
    </row>
    <row r="23" spans="1:29" ht="19.95" customHeight="1" x14ac:dyDescent="0.25">
      <c r="A23" s="38">
        <v>9583078304</v>
      </c>
      <c r="B23" s="56" t="s">
        <v>350</v>
      </c>
      <c r="C23" s="43" t="s">
        <v>348</v>
      </c>
      <c r="D23" s="56" t="s">
        <v>347</v>
      </c>
      <c r="E23" s="56" t="s">
        <v>351</v>
      </c>
      <c r="F23" s="56" t="s">
        <v>349</v>
      </c>
      <c r="G23" s="56" t="s">
        <v>330</v>
      </c>
      <c r="H23" s="56" t="s">
        <v>115</v>
      </c>
      <c r="I23" s="56" t="s">
        <v>106</v>
      </c>
      <c r="J23" s="56" t="s">
        <v>185</v>
      </c>
      <c r="K23" s="56" t="s">
        <v>125</v>
      </c>
      <c r="L23" s="56" t="s">
        <v>12</v>
      </c>
      <c r="M23" s="56"/>
      <c r="N23" s="56" t="s">
        <v>16</v>
      </c>
      <c r="O23" s="13" t="s">
        <v>340</v>
      </c>
      <c r="P23" s="12" t="s">
        <v>331</v>
      </c>
      <c r="Q23" s="38">
        <v>1835</v>
      </c>
      <c r="R23" s="12"/>
      <c r="S23" s="12"/>
      <c r="T23" s="12"/>
      <c r="U23" s="12"/>
      <c r="V23" s="12">
        <v>1835</v>
      </c>
      <c r="W23" s="12"/>
      <c r="X23" s="12"/>
      <c r="Y23" s="12"/>
      <c r="Z23" s="12"/>
      <c r="AA23" s="12"/>
      <c r="AB23" s="12"/>
      <c r="AC23" s="12"/>
    </row>
    <row r="24" spans="1:29" ht="19.95" customHeight="1" x14ac:dyDescent="0.25">
      <c r="A24" s="38">
        <v>9583078304</v>
      </c>
      <c r="B24" s="56" t="s">
        <v>350</v>
      </c>
      <c r="C24" s="43" t="s">
        <v>348</v>
      </c>
      <c r="D24" s="56" t="s">
        <v>347</v>
      </c>
      <c r="E24" s="56" t="s">
        <v>351</v>
      </c>
      <c r="F24" s="56" t="s">
        <v>349</v>
      </c>
      <c r="G24" s="56" t="s">
        <v>330</v>
      </c>
      <c r="H24" s="56" t="s">
        <v>115</v>
      </c>
      <c r="I24" s="56" t="s">
        <v>106</v>
      </c>
      <c r="J24" s="56" t="s">
        <v>185</v>
      </c>
      <c r="K24" s="56" t="s">
        <v>125</v>
      </c>
      <c r="L24" s="56" t="s">
        <v>12</v>
      </c>
      <c r="M24" s="56"/>
      <c r="N24" s="56" t="s">
        <v>16</v>
      </c>
      <c r="O24" s="13" t="s">
        <v>341</v>
      </c>
      <c r="P24" s="12" t="s">
        <v>17</v>
      </c>
      <c r="Q24" s="38">
        <v>4000</v>
      </c>
      <c r="R24" s="12"/>
      <c r="S24" s="12"/>
      <c r="T24" s="12"/>
      <c r="U24" s="12">
        <v>1000</v>
      </c>
      <c r="V24" s="12">
        <v>1500</v>
      </c>
      <c r="W24" s="12">
        <v>1500</v>
      </c>
      <c r="X24" s="12"/>
      <c r="Y24" s="12"/>
      <c r="Z24" s="12"/>
      <c r="AA24" s="12"/>
      <c r="AB24" s="12"/>
      <c r="AC24" s="12"/>
    </row>
    <row r="25" spans="1:29" ht="19.95" customHeight="1" x14ac:dyDescent="0.25">
      <c r="A25" s="38">
        <v>9583078304</v>
      </c>
      <c r="B25" s="56" t="s">
        <v>350</v>
      </c>
      <c r="C25" s="43" t="s">
        <v>348</v>
      </c>
      <c r="D25" s="56" t="s">
        <v>347</v>
      </c>
      <c r="E25" s="56" t="s">
        <v>351</v>
      </c>
      <c r="F25" s="56" t="s">
        <v>349</v>
      </c>
      <c r="G25" s="56" t="s">
        <v>330</v>
      </c>
      <c r="H25" s="56" t="s">
        <v>115</v>
      </c>
      <c r="I25" s="56" t="s">
        <v>106</v>
      </c>
      <c r="J25" s="56" t="s">
        <v>185</v>
      </c>
      <c r="K25" s="56" t="s">
        <v>125</v>
      </c>
      <c r="L25" s="56" t="s">
        <v>12</v>
      </c>
      <c r="M25" s="56"/>
      <c r="N25" s="56" t="s">
        <v>16</v>
      </c>
      <c r="O25" s="13" t="s">
        <v>342</v>
      </c>
      <c r="P25" s="12" t="s">
        <v>17</v>
      </c>
      <c r="Q25" s="38">
        <v>12</v>
      </c>
      <c r="R25" s="12">
        <v>1</v>
      </c>
      <c r="S25" s="12">
        <v>1</v>
      </c>
      <c r="T25" s="12">
        <v>1</v>
      </c>
      <c r="U25" s="12">
        <v>1</v>
      </c>
      <c r="V25" s="12">
        <v>1</v>
      </c>
      <c r="W25" s="12">
        <v>1</v>
      </c>
      <c r="X25" s="12">
        <v>1</v>
      </c>
      <c r="Y25" s="12">
        <v>1</v>
      </c>
      <c r="Z25" s="12">
        <v>1</v>
      </c>
      <c r="AA25" s="12">
        <v>1</v>
      </c>
      <c r="AB25" s="12">
        <v>1</v>
      </c>
      <c r="AC25" s="12">
        <v>1</v>
      </c>
    </row>
    <row r="26" spans="1:29" ht="19.95" customHeight="1" x14ac:dyDescent="0.25">
      <c r="A26" s="38">
        <v>9583078304</v>
      </c>
      <c r="B26" s="56" t="s">
        <v>350</v>
      </c>
      <c r="C26" s="43" t="s">
        <v>348</v>
      </c>
      <c r="D26" s="56" t="s">
        <v>347</v>
      </c>
      <c r="E26" s="56" t="s">
        <v>351</v>
      </c>
      <c r="F26" s="56" t="s">
        <v>349</v>
      </c>
      <c r="G26" s="56" t="s">
        <v>330</v>
      </c>
      <c r="H26" s="56" t="s">
        <v>115</v>
      </c>
      <c r="I26" s="56" t="s">
        <v>106</v>
      </c>
      <c r="J26" s="56" t="s">
        <v>185</v>
      </c>
      <c r="K26" s="56" t="s">
        <v>125</v>
      </c>
      <c r="L26" s="56" t="s">
        <v>12</v>
      </c>
      <c r="M26" s="56"/>
      <c r="N26" s="56" t="s">
        <v>16</v>
      </c>
      <c r="O26" s="13" t="s">
        <v>343</v>
      </c>
      <c r="P26" s="12" t="s">
        <v>17</v>
      </c>
      <c r="Q26" s="38">
        <v>100</v>
      </c>
      <c r="R26" s="12"/>
      <c r="S26" s="12"/>
      <c r="T26" s="12"/>
      <c r="U26" s="12"/>
      <c r="V26" s="12"/>
      <c r="W26" s="12"/>
      <c r="X26" s="12"/>
      <c r="Y26" s="12"/>
      <c r="Z26" s="12"/>
      <c r="AA26" s="12">
        <v>50</v>
      </c>
      <c r="AB26" s="12">
        <v>50</v>
      </c>
      <c r="AC26" s="12"/>
    </row>
    <row r="27" spans="1:29" ht="19.95" customHeight="1" x14ac:dyDescent="0.25">
      <c r="A27" s="38">
        <v>9583078304</v>
      </c>
      <c r="B27" s="56" t="s">
        <v>350</v>
      </c>
      <c r="C27" s="43" t="s">
        <v>348</v>
      </c>
      <c r="D27" s="56" t="s">
        <v>347</v>
      </c>
      <c r="E27" s="56" t="s">
        <v>351</v>
      </c>
      <c r="F27" s="56" t="s">
        <v>349</v>
      </c>
      <c r="G27" s="56" t="s">
        <v>330</v>
      </c>
      <c r="H27" s="56" t="s">
        <v>115</v>
      </c>
      <c r="I27" s="56" t="s">
        <v>106</v>
      </c>
      <c r="J27" s="56" t="s">
        <v>185</v>
      </c>
      <c r="K27" s="56" t="s">
        <v>125</v>
      </c>
      <c r="L27" s="56" t="s">
        <v>12</v>
      </c>
      <c r="M27" s="56"/>
      <c r="N27" s="56" t="s">
        <v>16</v>
      </c>
      <c r="O27" s="13" t="s">
        <v>344</v>
      </c>
      <c r="P27" s="39" t="s">
        <v>333</v>
      </c>
      <c r="Q27" s="38">
        <v>0.5</v>
      </c>
      <c r="R27" s="12"/>
      <c r="S27" s="12"/>
      <c r="T27" s="12"/>
      <c r="U27" s="12"/>
      <c r="V27" s="12"/>
      <c r="W27" s="12"/>
      <c r="X27" s="12"/>
      <c r="Y27" s="12"/>
      <c r="Z27" s="12"/>
      <c r="AA27" s="12">
        <v>0.25</v>
      </c>
      <c r="AB27" s="12">
        <v>0.25</v>
      </c>
      <c r="AC27" s="12"/>
    </row>
    <row r="28" spans="1:29" ht="19.95" customHeight="1" x14ac:dyDescent="0.25">
      <c r="A28" s="38">
        <v>9583078304</v>
      </c>
      <c r="B28" s="56" t="s">
        <v>350</v>
      </c>
      <c r="C28" s="43" t="s">
        <v>348</v>
      </c>
      <c r="D28" s="56" t="s">
        <v>347</v>
      </c>
      <c r="E28" s="56" t="s">
        <v>351</v>
      </c>
      <c r="F28" s="56" t="s">
        <v>349</v>
      </c>
      <c r="G28" s="56" t="s">
        <v>330</v>
      </c>
      <c r="H28" s="56" t="s">
        <v>115</v>
      </c>
      <c r="I28" s="56" t="s">
        <v>106</v>
      </c>
      <c r="J28" s="56" t="s">
        <v>185</v>
      </c>
      <c r="K28" s="56" t="s">
        <v>125</v>
      </c>
      <c r="L28" s="56" t="s">
        <v>12</v>
      </c>
      <c r="M28" s="56"/>
      <c r="N28" s="56" t="s">
        <v>16</v>
      </c>
      <c r="O28" s="13" t="s">
        <v>345</v>
      </c>
      <c r="P28" s="39" t="s">
        <v>334</v>
      </c>
      <c r="Q28" s="38">
        <v>30000</v>
      </c>
      <c r="R28" s="12"/>
      <c r="S28" s="12"/>
      <c r="T28" s="12"/>
      <c r="U28" s="12"/>
      <c r="V28" s="12"/>
      <c r="W28" s="12"/>
      <c r="X28" s="12"/>
      <c r="Y28" s="12">
        <v>2000</v>
      </c>
      <c r="Z28" s="12">
        <v>8000</v>
      </c>
      <c r="AA28" s="12">
        <v>13000</v>
      </c>
      <c r="AB28" s="12">
        <v>7000</v>
      </c>
      <c r="AC28" s="12"/>
    </row>
    <row r="29" spans="1:29" ht="19.95" customHeight="1" x14ac:dyDescent="0.25">
      <c r="A29" s="38">
        <v>9583078304</v>
      </c>
      <c r="B29" s="56" t="s">
        <v>350</v>
      </c>
      <c r="C29" s="43" t="s">
        <v>348</v>
      </c>
      <c r="D29" s="56" t="s">
        <v>347</v>
      </c>
      <c r="E29" s="56" t="s">
        <v>351</v>
      </c>
      <c r="F29" s="56" t="s">
        <v>349</v>
      </c>
      <c r="G29" s="56" t="s">
        <v>330</v>
      </c>
      <c r="H29" s="56" t="s">
        <v>115</v>
      </c>
      <c r="I29" s="56" t="s">
        <v>106</v>
      </c>
      <c r="J29" s="56" t="s">
        <v>185</v>
      </c>
      <c r="K29" s="56" t="s">
        <v>125</v>
      </c>
      <c r="L29" s="56" t="s">
        <v>12</v>
      </c>
      <c r="M29" s="56"/>
      <c r="N29" s="56" t="s">
        <v>16</v>
      </c>
      <c r="O29" s="13" t="s">
        <v>346</v>
      </c>
      <c r="P29" s="12" t="s">
        <v>333</v>
      </c>
      <c r="Q29" s="38">
        <v>5</v>
      </c>
      <c r="R29" s="12"/>
      <c r="S29" s="12"/>
      <c r="T29" s="12">
        <v>1</v>
      </c>
      <c r="U29" s="12"/>
      <c r="V29" s="12"/>
      <c r="W29" s="12"/>
      <c r="X29" s="12"/>
      <c r="Y29" s="12"/>
      <c r="Z29" s="12"/>
      <c r="AA29" s="12"/>
      <c r="AB29" s="12">
        <v>2</v>
      </c>
      <c r="AC29" s="12">
        <v>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11"/>
  <sheetViews>
    <sheetView topLeftCell="E1" zoomScaleNormal="100" workbookViewId="0">
      <selection activeCell="F2" sqref="F2"/>
    </sheetView>
  </sheetViews>
  <sheetFormatPr defaultColWidth="9.44140625" defaultRowHeight="13.2" x14ac:dyDescent="0.25"/>
  <cols>
    <col min="1" max="1" width="12.109375" bestFit="1" customWidth="1"/>
    <col min="2" max="2" width="18.109375" bestFit="1" customWidth="1"/>
    <col min="3" max="3" width="34.88671875" bestFit="1" customWidth="1"/>
    <col min="4" max="4" width="15.33203125" bestFit="1" customWidth="1"/>
    <col min="5" max="5" width="8.33203125" customWidth="1"/>
    <col min="6" max="6" width="11.33203125" bestFit="1" customWidth="1"/>
    <col min="7" max="7" width="21.88671875" bestFit="1" customWidth="1"/>
    <col min="8" max="8" width="8.88671875" bestFit="1" customWidth="1"/>
    <col min="9" max="9" width="18.77734375" bestFit="1" customWidth="1"/>
    <col min="10" max="13" width="11.44140625" bestFit="1" customWidth="1"/>
    <col min="14" max="14" width="14.5546875" bestFit="1" customWidth="1"/>
    <col min="15" max="15" width="102.77734375" customWidth="1"/>
    <col min="16" max="16" width="21.77734375" bestFit="1" customWidth="1"/>
    <col min="17" max="17" width="14.109375" bestFit="1" customWidth="1"/>
  </cols>
  <sheetData>
    <row r="1" spans="1:29" ht="40.200000000000003" customHeight="1" x14ac:dyDescent="0.25">
      <c r="A1" s="35" t="s">
        <v>123</v>
      </c>
      <c r="B1" s="58" t="s">
        <v>1</v>
      </c>
      <c r="C1" s="35" t="s">
        <v>2</v>
      </c>
      <c r="D1" s="58" t="s">
        <v>3</v>
      </c>
      <c r="E1" s="35" t="s">
        <v>4</v>
      </c>
      <c r="F1" s="35" t="s">
        <v>5</v>
      </c>
      <c r="G1" s="35" t="s">
        <v>6</v>
      </c>
      <c r="H1" s="35" t="s">
        <v>7</v>
      </c>
      <c r="I1" s="58" t="s">
        <v>8</v>
      </c>
      <c r="J1" s="35" t="s">
        <v>9</v>
      </c>
      <c r="K1" s="35" t="s">
        <v>10</v>
      </c>
      <c r="L1" s="35" t="s">
        <v>126</v>
      </c>
      <c r="M1" s="35" t="s">
        <v>127</v>
      </c>
      <c r="N1" s="35"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30" customHeight="1" x14ac:dyDescent="0.25">
      <c r="A2" s="36" t="s">
        <v>840</v>
      </c>
      <c r="B2" s="147" t="s">
        <v>841</v>
      </c>
      <c r="C2" s="131" t="s">
        <v>839</v>
      </c>
      <c r="D2" s="37" t="s">
        <v>12</v>
      </c>
      <c r="E2" s="37" t="s">
        <v>116</v>
      </c>
      <c r="F2" s="56" t="s">
        <v>59</v>
      </c>
      <c r="G2" s="37" t="s">
        <v>838</v>
      </c>
      <c r="H2" s="37" t="s">
        <v>15</v>
      </c>
      <c r="I2" s="37" t="s">
        <v>19</v>
      </c>
      <c r="J2" s="37"/>
      <c r="K2" s="37"/>
      <c r="L2" s="37"/>
      <c r="M2" s="37"/>
      <c r="N2" s="37" t="s">
        <v>16</v>
      </c>
      <c r="O2" s="114" t="s">
        <v>820</v>
      </c>
      <c r="P2" s="56" t="s">
        <v>837</v>
      </c>
      <c r="Q2" s="56">
        <f>5500+3958</f>
        <v>9458</v>
      </c>
      <c r="R2" s="133">
        <v>5791</v>
      </c>
      <c r="S2" s="133">
        <v>5791</v>
      </c>
      <c r="T2" s="56">
        <f>5500+3958</f>
        <v>9458</v>
      </c>
      <c r="U2" s="56">
        <f>Q2</f>
        <v>9458</v>
      </c>
      <c r="V2" s="56">
        <f>U2</f>
        <v>9458</v>
      </c>
      <c r="W2" s="56">
        <f>U2</f>
        <v>9458</v>
      </c>
      <c r="X2" s="56">
        <f>U2</f>
        <v>9458</v>
      </c>
      <c r="Y2" s="56">
        <f t="shared" ref="Y2:AC2" si="0">U2</f>
        <v>9458</v>
      </c>
      <c r="Z2" s="56">
        <f t="shared" si="0"/>
        <v>9458</v>
      </c>
      <c r="AA2" s="56">
        <f t="shared" si="0"/>
        <v>9458</v>
      </c>
      <c r="AB2" s="56">
        <f t="shared" si="0"/>
        <v>9458</v>
      </c>
      <c r="AC2" s="56">
        <f t="shared" si="0"/>
        <v>9458</v>
      </c>
    </row>
    <row r="3" spans="1:29" ht="30" customHeight="1" x14ac:dyDescent="0.25">
      <c r="A3" s="36" t="s">
        <v>840</v>
      </c>
      <c r="B3" s="147" t="s">
        <v>841</v>
      </c>
      <c r="C3" s="131" t="s">
        <v>839</v>
      </c>
      <c r="D3" s="37" t="s">
        <v>12</v>
      </c>
      <c r="E3" s="37" t="s">
        <v>116</v>
      </c>
      <c r="F3" s="56" t="s">
        <v>59</v>
      </c>
      <c r="G3" s="37" t="s">
        <v>838</v>
      </c>
      <c r="H3" s="37" t="s">
        <v>15</v>
      </c>
      <c r="I3" s="37" t="s">
        <v>19</v>
      </c>
      <c r="J3" s="37"/>
      <c r="K3" s="37"/>
      <c r="L3" s="37"/>
      <c r="M3" s="37"/>
      <c r="N3" s="37" t="s">
        <v>16</v>
      </c>
      <c r="O3" s="114" t="s">
        <v>821</v>
      </c>
      <c r="P3" s="56" t="s">
        <v>21</v>
      </c>
      <c r="Q3" s="107">
        <v>1</v>
      </c>
      <c r="R3" s="107">
        <v>1</v>
      </c>
      <c r="S3" s="107">
        <v>1</v>
      </c>
      <c r="T3" s="107">
        <v>1</v>
      </c>
      <c r="U3" s="107">
        <v>1</v>
      </c>
      <c r="V3" s="107">
        <v>1</v>
      </c>
      <c r="W3" s="107">
        <v>1</v>
      </c>
      <c r="X3" s="107">
        <v>1</v>
      </c>
      <c r="Y3" s="107">
        <v>1</v>
      </c>
      <c r="Z3" s="107">
        <v>1</v>
      </c>
      <c r="AA3" s="107">
        <v>1</v>
      </c>
      <c r="AB3" s="107">
        <v>1</v>
      </c>
      <c r="AC3" s="107">
        <v>1</v>
      </c>
    </row>
    <row r="4" spans="1:29" ht="30" customHeight="1" x14ac:dyDescent="0.25">
      <c r="A4" s="36" t="s">
        <v>840</v>
      </c>
      <c r="B4" s="147" t="s">
        <v>841</v>
      </c>
      <c r="C4" s="131" t="s">
        <v>839</v>
      </c>
      <c r="D4" s="37" t="s">
        <v>12</v>
      </c>
      <c r="E4" s="37" t="s">
        <v>116</v>
      </c>
      <c r="F4" s="56" t="s">
        <v>59</v>
      </c>
      <c r="G4" s="37" t="s">
        <v>838</v>
      </c>
      <c r="H4" s="37" t="s">
        <v>15</v>
      </c>
      <c r="I4" s="37" t="s">
        <v>19</v>
      </c>
      <c r="J4" s="37"/>
      <c r="K4" s="37"/>
      <c r="L4" s="37"/>
      <c r="M4" s="37"/>
      <c r="N4" s="37" t="s">
        <v>16</v>
      </c>
      <c r="O4" s="114" t="s">
        <v>822</v>
      </c>
      <c r="P4" s="56" t="s">
        <v>21</v>
      </c>
      <c r="Q4" s="107">
        <v>1</v>
      </c>
      <c r="R4" s="107"/>
      <c r="S4" s="107"/>
      <c r="T4" s="107">
        <v>1</v>
      </c>
      <c r="U4" s="107">
        <v>1</v>
      </c>
      <c r="V4" s="107">
        <v>1</v>
      </c>
      <c r="W4" s="107">
        <v>1</v>
      </c>
      <c r="X4" s="107">
        <v>1</v>
      </c>
      <c r="Y4" s="107">
        <v>1</v>
      </c>
      <c r="Z4" s="107">
        <v>1</v>
      </c>
      <c r="AA4" s="107">
        <v>1</v>
      </c>
      <c r="AB4" s="107">
        <v>1</v>
      </c>
      <c r="AC4" s="107">
        <v>1</v>
      </c>
    </row>
    <row r="5" spans="1:29" ht="30" customHeight="1" x14ac:dyDescent="0.25">
      <c r="A5" s="36" t="s">
        <v>840</v>
      </c>
      <c r="B5" s="147" t="s">
        <v>841</v>
      </c>
      <c r="C5" s="131" t="s">
        <v>839</v>
      </c>
      <c r="D5" s="37" t="s">
        <v>12</v>
      </c>
      <c r="E5" s="37" t="s">
        <v>116</v>
      </c>
      <c r="F5" s="56" t="s">
        <v>59</v>
      </c>
      <c r="G5" s="37" t="s">
        <v>838</v>
      </c>
      <c r="H5" s="37" t="s">
        <v>15</v>
      </c>
      <c r="I5" s="37" t="s">
        <v>19</v>
      </c>
      <c r="J5" s="37"/>
      <c r="K5" s="37"/>
      <c r="L5" s="37"/>
      <c r="M5" s="37"/>
      <c r="N5" s="37" t="s">
        <v>16</v>
      </c>
      <c r="O5" s="114" t="s">
        <v>823</v>
      </c>
      <c r="P5" s="56" t="s">
        <v>21</v>
      </c>
      <c r="Q5" s="107">
        <v>1</v>
      </c>
      <c r="R5" s="107">
        <v>1</v>
      </c>
      <c r="S5" s="107">
        <v>1</v>
      </c>
      <c r="T5" s="107">
        <v>1</v>
      </c>
      <c r="U5" s="107">
        <v>1</v>
      </c>
      <c r="V5" s="107">
        <v>1</v>
      </c>
      <c r="W5" s="107">
        <v>1</v>
      </c>
      <c r="X5" s="107">
        <v>1</v>
      </c>
      <c r="Y5" s="107">
        <v>1</v>
      </c>
      <c r="Z5" s="107">
        <v>1</v>
      </c>
      <c r="AA5" s="107">
        <v>1</v>
      </c>
      <c r="AB5" s="107">
        <v>1</v>
      </c>
      <c r="AC5" s="107">
        <v>1</v>
      </c>
    </row>
    <row r="6" spans="1:29" ht="30" customHeight="1" x14ac:dyDescent="0.25">
      <c r="A6" s="36" t="s">
        <v>840</v>
      </c>
      <c r="B6" s="147" t="s">
        <v>841</v>
      </c>
      <c r="C6" s="131" t="s">
        <v>839</v>
      </c>
      <c r="D6" s="37" t="s">
        <v>12</v>
      </c>
      <c r="E6" s="37" t="s">
        <v>116</v>
      </c>
      <c r="F6" s="56" t="s">
        <v>59</v>
      </c>
      <c r="G6" s="37" t="s">
        <v>838</v>
      </c>
      <c r="H6" s="37" t="s">
        <v>15</v>
      </c>
      <c r="I6" s="37" t="s">
        <v>19</v>
      </c>
      <c r="J6" s="37"/>
      <c r="K6" s="37"/>
      <c r="L6" s="37"/>
      <c r="M6" s="37"/>
      <c r="N6" s="37" t="s">
        <v>16</v>
      </c>
      <c r="O6" s="114" t="s">
        <v>824</v>
      </c>
      <c r="P6" s="56" t="s">
        <v>837</v>
      </c>
      <c r="Q6" s="56">
        <v>12</v>
      </c>
      <c r="R6" s="56">
        <v>1</v>
      </c>
      <c r="S6" s="56">
        <v>1</v>
      </c>
      <c r="T6" s="56">
        <v>1</v>
      </c>
      <c r="U6" s="56">
        <v>1</v>
      </c>
      <c r="V6" s="56">
        <v>1</v>
      </c>
      <c r="W6" s="56">
        <v>1</v>
      </c>
      <c r="X6" s="56">
        <v>1</v>
      </c>
      <c r="Y6" s="56">
        <v>1</v>
      </c>
      <c r="Z6" s="56">
        <v>1</v>
      </c>
      <c r="AA6" s="56">
        <v>1</v>
      </c>
      <c r="AB6" s="56">
        <v>1</v>
      </c>
      <c r="AC6" s="56">
        <v>1</v>
      </c>
    </row>
    <row r="7" spans="1:29" ht="30" customHeight="1" x14ac:dyDescent="0.25">
      <c r="A7" s="36" t="s">
        <v>840</v>
      </c>
      <c r="B7" s="147" t="s">
        <v>841</v>
      </c>
      <c r="C7" s="131" t="s">
        <v>839</v>
      </c>
      <c r="D7" s="37" t="s">
        <v>12</v>
      </c>
      <c r="E7" s="37" t="s">
        <v>116</v>
      </c>
      <c r="F7" s="56" t="s">
        <v>59</v>
      </c>
      <c r="G7" s="37" t="s">
        <v>838</v>
      </c>
      <c r="H7" s="37" t="s">
        <v>15</v>
      </c>
      <c r="I7" s="37" t="s">
        <v>19</v>
      </c>
      <c r="J7" s="37"/>
      <c r="K7" s="37"/>
      <c r="L7" s="37"/>
      <c r="M7" s="37"/>
      <c r="N7" s="37" t="s">
        <v>16</v>
      </c>
      <c r="O7" s="114" t="s">
        <v>825</v>
      </c>
      <c r="P7" s="56" t="s">
        <v>837</v>
      </c>
      <c r="Q7" s="56">
        <v>12</v>
      </c>
      <c r="R7" s="56">
        <v>1</v>
      </c>
      <c r="S7" s="56">
        <v>1</v>
      </c>
      <c r="T7" s="56">
        <v>1</v>
      </c>
      <c r="U7" s="56">
        <v>1</v>
      </c>
      <c r="V7" s="56">
        <v>1</v>
      </c>
      <c r="W7" s="56">
        <v>1</v>
      </c>
      <c r="X7" s="56">
        <v>1</v>
      </c>
      <c r="Y7" s="56">
        <v>1</v>
      </c>
      <c r="Z7" s="56">
        <v>1</v>
      </c>
      <c r="AA7" s="56">
        <v>1</v>
      </c>
      <c r="AB7" s="56">
        <v>1</v>
      </c>
      <c r="AC7" s="56">
        <v>1</v>
      </c>
    </row>
    <row r="8" spans="1:29" ht="30" customHeight="1" x14ac:dyDescent="0.25">
      <c r="A8" s="36" t="s">
        <v>840</v>
      </c>
      <c r="B8" s="147" t="s">
        <v>841</v>
      </c>
      <c r="C8" s="131" t="s">
        <v>839</v>
      </c>
      <c r="D8" s="37" t="s">
        <v>12</v>
      </c>
      <c r="E8" s="37" t="s">
        <v>116</v>
      </c>
      <c r="F8" s="56" t="s">
        <v>59</v>
      </c>
      <c r="G8" s="37" t="s">
        <v>838</v>
      </c>
      <c r="H8" s="37" t="s">
        <v>15</v>
      </c>
      <c r="I8" s="37" t="s">
        <v>19</v>
      </c>
      <c r="J8" s="37"/>
      <c r="K8" s="37"/>
      <c r="L8" s="37"/>
      <c r="M8" s="37"/>
      <c r="N8" s="37" t="s">
        <v>16</v>
      </c>
      <c r="O8" s="114" t="s">
        <v>826</v>
      </c>
      <c r="P8" s="56" t="s">
        <v>837</v>
      </c>
      <c r="Q8" s="56">
        <f>SUM(R8:AC8)</f>
        <v>24</v>
      </c>
      <c r="R8" s="56">
        <v>2</v>
      </c>
      <c r="S8" s="56">
        <v>2</v>
      </c>
      <c r="T8" s="56">
        <v>2</v>
      </c>
      <c r="U8" s="56">
        <v>2</v>
      </c>
      <c r="V8" s="56">
        <f t="shared" ref="V8:AC8" si="1">U8</f>
        <v>2</v>
      </c>
      <c r="W8" s="56">
        <f t="shared" si="1"/>
        <v>2</v>
      </c>
      <c r="X8" s="56">
        <f t="shared" si="1"/>
        <v>2</v>
      </c>
      <c r="Y8" s="56">
        <f t="shared" si="1"/>
        <v>2</v>
      </c>
      <c r="Z8" s="56">
        <f t="shared" si="1"/>
        <v>2</v>
      </c>
      <c r="AA8" s="56">
        <f t="shared" si="1"/>
        <v>2</v>
      </c>
      <c r="AB8" s="56">
        <f t="shared" si="1"/>
        <v>2</v>
      </c>
      <c r="AC8" s="56">
        <f t="shared" si="1"/>
        <v>2</v>
      </c>
    </row>
    <row r="9" spans="1:29" ht="30" customHeight="1" x14ac:dyDescent="0.25">
      <c r="A9" s="36" t="s">
        <v>840</v>
      </c>
      <c r="B9" s="147" t="s">
        <v>841</v>
      </c>
      <c r="C9" s="131" t="s">
        <v>839</v>
      </c>
      <c r="D9" s="37" t="s">
        <v>12</v>
      </c>
      <c r="E9" s="37" t="s">
        <v>116</v>
      </c>
      <c r="F9" s="56" t="s">
        <v>59</v>
      </c>
      <c r="G9" s="37" t="s">
        <v>838</v>
      </c>
      <c r="H9" s="37" t="s">
        <v>15</v>
      </c>
      <c r="I9" s="37" t="s">
        <v>19</v>
      </c>
      <c r="J9" s="37"/>
      <c r="K9" s="37"/>
      <c r="L9" s="37"/>
      <c r="M9" s="37"/>
      <c r="N9" s="37" t="s">
        <v>16</v>
      </c>
      <c r="O9" s="114" t="s">
        <v>827</v>
      </c>
      <c r="P9" s="56" t="s">
        <v>21</v>
      </c>
      <c r="Q9" s="107">
        <v>1</v>
      </c>
      <c r="R9" s="107">
        <v>1</v>
      </c>
      <c r="S9" s="107">
        <v>1</v>
      </c>
      <c r="T9" s="107">
        <v>1</v>
      </c>
      <c r="U9" s="107">
        <v>1</v>
      </c>
      <c r="V9" s="107">
        <v>1</v>
      </c>
      <c r="W9" s="107">
        <v>1</v>
      </c>
      <c r="X9" s="107">
        <v>1</v>
      </c>
      <c r="Y9" s="107">
        <v>1</v>
      </c>
      <c r="Z9" s="107">
        <v>1</v>
      </c>
      <c r="AA9" s="107">
        <v>1</v>
      </c>
      <c r="AB9" s="107">
        <v>1</v>
      </c>
      <c r="AC9" s="107">
        <v>1</v>
      </c>
    </row>
    <row r="10" spans="1:29" ht="30" customHeight="1" x14ac:dyDescent="0.25">
      <c r="A10" s="36" t="s">
        <v>840</v>
      </c>
      <c r="B10" s="147" t="s">
        <v>841</v>
      </c>
      <c r="C10" s="131" t="s">
        <v>839</v>
      </c>
      <c r="D10" s="37" t="s">
        <v>12</v>
      </c>
      <c r="E10" s="37" t="s">
        <v>116</v>
      </c>
      <c r="F10" s="56" t="s">
        <v>59</v>
      </c>
      <c r="G10" s="37" t="s">
        <v>838</v>
      </c>
      <c r="H10" s="37" t="s">
        <v>15</v>
      </c>
      <c r="I10" s="37" t="s">
        <v>19</v>
      </c>
      <c r="J10" s="37"/>
      <c r="K10" s="37"/>
      <c r="L10" s="37"/>
      <c r="M10" s="37"/>
      <c r="N10" s="37" t="s">
        <v>16</v>
      </c>
      <c r="O10" s="114" t="s">
        <v>828</v>
      </c>
      <c r="P10" s="56" t="s">
        <v>21</v>
      </c>
      <c r="Q10" s="107">
        <v>1</v>
      </c>
      <c r="R10" s="107">
        <v>1</v>
      </c>
      <c r="S10" s="107">
        <v>1</v>
      </c>
      <c r="T10" s="107">
        <v>1</v>
      </c>
      <c r="U10" s="107">
        <v>1</v>
      </c>
      <c r="V10" s="107">
        <v>1</v>
      </c>
      <c r="W10" s="107">
        <v>1</v>
      </c>
      <c r="X10" s="107">
        <v>1</v>
      </c>
      <c r="Y10" s="107">
        <v>1</v>
      </c>
      <c r="Z10" s="107">
        <v>1</v>
      </c>
      <c r="AA10" s="107">
        <v>1</v>
      </c>
      <c r="AB10" s="107">
        <v>1</v>
      </c>
      <c r="AC10" s="107">
        <v>1</v>
      </c>
    </row>
    <row r="11" spans="1:29" ht="30" customHeight="1" x14ac:dyDescent="0.25">
      <c r="A11" s="36" t="s">
        <v>840</v>
      </c>
      <c r="B11" s="147" t="s">
        <v>841</v>
      </c>
      <c r="C11" s="131" t="s">
        <v>839</v>
      </c>
      <c r="D11" s="37" t="s">
        <v>12</v>
      </c>
      <c r="E11" s="37" t="s">
        <v>116</v>
      </c>
      <c r="F11" s="56" t="s">
        <v>59</v>
      </c>
      <c r="G11" s="37" t="s">
        <v>838</v>
      </c>
      <c r="H11" s="37" t="s">
        <v>15</v>
      </c>
      <c r="I11" s="37" t="s">
        <v>19</v>
      </c>
      <c r="J11" s="37"/>
      <c r="K11" s="37"/>
      <c r="L11" s="37"/>
      <c r="M11" s="37"/>
      <c r="N11" s="37" t="s">
        <v>16</v>
      </c>
      <c r="O11" s="114" t="s">
        <v>829</v>
      </c>
      <c r="P11" s="56" t="s">
        <v>21</v>
      </c>
      <c r="Q11" s="107">
        <v>1</v>
      </c>
      <c r="R11" s="107">
        <v>1</v>
      </c>
      <c r="S11" s="107">
        <v>1</v>
      </c>
      <c r="T11" s="107">
        <v>1</v>
      </c>
      <c r="U11" s="107">
        <v>1</v>
      </c>
      <c r="V11" s="107">
        <v>1</v>
      </c>
      <c r="W11" s="107">
        <v>1</v>
      </c>
      <c r="X11" s="107">
        <v>1</v>
      </c>
      <c r="Y11" s="107">
        <v>1</v>
      </c>
      <c r="Z11" s="107">
        <v>1</v>
      </c>
      <c r="AA11" s="107">
        <v>1</v>
      </c>
      <c r="AB11" s="107">
        <v>1</v>
      </c>
      <c r="AC11" s="107">
        <v>1</v>
      </c>
    </row>
    <row r="12" spans="1:29" ht="30" customHeight="1" x14ac:dyDescent="0.25">
      <c r="A12" s="36" t="s">
        <v>840</v>
      </c>
      <c r="B12" s="147" t="s">
        <v>841</v>
      </c>
      <c r="C12" s="131" t="s">
        <v>839</v>
      </c>
      <c r="D12" s="37" t="s">
        <v>12</v>
      </c>
      <c r="E12" s="37" t="s">
        <v>116</v>
      </c>
      <c r="F12" s="56" t="s">
        <v>59</v>
      </c>
      <c r="G12" s="37" t="s">
        <v>838</v>
      </c>
      <c r="H12" s="37" t="s">
        <v>15</v>
      </c>
      <c r="I12" s="37" t="s">
        <v>19</v>
      </c>
      <c r="J12" s="37"/>
      <c r="K12" s="37"/>
      <c r="L12" s="37"/>
      <c r="M12" s="37"/>
      <c r="N12" s="37" t="s">
        <v>16</v>
      </c>
      <c r="O12" s="114" t="s">
        <v>830</v>
      </c>
      <c r="P12" s="56" t="s">
        <v>21</v>
      </c>
      <c r="Q12" s="107">
        <v>1</v>
      </c>
      <c r="R12" s="107">
        <v>1</v>
      </c>
      <c r="S12" s="107">
        <v>1</v>
      </c>
      <c r="T12" s="107">
        <v>1</v>
      </c>
      <c r="U12" s="107">
        <v>1</v>
      </c>
      <c r="V12" s="107">
        <v>1</v>
      </c>
      <c r="W12" s="107">
        <v>1</v>
      </c>
      <c r="X12" s="107">
        <v>1</v>
      </c>
      <c r="Y12" s="107">
        <v>1</v>
      </c>
      <c r="Z12" s="107">
        <v>1</v>
      </c>
      <c r="AA12" s="107">
        <v>1</v>
      </c>
      <c r="AB12" s="107">
        <v>1</v>
      </c>
      <c r="AC12" s="107">
        <v>1</v>
      </c>
    </row>
    <row r="13" spans="1:29" ht="30" customHeight="1" x14ac:dyDescent="0.25">
      <c r="A13" s="36" t="s">
        <v>840</v>
      </c>
      <c r="B13" s="147" t="s">
        <v>841</v>
      </c>
      <c r="C13" s="131" t="s">
        <v>839</v>
      </c>
      <c r="D13" s="37" t="s">
        <v>12</v>
      </c>
      <c r="E13" s="37" t="s">
        <v>116</v>
      </c>
      <c r="F13" s="56" t="s">
        <v>59</v>
      </c>
      <c r="G13" s="37" t="s">
        <v>838</v>
      </c>
      <c r="H13" s="37" t="s">
        <v>15</v>
      </c>
      <c r="I13" s="37" t="s">
        <v>19</v>
      </c>
      <c r="J13" s="37"/>
      <c r="K13" s="37"/>
      <c r="L13" s="37"/>
      <c r="M13" s="37"/>
      <c r="N13" s="37" t="s">
        <v>16</v>
      </c>
      <c r="O13" s="97" t="s">
        <v>831</v>
      </c>
      <c r="P13" s="56" t="s">
        <v>837</v>
      </c>
      <c r="Q13" s="56">
        <v>24</v>
      </c>
      <c r="R13" s="56">
        <v>2</v>
      </c>
      <c r="S13" s="56">
        <v>2</v>
      </c>
      <c r="T13" s="56">
        <v>2</v>
      </c>
      <c r="U13" s="56">
        <v>2</v>
      </c>
      <c r="V13" s="56">
        <v>2</v>
      </c>
      <c r="W13" s="56">
        <v>2</v>
      </c>
      <c r="X13" s="56">
        <v>2</v>
      </c>
      <c r="Y13" s="56">
        <v>2</v>
      </c>
      <c r="Z13" s="56">
        <v>2</v>
      </c>
      <c r="AA13" s="56">
        <v>2</v>
      </c>
      <c r="AB13" s="56">
        <v>2</v>
      </c>
      <c r="AC13" s="56">
        <v>2</v>
      </c>
    </row>
    <row r="14" spans="1:29" ht="30" customHeight="1" x14ac:dyDescent="0.25">
      <c r="A14" s="36" t="s">
        <v>840</v>
      </c>
      <c r="B14" s="147" t="s">
        <v>841</v>
      </c>
      <c r="C14" s="131" t="s">
        <v>839</v>
      </c>
      <c r="D14" s="37" t="s">
        <v>12</v>
      </c>
      <c r="E14" s="37" t="s">
        <v>116</v>
      </c>
      <c r="F14" s="56" t="s">
        <v>59</v>
      </c>
      <c r="G14" s="37" t="s">
        <v>838</v>
      </c>
      <c r="H14" s="37" t="s">
        <v>15</v>
      </c>
      <c r="I14" s="37" t="s">
        <v>19</v>
      </c>
      <c r="J14" s="37"/>
      <c r="K14" s="37"/>
      <c r="L14" s="37"/>
      <c r="M14" s="37"/>
      <c r="N14" s="37" t="s">
        <v>16</v>
      </c>
      <c r="O14" s="114" t="s">
        <v>832</v>
      </c>
      <c r="P14" s="56" t="s">
        <v>21</v>
      </c>
      <c r="Q14" s="107">
        <v>1</v>
      </c>
      <c r="R14" s="107">
        <v>1</v>
      </c>
      <c r="S14" s="107">
        <v>1</v>
      </c>
      <c r="T14" s="107">
        <v>1</v>
      </c>
      <c r="U14" s="107">
        <v>1</v>
      </c>
      <c r="V14" s="107">
        <v>1</v>
      </c>
      <c r="W14" s="107">
        <v>1</v>
      </c>
      <c r="X14" s="107">
        <v>1</v>
      </c>
      <c r="Y14" s="107">
        <v>1</v>
      </c>
      <c r="Z14" s="107">
        <v>1</v>
      </c>
      <c r="AA14" s="107">
        <v>1</v>
      </c>
      <c r="AB14" s="107">
        <v>1</v>
      </c>
      <c r="AC14" s="107">
        <v>1</v>
      </c>
    </row>
    <row r="15" spans="1:29" ht="30" customHeight="1" x14ac:dyDescent="0.25">
      <c r="A15" s="36" t="s">
        <v>840</v>
      </c>
      <c r="B15" s="147" t="s">
        <v>841</v>
      </c>
      <c r="C15" s="131" t="s">
        <v>839</v>
      </c>
      <c r="D15" s="37" t="s">
        <v>12</v>
      </c>
      <c r="E15" s="37" t="s">
        <v>116</v>
      </c>
      <c r="F15" s="56" t="s">
        <v>59</v>
      </c>
      <c r="G15" s="37" t="s">
        <v>838</v>
      </c>
      <c r="H15" s="37" t="s">
        <v>15</v>
      </c>
      <c r="I15" s="37" t="s">
        <v>19</v>
      </c>
      <c r="J15" s="37"/>
      <c r="K15" s="37"/>
      <c r="L15" s="37"/>
      <c r="M15" s="37"/>
      <c r="N15" s="37" t="s">
        <v>16</v>
      </c>
      <c r="O15" s="114" t="s">
        <v>833</v>
      </c>
      <c r="P15" s="56" t="s">
        <v>21</v>
      </c>
      <c r="Q15" s="107">
        <v>1</v>
      </c>
      <c r="R15" s="107">
        <v>0</v>
      </c>
      <c r="S15" s="107">
        <v>0</v>
      </c>
      <c r="T15" s="107">
        <v>0</v>
      </c>
      <c r="U15" s="107">
        <v>1</v>
      </c>
      <c r="V15" s="107">
        <v>1</v>
      </c>
      <c r="W15" s="107">
        <v>1</v>
      </c>
      <c r="X15" s="107">
        <v>1</v>
      </c>
      <c r="Y15" s="107">
        <v>1</v>
      </c>
      <c r="Z15" s="107">
        <v>1</v>
      </c>
      <c r="AA15" s="107">
        <v>1</v>
      </c>
      <c r="AB15" s="107">
        <v>1</v>
      </c>
      <c r="AC15" s="107">
        <v>1</v>
      </c>
    </row>
    <row r="16" spans="1:29" ht="30" customHeight="1" x14ac:dyDescent="0.25">
      <c r="A16" s="36" t="s">
        <v>840</v>
      </c>
      <c r="B16" s="147" t="s">
        <v>841</v>
      </c>
      <c r="C16" s="131" t="s">
        <v>839</v>
      </c>
      <c r="D16" s="37" t="s">
        <v>12</v>
      </c>
      <c r="E16" s="37" t="s">
        <v>116</v>
      </c>
      <c r="F16" s="56" t="s">
        <v>59</v>
      </c>
      <c r="G16" s="37" t="s">
        <v>838</v>
      </c>
      <c r="H16" s="37" t="s">
        <v>15</v>
      </c>
      <c r="I16" s="37" t="s">
        <v>19</v>
      </c>
      <c r="J16" s="37"/>
      <c r="K16" s="37"/>
      <c r="L16" s="37"/>
      <c r="M16" s="37"/>
      <c r="N16" s="37" t="s">
        <v>16</v>
      </c>
      <c r="O16" s="114" t="s">
        <v>834</v>
      </c>
      <c r="P16" s="56" t="s">
        <v>21</v>
      </c>
      <c r="Q16" s="107">
        <v>1</v>
      </c>
      <c r="R16" s="107">
        <v>1</v>
      </c>
      <c r="S16" s="107">
        <v>1</v>
      </c>
      <c r="T16" s="107">
        <v>1</v>
      </c>
      <c r="U16" s="107">
        <v>1</v>
      </c>
      <c r="V16" s="107">
        <v>1</v>
      </c>
      <c r="W16" s="107">
        <v>1</v>
      </c>
      <c r="X16" s="107">
        <v>1</v>
      </c>
      <c r="Y16" s="107">
        <v>1</v>
      </c>
      <c r="Z16" s="107">
        <v>1</v>
      </c>
      <c r="AA16" s="107">
        <v>1</v>
      </c>
      <c r="AB16" s="107">
        <v>1</v>
      </c>
      <c r="AC16" s="107">
        <v>1</v>
      </c>
    </row>
    <row r="17" spans="1:29" ht="30" customHeight="1" x14ac:dyDescent="0.25">
      <c r="A17" s="36" t="s">
        <v>840</v>
      </c>
      <c r="B17" s="147" t="s">
        <v>841</v>
      </c>
      <c r="C17" s="131" t="s">
        <v>839</v>
      </c>
      <c r="D17" s="37" t="s">
        <v>12</v>
      </c>
      <c r="E17" s="37" t="s">
        <v>116</v>
      </c>
      <c r="F17" s="56" t="s">
        <v>59</v>
      </c>
      <c r="G17" s="37" t="s">
        <v>838</v>
      </c>
      <c r="H17" s="37" t="s">
        <v>15</v>
      </c>
      <c r="I17" s="37" t="s">
        <v>19</v>
      </c>
      <c r="J17" s="37"/>
      <c r="K17" s="37"/>
      <c r="L17" s="37"/>
      <c r="M17" s="37"/>
      <c r="N17" s="37" t="s">
        <v>16</v>
      </c>
      <c r="O17" s="114" t="s">
        <v>835</v>
      </c>
      <c r="P17" s="56" t="s">
        <v>837</v>
      </c>
      <c r="Q17" s="56">
        <v>4</v>
      </c>
      <c r="R17" s="56"/>
      <c r="S17" s="56"/>
      <c r="T17" s="56">
        <v>1</v>
      </c>
      <c r="U17" s="56"/>
      <c r="V17" s="56"/>
      <c r="W17" s="56">
        <v>1</v>
      </c>
      <c r="X17" s="56"/>
      <c r="Y17" s="56"/>
      <c r="Z17" s="56">
        <v>1</v>
      </c>
      <c r="AA17" s="56"/>
      <c r="AB17" s="56"/>
      <c r="AC17" s="56">
        <v>1</v>
      </c>
    </row>
    <row r="18" spans="1:29" ht="30" customHeight="1" x14ac:dyDescent="0.25">
      <c r="A18" s="36" t="s">
        <v>840</v>
      </c>
      <c r="B18" s="147" t="s">
        <v>841</v>
      </c>
      <c r="C18" s="131" t="s">
        <v>839</v>
      </c>
      <c r="D18" s="37" t="s">
        <v>12</v>
      </c>
      <c r="E18" s="37" t="s">
        <v>116</v>
      </c>
      <c r="F18" s="56" t="s">
        <v>59</v>
      </c>
      <c r="G18" s="37" t="s">
        <v>838</v>
      </c>
      <c r="H18" s="37" t="s">
        <v>15</v>
      </c>
      <c r="I18" s="37" t="s">
        <v>19</v>
      </c>
      <c r="J18" s="37"/>
      <c r="K18" s="37"/>
      <c r="L18" s="37"/>
      <c r="M18" s="37"/>
      <c r="N18" s="37" t="s">
        <v>16</v>
      </c>
      <c r="O18" s="97" t="s">
        <v>836</v>
      </c>
      <c r="P18" s="56" t="s">
        <v>837</v>
      </c>
      <c r="Q18" s="56">
        <v>12</v>
      </c>
      <c r="R18" s="56">
        <v>1</v>
      </c>
      <c r="S18" s="56">
        <v>1</v>
      </c>
      <c r="T18" s="56">
        <v>1</v>
      </c>
      <c r="U18" s="56">
        <v>1</v>
      </c>
      <c r="V18" s="56">
        <v>1</v>
      </c>
      <c r="W18" s="56">
        <v>1</v>
      </c>
      <c r="X18" s="56">
        <v>1</v>
      </c>
      <c r="Y18" s="56">
        <v>1</v>
      </c>
      <c r="Z18" s="56">
        <v>1</v>
      </c>
      <c r="AA18" s="56">
        <v>1</v>
      </c>
      <c r="AB18" s="56">
        <v>1</v>
      </c>
      <c r="AC18" s="56">
        <v>1</v>
      </c>
    </row>
    <row r="19" spans="1:29" ht="13.8" x14ac:dyDescent="0.25">
      <c r="A19" s="2"/>
      <c r="B19" s="3"/>
      <c r="C19" s="2"/>
      <c r="D19" s="4"/>
      <c r="E19" s="2"/>
      <c r="F19" s="2"/>
      <c r="G19" s="4"/>
      <c r="H19" s="4"/>
      <c r="I19" s="4"/>
      <c r="J19" s="2"/>
      <c r="K19" s="2"/>
      <c r="L19" s="5"/>
      <c r="M19" s="2"/>
      <c r="N19" s="2"/>
    </row>
    <row r="20" spans="1:29" ht="13.8" x14ac:dyDescent="0.25">
      <c r="A20" s="2"/>
      <c r="B20" s="3"/>
      <c r="C20" s="2"/>
      <c r="D20" s="4"/>
      <c r="E20" s="2"/>
      <c r="F20" s="2"/>
      <c r="G20" s="4"/>
      <c r="H20" s="4"/>
      <c r="I20" s="4"/>
      <c r="J20" s="2"/>
      <c r="K20" s="2"/>
      <c r="L20" s="5"/>
      <c r="M20" s="2"/>
      <c r="N20" s="2"/>
    </row>
    <row r="21" spans="1:29" ht="13.8" x14ac:dyDescent="0.25">
      <c r="A21" s="2"/>
      <c r="B21" s="3"/>
      <c r="C21" s="2"/>
      <c r="D21" s="4"/>
      <c r="E21" s="2"/>
      <c r="F21" s="2"/>
      <c r="G21" s="4"/>
      <c r="H21" s="4"/>
      <c r="I21" s="4"/>
      <c r="J21" s="2"/>
      <c r="K21" s="2"/>
      <c r="L21" s="5"/>
      <c r="M21" s="2"/>
      <c r="N21" s="2"/>
    </row>
    <row r="22" spans="1:29" ht="13.8" x14ac:dyDescent="0.25">
      <c r="A22" s="2"/>
      <c r="B22" s="2"/>
      <c r="C22" s="2"/>
      <c r="D22" s="2"/>
      <c r="E22" s="2"/>
      <c r="F22" s="2"/>
      <c r="G22" s="2"/>
      <c r="H22" s="2"/>
      <c r="I22" s="2"/>
      <c r="J22" s="2"/>
      <c r="K22" s="2"/>
      <c r="L22" s="2"/>
      <c r="M22" s="2"/>
      <c r="N22" s="2"/>
    </row>
    <row r="23" spans="1:29" ht="13.8" x14ac:dyDescent="0.25">
      <c r="A23" s="2"/>
      <c r="B23" s="2"/>
      <c r="C23" s="2"/>
      <c r="D23" s="2"/>
      <c r="E23" s="2"/>
      <c r="F23" s="2"/>
      <c r="G23" s="2"/>
      <c r="H23" s="2"/>
      <c r="I23" s="2"/>
      <c r="J23" s="2"/>
      <c r="K23" s="2"/>
      <c r="L23" s="2"/>
      <c r="M23" s="2"/>
      <c r="N23" s="2"/>
    </row>
    <row r="24" spans="1:29" ht="13.8" x14ac:dyDescent="0.25">
      <c r="A24" s="2"/>
      <c r="B24" s="2"/>
      <c r="C24" s="2"/>
      <c r="D24" s="2"/>
      <c r="E24" s="2"/>
      <c r="F24" s="2"/>
      <c r="G24" s="2"/>
      <c r="H24" s="2"/>
      <c r="I24" s="2"/>
      <c r="J24" s="2"/>
      <c r="K24" s="2"/>
      <c r="L24" s="2"/>
      <c r="M24" s="2"/>
      <c r="N24" s="2"/>
    </row>
    <row r="25" spans="1:29" ht="13.8" x14ac:dyDescent="0.25">
      <c r="A25" s="2"/>
      <c r="B25" s="2"/>
      <c r="C25" s="2"/>
      <c r="D25" s="2"/>
      <c r="E25" s="2"/>
      <c r="F25" s="2"/>
      <c r="G25" s="2"/>
      <c r="H25" s="2"/>
      <c r="I25" s="2"/>
      <c r="J25" s="2"/>
      <c r="K25" s="2"/>
      <c r="L25" s="2"/>
      <c r="M25" s="2"/>
      <c r="N25" s="2"/>
    </row>
    <row r="26" spans="1:29" ht="13.8" x14ac:dyDescent="0.25">
      <c r="A26" s="2"/>
      <c r="B26" s="2"/>
      <c r="C26" s="2"/>
      <c r="D26" s="2"/>
      <c r="E26" s="2"/>
      <c r="F26" s="2"/>
      <c r="G26" s="2"/>
      <c r="H26" s="2"/>
      <c r="I26" s="2"/>
      <c r="J26" s="2"/>
      <c r="K26" s="2"/>
      <c r="L26" s="2"/>
      <c r="M26" s="2"/>
      <c r="N26" s="2"/>
    </row>
    <row r="27" spans="1:29" ht="13.8" x14ac:dyDescent="0.25">
      <c r="A27" s="2"/>
      <c r="B27" s="2"/>
      <c r="C27" s="2"/>
      <c r="D27" s="2"/>
      <c r="E27" s="2"/>
      <c r="F27" s="2"/>
      <c r="G27" s="2"/>
      <c r="H27" s="2"/>
      <c r="I27" s="2"/>
      <c r="J27" s="2"/>
      <c r="K27" s="2"/>
      <c r="L27" s="2"/>
      <c r="M27" s="2"/>
      <c r="N27" s="2"/>
    </row>
    <row r="28" spans="1:29" ht="13.8" x14ac:dyDescent="0.25">
      <c r="A28" s="2"/>
      <c r="B28" s="2"/>
      <c r="C28" s="2"/>
      <c r="D28" s="2"/>
      <c r="E28" s="2"/>
      <c r="F28" s="2"/>
      <c r="G28" s="2"/>
      <c r="H28" s="2"/>
      <c r="I28" s="2"/>
      <c r="J28" s="2"/>
      <c r="K28" s="2"/>
      <c r="L28" s="2"/>
      <c r="M28" s="2"/>
      <c r="N28" s="2"/>
    </row>
    <row r="29" spans="1:29" ht="13.8" x14ac:dyDescent="0.25">
      <c r="A29" s="2"/>
      <c r="B29" s="2"/>
      <c r="C29" s="2"/>
      <c r="D29" s="2"/>
      <c r="E29" s="2"/>
      <c r="F29" s="2"/>
      <c r="G29" s="2"/>
      <c r="H29" s="2"/>
      <c r="I29" s="2"/>
      <c r="J29" s="2"/>
      <c r="K29" s="2"/>
      <c r="L29" s="2"/>
      <c r="M29" s="2"/>
      <c r="N29" s="2"/>
    </row>
    <row r="30" spans="1:29" ht="13.8" x14ac:dyDescent="0.25">
      <c r="A30" s="2"/>
      <c r="B30" s="2"/>
      <c r="C30" s="2"/>
      <c r="D30" s="2"/>
      <c r="E30" s="2"/>
      <c r="F30" s="2"/>
      <c r="G30" s="2"/>
      <c r="H30" s="2"/>
      <c r="I30" s="2"/>
      <c r="J30" s="2"/>
      <c r="K30" s="2"/>
      <c r="L30" s="2"/>
      <c r="M30" s="2"/>
      <c r="N30" s="2"/>
    </row>
    <row r="31" spans="1:29" ht="13.8" x14ac:dyDescent="0.25">
      <c r="A31" s="2"/>
      <c r="B31" s="2"/>
      <c r="C31" s="2"/>
      <c r="D31" s="2"/>
      <c r="E31" s="2"/>
      <c r="F31" s="2"/>
      <c r="G31" s="2"/>
      <c r="H31" s="2"/>
      <c r="I31" s="2"/>
      <c r="J31" s="2"/>
      <c r="K31" s="2"/>
      <c r="L31" s="2"/>
      <c r="M31" s="2"/>
      <c r="N31" s="2"/>
    </row>
    <row r="32" spans="1:29" ht="13.8" x14ac:dyDescent="0.25">
      <c r="A32" s="2"/>
      <c r="B32" s="2"/>
      <c r="C32" s="2"/>
      <c r="D32" s="2"/>
      <c r="E32" s="2"/>
      <c r="F32" s="2"/>
      <c r="G32" s="2"/>
      <c r="H32" s="2"/>
      <c r="I32" s="2"/>
      <c r="J32" s="2"/>
      <c r="K32" s="2"/>
      <c r="L32" s="2"/>
      <c r="M32" s="2"/>
      <c r="N32" s="2"/>
    </row>
    <row r="33" spans="1:14" ht="13.8" x14ac:dyDescent="0.25">
      <c r="A33" s="2"/>
      <c r="B33" s="2"/>
      <c r="C33" s="2"/>
      <c r="D33" s="2"/>
      <c r="E33" s="2"/>
      <c r="F33" s="2"/>
      <c r="G33" s="2"/>
      <c r="H33" s="2"/>
      <c r="I33" s="2"/>
      <c r="J33" s="2"/>
      <c r="K33" s="2"/>
      <c r="L33" s="2"/>
      <c r="M33" s="2"/>
      <c r="N33" s="2"/>
    </row>
    <row r="34" spans="1:14" ht="13.8" x14ac:dyDescent="0.25">
      <c r="A34" s="2"/>
      <c r="B34" s="2"/>
      <c r="C34" s="2"/>
      <c r="D34" s="2"/>
      <c r="E34" s="2"/>
      <c r="F34" s="2"/>
      <c r="G34" s="2"/>
      <c r="H34" s="2"/>
      <c r="I34" s="2"/>
      <c r="J34" s="2"/>
      <c r="K34" s="2"/>
      <c r="L34" s="2"/>
      <c r="M34" s="2"/>
      <c r="N34" s="2"/>
    </row>
    <row r="35" spans="1:14" ht="13.8" x14ac:dyDescent="0.25">
      <c r="A35" s="2"/>
      <c r="B35" s="2"/>
      <c r="C35" s="2"/>
      <c r="D35" s="2"/>
      <c r="E35" s="2"/>
      <c r="F35" s="2"/>
      <c r="G35" s="2"/>
      <c r="H35" s="2"/>
      <c r="I35" s="2"/>
      <c r="J35" s="2"/>
      <c r="K35" s="2"/>
      <c r="L35" s="2"/>
      <c r="M35" s="2"/>
      <c r="N35" s="2"/>
    </row>
    <row r="36" spans="1:14" ht="13.8" x14ac:dyDescent="0.25">
      <c r="A36" s="2"/>
      <c r="B36" s="2"/>
      <c r="C36" s="2"/>
      <c r="D36" s="2"/>
      <c r="E36" s="2"/>
      <c r="F36" s="2"/>
      <c r="G36" s="2"/>
      <c r="H36" s="2"/>
      <c r="I36" s="2"/>
      <c r="J36" s="2"/>
      <c r="K36" s="2"/>
      <c r="L36" s="2"/>
      <c r="M36" s="2"/>
      <c r="N36" s="2"/>
    </row>
    <row r="37" spans="1:14" ht="13.8" x14ac:dyDescent="0.25">
      <c r="A37" s="2"/>
      <c r="B37" s="2"/>
      <c r="C37" s="2"/>
      <c r="D37" s="2"/>
      <c r="E37" s="2"/>
      <c r="F37" s="2"/>
      <c r="G37" s="2"/>
      <c r="H37" s="2"/>
      <c r="I37" s="2"/>
      <c r="J37" s="2"/>
      <c r="K37" s="2"/>
      <c r="L37" s="2"/>
      <c r="M37" s="2"/>
      <c r="N37" s="2"/>
    </row>
    <row r="38" spans="1:14" ht="13.8" x14ac:dyDescent="0.25">
      <c r="A38" s="2"/>
      <c r="B38" s="2"/>
      <c r="C38" s="2"/>
      <c r="D38" s="2"/>
      <c r="E38" s="2"/>
      <c r="F38" s="2"/>
      <c r="G38" s="2"/>
      <c r="H38" s="2"/>
      <c r="I38" s="2"/>
      <c r="J38" s="2"/>
      <c r="K38" s="2"/>
      <c r="L38" s="2"/>
      <c r="M38" s="2"/>
      <c r="N38" s="2"/>
    </row>
    <row r="39" spans="1:14" ht="13.8" x14ac:dyDescent="0.25">
      <c r="A39" s="2"/>
      <c r="B39" s="2"/>
      <c r="C39" s="2"/>
      <c r="D39" s="2"/>
      <c r="E39" s="2"/>
      <c r="F39" s="2"/>
      <c r="G39" s="2"/>
      <c r="H39" s="2"/>
      <c r="I39" s="2"/>
      <c r="J39" s="2"/>
      <c r="K39" s="2"/>
      <c r="L39" s="2"/>
      <c r="M39" s="2"/>
      <c r="N39" s="2"/>
    </row>
    <row r="40" spans="1:14" ht="13.8" x14ac:dyDescent="0.25">
      <c r="A40" s="2"/>
      <c r="B40" s="2"/>
      <c r="C40" s="2"/>
      <c r="D40" s="2"/>
      <c r="E40" s="2"/>
      <c r="F40" s="2"/>
      <c r="G40" s="2"/>
      <c r="H40" s="2"/>
      <c r="I40" s="2"/>
      <c r="J40" s="2"/>
      <c r="K40" s="2"/>
      <c r="L40" s="2"/>
      <c r="M40" s="2"/>
      <c r="N40" s="2"/>
    </row>
    <row r="41" spans="1:14" ht="13.8" x14ac:dyDescent="0.25">
      <c r="A41" s="2"/>
      <c r="B41" s="2"/>
      <c r="C41" s="2"/>
      <c r="D41" s="2"/>
      <c r="E41" s="2"/>
      <c r="F41" s="2"/>
      <c r="G41" s="2"/>
      <c r="H41" s="2"/>
      <c r="I41" s="2"/>
      <c r="J41" s="2"/>
      <c r="K41" s="2"/>
      <c r="L41" s="2"/>
      <c r="M41" s="2"/>
      <c r="N41" s="2"/>
    </row>
    <row r="42" spans="1:14" ht="13.8" x14ac:dyDescent="0.25">
      <c r="A42" s="2"/>
      <c r="B42" s="2"/>
      <c r="C42" s="2"/>
      <c r="D42" s="2"/>
      <c r="E42" s="2"/>
      <c r="F42" s="2"/>
      <c r="G42" s="2"/>
      <c r="H42" s="2"/>
      <c r="I42" s="2"/>
      <c r="J42" s="2"/>
      <c r="K42" s="2"/>
      <c r="L42" s="2"/>
      <c r="M42" s="2"/>
      <c r="N42" s="2"/>
    </row>
    <row r="43" spans="1:14" ht="13.8" x14ac:dyDescent="0.25">
      <c r="A43" s="2"/>
      <c r="B43" s="2"/>
      <c r="C43" s="2"/>
      <c r="D43" s="2"/>
      <c r="E43" s="2"/>
      <c r="F43" s="2"/>
      <c r="G43" s="2"/>
      <c r="H43" s="2"/>
      <c r="I43" s="2"/>
      <c r="J43" s="2"/>
      <c r="K43" s="2"/>
      <c r="L43" s="2"/>
      <c r="M43" s="2"/>
      <c r="N43" s="2"/>
    </row>
    <row r="44" spans="1:14" ht="13.8" x14ac:dyDescent="0.25">
      <c r="A44" s="2"/>
      <c r="B44" s="2"/>
      <c r="C44" s="2"/>
      <c r="D44" s="2"/>
      <c r="E44" s="2"/>
      <c r="F44" s="2"/>
      <c r="G44" s="2"/>
      <c r="H44" s="2"/>
      <c r="I44" s="2"/>
      <c r="J44" s="2"/>
      <c r="K44" s="2"/>
      <c r="L44" s="2"/>
      <c r="M44" s="2"/>
      <c r="N44" s="2"/>
    </row>
    <row r="45" spans="1:14" ht="13.8" x14ac:dyDescent="0.25">
      <c r="A45" s="2"/>
      <c r="B45" s="2"/>
      <c r="C45" s="2"/>
      <c r="D45" s="2"/>
      <c r="E45" s="2"/>
      <c r="F45" s="2"/>
      <c r="G45" s="2"/>
      <c r="H45" s="2"/>
      <c r="I45" s="2"/>
      <c r="J45" s="2"/>
      <c r="K45" s="2"/>
      <c r="L45" s="2"/>
      <c r="M45" s="2"/>
      <c r="N45" s="2"/>
    </row>
    <row r="46" spans="1:14" ht="13.8" x14ac:dyDescent="0.25">
      <c r="A46" s="2"/>
      <c r="B46" s="2"/>
      <c r="C46" s="2"/>
      <c r="D46" s="2"/>
      <c r="E46" s="2"/>
      <c r="F46" s="2"/>
      <c r="G46" s="2"/>
      <c r="H46" s="2"/>
      <c r="I46" s="2"/>
      <c r="J46" s="2"/>
      <c r="K46" s="2"/>
      <c r="L46" s="2"/>
      <c r="M46" s="2"/>
      <c r="N46" s="2"/>
    </row>
    <row r="47" spans="1:14" ht="13.8" x14ac:dyDescent="0.25">
      <c r="A47" s="2"/>
      <c r="B47" s="2"/>
      <c r="C47" s="2"/>
      <c r="D47" s="2"/>
      <c r="E47" s="2"/>
      <c r="F47" s="2"/>
      <c r="G47" s="2"/>
      <c r="H47" s="2"/>
      <c r="I47" s="2"/>
      <c r="J47" s="2"/>
      <c r="K47" s="2"/>
      <c r="L47" s="2"/>
      <c r="M47" s="2"/>
      <c r="N47" s="2"/>
    </row>
    <row r="48" spans="1:14" ht="13.8" x14ac:dyDescent="0.25">
      <c r="A48" s="2"/>
      <c r="B48" s="2"/>
      <c r="C48" s="2"/>
      <c r="D48" s="2"/>
      <c r="E48" s="2"/>
      <c r="F48" s="2"/>
      <c r="G48" s="2"/>
      <c r="H48" s="2"/>
      <c r="I48" s="2"/>
      <c r="J48" s="2"/>
      <c r="K48" s="2"/>
      <c r="L48" s="2"/>
      <c r="M48" s="2"/>
      <c r="N48" s="2"/>
    </row>
    <row r="49" spans="1:14" ht="13.8" x14ac:dyDescent="0.25">
      <c r="A49" s="2"/>
      <c r="B49" s="2"/>
      <c r="C49" s="2"/>
      <c r="D49" s="2"/>
      <c r="E49" s="2"/>
      <c r="F49" s="2"/>
      <c r="G49" s="2"/>
      <c r="H49" s="2"/>
      <c r="I49" s="2"/>
      <c r="J49" s="2"/>
      <c r="K49" s="2"/>
      <c r="L49" s="2"/>
      <c r="M49" s="2"/>
      <c r="N49" s="2"/>
    </row>
    <row r="50" spans="1:14" ht="13.8" x14ac:dyDescent="0.25">
      <c r="A50" s="2"/>
      <c r="B50" s="2"/>
      <c r="C50" s="2"/>
      <c r="D50" s="2"/>
      <c r="E50" s="2"/>
      <c r="F50" s="2"/>
      <c r="G50" s="2"/>
      <c r="H50" s="2"/>
      <c r="I50" s="2"/>
      <c r="J50" s="2"/>
      <c r="K50" s="2"/>
      <c r="L50" s="2"/>
      <c r="M50" s="2"/>
      <c r="N50" s="2"/>
    </row>
    <row r="51" spans="1:14" ht="13.8" x14ac:dyDescent="0.25">
      <c r="A51" s="2"/>
      <c r="B51" s="2"/>
      <c r="C51" s="2"/>
      <c r="D51" s="2"/>
      <c r="E51" s="2"/>
      <c r="F51" s="2"/>
      <c r="G51" s="2"/>
      <c r="H51" s="2"/>
      <c r="I51" s="2"/>
      <c r="J51" s="2"/>
      <c r="K51" s="2"/>
      <c r="L51" s="2"/>
      <c r="M51" s="2"/>
      <c r="N51" s="2"/>
    </row>
    <row r="52" spans="1:14" ht="13.8" x14ac:dyDescent="0.25">
      <c r="A52" s="2"/>
      <c r="B52" s="2"/>
      <c r="C52" s="2"/>
      <c r="D52" s="2"/>
      <c r="E52" s="2"/>
      <c r="F52" s="2"/>
      <c r="G52" s="2"/>
      <c r="H52" s="2"/>
      <c r="I52" s="2"/>
      <c r="J52" s="2"/>
      <c r="K52" s="2"/>
      <c r="L52" s="2"/>
      <c r="M52" s="2"/>
      <c r="N52" s="2"/>
    </row>
    <row r="53" spans="1:14" ht="13.8" x14ac:dyDescent="0.25">
      <c r="A53" s="2"/>
      <c r="B53" s="2"/>
      <c r="C53" s="2"/>
      <c r="D53" s="2"/>
      <c r="E53" s="2"/>
      <c r="F53" s="2"/>
      <c r="G53" s="2"/>
      <c r="H53" s="2"/>
      <c r="I53" s="2"/>
      <c r="J53" s="2"/>
      <c r="K53" s="2"/>
      <c r="L53" s="2"/>
      <c r="M53" s="2"/>
      <c r="N53" s="2"/>
    </row>
    <row r="54" spans="1:14" ht="13.8" x14ac:dyDescent="0.25">
      <c r="A54" s="2"/>
      <c r="B54" s="2"/>
      <c r="C54" s="2"/>
      <c r="D54" s="2"/>
      <c r="E54" s="2"/>
      <c r="F54" s="2"/>
      <c r="G54" s="2"/>
      <c r="H54" s="2"/>
      <c r="I54" s="2"/>
      <c r="J54" s="2"/>
      <c r="K54" s="2"/>
      <c r="L54" s="2"/>
      <c r="M54" s="2"/>
      <c r="N54" s="2"/>
    </row>
    <row r="55" spans="1:14" ht="13.8" x14ac:dyDescent="0.25">
      <c r="A55" s="2"/>
      <c r="B55" s="2"/>
      <c r="C55" s="2"/>
      <c r="D55" s="2"/>
      <c r="E55" s="2"/>
      <c r="F55" s="2"/>
      <c r="G55" s="2"/>
      <c r="H55" s="2"/>
      <c r="I55" s="2"/>
      <c r="J55" s="2"/>
      <c r="K55" s="2"/>
      <c r="L55" s="2"/>
      <c r="M55" s="2"/>
      <c r="N55" s="2"/>
    </row>
    <row r="56" spans="1:14" ht="13.8" x14ac:dyDescent="0.25">
      <c r="A56" s="2"/>
      <c r="B56" s="2"/>
      <c r="C56" s="2"/>
      <c r="D56" s="2"/>
      <c r="E56" s="2"/>
      <c r="F56" s="2"/>
      <c r="G56" s="2"/>
      <c r="H56" s="2"/>
      <c r="I56" s="2"/>
      <c r="J56" s="2"/>
      <c r="K56" s="2"/>
      <c r="L56" s="2"/>
      <c r="M56" s="2"/>
      <c r="N56" s="2"/>
    </row>
    <row r="57" spans="1:14" ht="13.8" x14ac:dyDescent="0.25">
      <c r="A57" s="2"/>
      <c r="B57" s="2"/>
      <c r="C57" s="2"/>
      <c r="D57" s="2"/>
      <c r="E57" s="2"/>
      <c r="F57" s="2"/>
      <c r="G57" s="2"/>
      <c r="H57" s="2"/>
      <c r="I57" s="2"/>
      <c r="J57" s="2"/>
      <c r="K57" s="2"/>
      <c r="L57" s="2"/>
      <c r="M57" s="2"/>
      <c r="N57" s="2"/>
    </row>
    <row r="58" spans="1:14" ht="13.8" x14ac:dyDescent="0.25">
      <c r="A58" s="2"/>
      <c r="B58" s="2"/>
      <c r="C58" s="2"/>
      <c r="D58" s="2"/>
      <c r="E58" s="2"/>
      <c r="F58" s="2"/>
      <c r="G58" s="2"/>
      <c r="H58" s="2"/>
      <c r="I58" s="2"/>
      <c r="J58" s="2"/>
      <c r="K58" s="2"/>
      <c r="L58" s="2"/>
      <c r="M58" s="2"/>
      <c r="N58" s="2"/>
    </row>
    <row r="59" spans="1:14" ht="13.8" x14ac:dyDescent="0.25">
      <c r="A59" s="2"/>
      <c r="B59" s="2"/>
      <c r="C59" s="2"/>
      <c r="D59" s="2"/>
      <c r="E59" s="2"/>
      <c r="F59" s="2"/>
      <c r="G59" s="2"/>
      <c r="H59" s="2"/>
      <c r="I59" s="2"/>
      <c r="J59" s="2"/>
      <c r="K59" s="2"/>
      <c r="L59" s="2"/>
      <c r="M59" s="2"/>
      <c r="N59" s="2"/>
    </row>
    <row r="60" spans="1:14" ht="13.8" x14ac:dyDescent="0.25">
      <c r="A60" s="2"/>
      <c r="B60" s="2"/>
      <c r="C60" s="2"/>
      <c r="D60" s="2"/>
      <c r="E60" s="2"/>
      <c r="F60" s="2"/>
      <c r="G60" s="2"/>
      <c r="H60" s="2"/>
      <c r="I60" s="2"/>
      <c r="J60" s="2"/>
      <c r="K60" s="2"/>
      <c r="L60" s="2"/>
      <c r="M60" s="2"/>
      <c r="N60" s="2"/>
    </row>
    <row r="61" spans="1:14" ht="13.8" x14ac:dyDescent="0.25">
      <c r="A61" s="2"/>
      <c r="B61" s="2"/>
      <c r="C61" s="2"/>
      <c r="D61" s="2"/>
      <c r="E61" s="2"/>
      <c r="F61" s="2"/>
      <c r="G61" s="2"/>
      <c r="H61" s="2"/>
      <c r="I61" s="2"/>
      <c r="J61" s="2"/>
      <c r="K61" s="2"/>
      <c r="L61" s="2"/>
      <c r="M61" s="2"/>
      <c r="N61" s="2"/>
    </row>
    <row r="62" spans="1:14" ht="13.8" x14ac:dyDescent="0.25">
      <c r="A62" s="2"/>
      <c r="B62" s="2"/>
      <c r="C62" s="2"/>
      <c r="D62" s="2"/>
      <c r="E62" s="2"/>
      <c r="F62" s="2"/>
      <c r="G62" s="2"/>
      <c r="H62" s="2"/>
      <c r="I62" s="2"/>
      <c r="J62" s="2"/>
      <c r="K62" s="2"/>
      <c r="L62" s="2"/>
      <c r="M62" s="2"/>
      <c r="N62" s="2"/>
    </row>
    <row r="63" spans="1:14" ht="13.8" x14ac:dyDescent="0.25">
      <c r="A63" s="2"/>
      <c r="B63" s="2"/>
      <c r="C63" s="2"/>
      <c r="D63" s="2"/>
      <c r="E63" s="2"/>
      <c r="F63" s="2"/>
      <c r="G63" s="2"/>
      <c r="H63" s="2"/>
      <c r="I63" s="2"/>
      <c r="J63" s="2"/>
      <c r="K63" s="2"/>
      <c r="L63" s="2"/>
      <c r="M63" s="2"/>
      <c r="N63" s="2"/>
    </row>
    <row r="64" spans="1:14" ht="13.8" x14ac:dyDescent="0.25">
      <c r="A64" s="2"/>
      <c r="B64" s="2"/>
      <c r="C64" s="2"/>
      <c r="D64" s="2"/>
      <c r="E64" s="2"/>
      <c r="F64" s="2"/>
      <c r="G64" s="2"/>
      <c r="H64" s="2"/>
      <c r="I64" s="2"/>
      <c r="J64" s="2"/>
      <c r="K64" s="2"/>
      <c r="L64" s="2"/>
      <c r="M64" s="2"/>
      <c r="N64" s="2"/>
    </row>
    <row r="65" spans="1:14" ht="13.8" x14ac:dyDescent="0.25">
      <c r="A65" s="2"/>
      <c r="B65" s="2"/>
      <c r="C65" s="2"/>
      <c r="D65" s="2"/>
      <c r="E65" s="2"/>
      <c r="F65" s="2"/>
      <c r="G65" s="2"/>
      <c r="H65" s="2"/>
      <c r="I65" s="2"/>
      <c r="J65" s="2"/>
      <c r="K65" s="2"/>
      <c r="L65" s="2"/>
      <c r="M65" s="2"/>
      <c r="N65" s="2"/>
    </row>
    <row r="66" spans="1:14" ht="13.8" x14ac:dyDescent="0.25">
      <c r="A66" s="2"/>
      <c r="B66" s="2"/>
      <c r="C66" s="2"/>
      <c r="D66" s="2"/>
      <c r="E66" s="2"/>
      <c r="F66" s="2"/>
      <c r="G66" s="2"/>
      <c r="H66" s="2"/>
      <c r="I66" s="2"/>
      <c r="J66" s="2"/>
      <c r="K66" s="2"/>
      <c r="L66" s="2"/>
      <c r="M66" s="2"/>
      <c r="N66" s="2"/>
    </row>
    <row r="67" spans="1:14" ht="13.8" x14ac:dyDescent="0.25">
      <c r="A67" s="2"/>
      <c r="B67" s="2"/>
      <c r="C67" s="2"/>
      <c r="D67" s="2"/>
      <c r="E67" s="2"/>
      <c r="F67" s="2"/>
      <c r="G67" s="2"/>
      <c r="H67" s="2"/>
      <c r="I67" s="2"/>
      <c r="J67" s="2"/>
      <c r="K67" s="2"/>
      <c r="L67" s="2"/>
      <c r="M67" s="2"/>
      <c r="N67" s="2"/>
    </row>
    <row r="68" spans="1:14" ht="13.8" x14ac:dyDescent="0.25">
      <c r="A68" s="2"/>
      <c r="B68" s="2"/>
      <c r="C68" s="2"/>
      <c r="D68" s="2"/>
      <c r="E68" s="2"/>
      <c r="F68" s="2"/>
      <c r="G68" s="2"/>
      <c r="H68" s="2"/>
      <c r="I68" s="2"/>
      <c r="J68" s="2"/>
      <c r="K68" s="2"/>
      <c r="L68" s="2"/>
      <c r="M68" s="2"/>
      <c r="N68" s="2"/>
    </row>
    <row r="69" spans="1:14" ht="13.8" x14ac:dyDescent="0.25">
      <c r="A69" s="2"/>
      <c r="B69" s="2"/>
      <c r="C69" s="2"/>
      <c r="D69" s="2"/>
      <c r="E69" s="2"/>
      <c r="F69" s="2"/>
      <c r="G69" s="2"/>
      <c r="H69" s="2"/>
      <c r="I69" s="2"/>
      <c r="J69" s="2"/>
      <c r="K69" s="2"/>
      <c r="L69" s="2"/>
      <c r="M69" s="2"/>
      <c r="N69" s="2"/>
    </row>
    <row r="70" spans="1:14" ht="13.8" x14ac:dyDescent="0.25">
      <c r="A70" s="2"/>
      <c r="B70" s="2"/>
      <c r="C70" s="2"/>
      <c r="D70" s="2"/>
      <c r="E70" s="2"/>
      <c r="F70" s="2"/>
      <c r="G70" s="2"/>
      <c r="H70" s="2"/>
      <c r="I70" s="2"/>
      <c r="J70" s="2"/>
      <c r="K70" s="2"/>
      <c r="L70" s="2"/>
      <c r="M70" s="2"/>
      <c r="N70" s="2"/>
    </row>
    <row r="71" spans="1:14" ht="13.8" x14ac:dyDescent="0.25">
      <c r="A71" s="2"/>
      <c r="B71" s="2"/>
      <c r="C71" s="2"/>
      <c r="D71" s="2"/>
      <c r="E71" s="2"/>
      <c r="F71" s="2"/>
      <c r="G71" s="2"/>
      <c r="H71" s="2"/>
      <c r="I71" s="2"/>
      <c r="J71" s="2"/>
      <c r="K71" s="2"/>
      <c r="L71" s="2"/>
      <c r="M71" s="2"/>
      <c r="N71" s="2"/>
    </row>
    <row r="72" spans="1:14" ht="13.8" x14ac:dyDescent="0.25">
      <c r="A72" s="2"/>
      <c r="B72" s="2"/>
      <c r="C72" s="2"/>
      <c r="D72" s="2"/>
      <c r="E72" s="2"/>
      <c r="F72" s="2"/>
      <c r="G72" s="2"/>
      <c r="H72" s="2"/>
      <c r="I72" s="2"/>
      <c r="J72" s="2"/>
      <c r="K72" s="2"/>
      <c r="L72" s="2"/>
      <c r="M72" s="2"/>
      <c r="N72" s="2"/>
    </row>
    <row r="73" spans="1:14" ht="13.8" x14ac:dyDescent="0.25">
      <c r="A73" s="2"/>
      <c r="B73" s="2"/>
      <c r="C73" s="2"/>
      <c r="D73" s="2"/>
      <c r="E73" s="2"/>
      <c r="F73" s="2"/>
      <c r="G73" s="2"/>
      <c r="H73" s="2"/>
      <c r="I73" s="2"/>
      <c r="J73" s="2"/>
      <c r="K73" s="2"/>
      <c r="L73" s="2"/>
      <c r="M73" s="2"/>
      <c r="N73" s="2"/>
    </row>
    <row r="74" spans="1:14" ht="13.8" x14ac:dyDescent="0.25">
      <c r="A74" s="2"/>
      <c r="B74" s="2"/>
      <c r="C74" s="2"/>
      <c r="D74" s="2"/>
      <c r="E74" s="2"/>
      <c r="F74" s="2"/>
      <c r="G74" s="2"/>
      <c r="H74" s="2"/>
      <c r="I74" s="2"/>
      <c r="J74" s="2"/>
      <c r="K74" s="2"/>
      <c r="L74" s="2"/>
      <c r="M74" s="2"/>
      <c r="N74" s="2"/>
    </row>
    <row r="75" spans="1:14" ht="13.8" x14ac:dyDescent="0.25">
      <c r="A75" s="2"/>
      <c r="B75" s="2"/>
      <c r="C75" s="2"/>
      <c r="D75" s="2"/>
      <c r="E75" s="2"/>
      <c r="F75" s="2"/>
      <c r="G75" s="2"/>
      <c r="H75" s="2"/>
      <c r="I75" s="2"/>
      <c r="J75" s="2"/>
      <c r="K75" s="2"/>
      <c r="L75" s="2"/>
      <c r="M75" s="2"/>
      <c r="N75" s="2"/>
    </row>
    <row r="76" spans="1:14" ht="13.8" x14ac:dyDescent="0.25">
      <c r="A76" s="2"/>
      <c r="B76" s="2"/>
      <c r="C76" s="2"/>
      <c r="D76" s="2"/>
      <c r="E76" s="2"/>
      <c r="F76" s="2"/>
      <c r="G76" s="2"/>
      <c r="H76" s="2"/>
      <c r="I76" s="2"/>
      <c r="J76" s="2"/>
      <c r="K76" s="2"/>
      <c r="L76" s="2"/>
      <c r="M76" s="2"/>
      <c r="N76" s="2"/>
    </row>
    <row r="77" spans="1:14" ht="13.8" x14ac:dyDescent="0.25">
      <c r="A77" s="2"/>
      <c r="B77" s="2"/>
      <c r="C77" s="2"/>
      <c r="D77" s="2"/>
      <c r="E77" s="2"/>
      <c r="F77" s="2"/>
      <c r="G77" s="2"/>
      <c r="H77" s="2"/>
      <c r="I77" s="2"/>
      <c r="J77" s="2"/>
      <c r="K77" s="2"/>
      <c r="L77" s="2"/>
      <c r="M77" s="2"/>
      <c r="N77" s="2"/>
    </row>
    <row r="78" spans="1:14" ht="13.8" x14ac:dyDescent="0.25">
      <c r="A78" s="2"/>
      <c r="B78" s="2"/>
      <c r="C78" s="2"/>
      <c r="D78" s="2"/>
      <c r="E78" s="2"/>
      <c r="F78" s="2"/>
      <c r="G78" s="2"/>
      <c r="H78" s="2"/>
      <c r="I78" s="2"/>
      <c r="J78" s="2"/>
      <c r="K78" s="2"/>
      <c r="L78" s="2"/>
      <c r="M78" s="2"/>
      <c r="N78" s="2"/>
    </row>
    <row r="79" spans="1:14" ht="13.8" x14ac:dyDescent="0.25">
      <c r="A79" s="2"/>
      <c r="B79" s="2"/>
      <c r="C79" s="2"/>
      <c r="D79" s="2"/>
      <c r="E79" s="2"/>
      <c r="F79" s="2"/>
      <c r="G79" s="2"/>
      <c r="H79" s="2"/>
      <c r="I79" s="2"/>
      <c r="J79" s="2"/>
      <c r="K79" s="2"/>
      <c r="L79" s="2"/>
      <c r="M79" s="2"/>
      <c r="N79" s="2"/>
    </row>
    <row r="80" spans="1:14" ht="13.8" x14ac:dyDescent="0.25">
      <c r="A80" s="2"/>
      <c r="B80" s="2"/>
      <c r="C80" s="2"/>
      <c r="D80" s="2"/>
      <c r="E80" s="2"/>
      <c r="F80" s="2"/>
      <c r="G80" s="2"/>
      <c r="H80" s="2"/>
      <c r="I80" s="2"/>
      <c r="J80" s="2"/>
      <c r="K80" s="2"/>
      <c r="L80" s="2"/>
      <c r="M80" s="2"/>
      <c r="N80" s="2"/>
    </row>
    <row r="81" spans="1:14" ht="13.8" x14ac:dyDescent="0.25">
      <c r="A81" s="2"/>
      <c r="B81" s="2"/>
      <c r="C81" s="2"/>
      <c r="D81" s="2"/>
      <c r="E81" s="2"/>
      <c r="F81" s="2"/>
      <c r="G81" s="2"/>
      <c r="H81" s="2"/>
      <c r="I81" s="2"/>
      <c r="J81" s="2"/>
      <c r="K81" s="2"/>
      <c r="L81" s="2"/>
      <c r="M81" s="2"/>
      <c r="N81" s="2"/>
    </row>
    <row r="82" spans="1:14" ht="13.8" x14ac:dyDescent="0.25">
      <c r="A82" s="2"/>
      <c r="B82" s="2"/>
      <c r="C82" s="2"/>
      <c r="D82" s="2"/>
      <c r="E82" s="2"/>
      <c r="F82" s="2"/>
      <c r="G82" s="2"/>
      <c r="H82" s="2"/>
      <c r="I82" s="2"/>
      <c r="J82" s="2"/>
      <c r="K82" s="2"/>
      <c r="L82" s="2"/>
      <c r="M82" s="2"/>
      <c r="N82" s="2"/>
    </row>
    <row r="83" spans="1:14" ht="13.8" x14ac:dyDescent="0.25">
      <c r="A83" s="2"/>
      <c r="B83" s="2"/>
      <c r="C83" s="2"/>
      <c r="D83" s="2"/>
      <c r="E83" s="2"/>
      <c r="F83" s="2"/>
      <c r="G83" s="2"/>
      <c r="H83" s="2"/>
      <c r="I83" s="2"/>
      <c r="J83" s="2"/>
      <c r="K83" s="2"/>
      <c r="L83" s="2"/>
      <c r="M83" s="2"/>
      <c r="N83" s="2"/>
    </row>
    <row r="84" spans="1:14" ht="13.8" x14ac:dyDescent="0.25">
      <c r="A84" s="2"/>
      <c r="B84" s="2"/>
      <c r="C84" s="2"/>
      <c r="D84" s="2"/>
      <c r="E84" s="2"/>
      <c r="F84" s="2"/>
      <c r="G84" s="2"/>
      <c r="H84" s="2"/>
      <c r="I84" s="2"/>
      <c r="J84" s="2"/>
      <c r="K84" s="2"/>
      <c r="L84" s="2"/>
      <c r="M84" s="2"/>
      <c r="N84" s="2"/>
    </row>
    <row r="85" spans="1:14" ht="13.8" x14ac:dyDescent="0.25">
      <c r="A85" s="2"/>
      <c r="B85" s="2"/>
      <c r="C85" s="2"/>
      <c r="D85" s="2"/>
      <c r="E85" s="2"/>
      <c r="F85" s="2"/>
      <c r="G85" s="2"/>
      <c r="H85" s="2"/>
      <c r="I85" s="2"/>
      <c r="J85" s="2"/>
      <c r="K85" s="2"/>
      <c r="L85" s="2"/>
      <c r="M85" s="2"/>
      <c r="N85" s="2"/>
    </row>
    <row r="86" spans="1:14" ht="13.8" x14ac:dyDescent="0.25">
      <c r="A86" s="2"/>
      <c r="B86" s="2"/>
      <c r="C86" s="2"/>
      <c r="D86" s="2"/>
      <c r="E86" s="2"/>
      <c r="F86" s="2"/>
      <c r="G86" s="2"/>
      <c r="H86" s="2"/>
      <c r="I86" s="2"/>
      <c r="J86" s="2"/>
      <c r="K86" s="2"/>
      <c r="L86" s="2"/>
      <c r="M86" s="2"/>
      <c r="N86" s="2"/>
    </row>
    <row r="87" spans="1:14" ht="13.8" x14ac:dyDescent="0.25">
      <c r="A87" s="2"/>
      <c r="B87" s="2"/>
      <c r="C87" s="2"/>
      <c r="D87" s="2"/>
      <c r="E87" s="2"/>
      <c r="F87" s="2"/>
      <c r="G87" s="2"/>
      <c r="H87" s="2"/>
      <c r="I87" s="2"/>
      <c r="J87" s="2"/>
      <c r="K87" s="2"/>
      <c r="L87" s="2"/>
      <c r="M87" s="2"/>
      <c r="N87" s="2"/>
    </row>
    <row r="88" spans="1:14" ht="13.8" x14ac:dyDescent="0.25">
      <c r="A88" s="2"/>
      <c r="B88" s="2"/>
      <c r="C88" s="2"/>
      <c r="D88" s="2"/>
      <c r="E88" s="2"/>
      <c r="F88" s="2"/>
      <c r="G88" s="2"/>
      <c r="H88" s="2"/>
      <c r="I88" s="2"/>
      <c r="J88" s="2"/>
      <c r="K88" s="2"/>
      <c r="L88" s="2"/>
      <c r="M88" s="2"/>
      <c r="N88" s="2"/>
    </row>
    <row r="89" spans="1:14" ht="13.8" x14ac:dyDescent="0.25">
      <c r="A89" s="2"/>
      <c r="B89" s="2"/>
      <c r="C89" s="2"/>
      <c r="D89" s="2"/>
      <c r="E89" s="2"/>
      <c r="F89" s="2"/>
      <c r="G89" s="2"/>
      <c r="H89" s="2"/>
      <c r="I89" s="2"/>
      <c r="J89" s="2"/>
      <c r="K89" s="2"/>
      <c r="L89" s="2"/>
      <c r="M89" s="2"/>
      <c r="N89" s="2"/>
    </row>
    <row r="90" spans="1:14" ht="13.8" x14ac:dyDescent="0.25">
      <c r="A90" s="2"/>
      <c r="B90" s="2"/>
      <c r="C90" s="2"/>
      <c r="D90" s="2"/>
      <c r="E90" s="2"/>
      <c r="F90" s="2"/>
      <c r="G90" s="2"/>
      <c r="H90" s="2"/>
      <c r="I90" s="2"/>
      <c r="J90" s="2"/>
      <c r="K90" s="2"/>
      <c r="L90" s="2"/>
      <c r="M90" s="2"/>
      <c r="N90" s="2"/>
    </row>
    <row r="91" spans="1:14" ht="13.8" x14ac:dyDescent="0.25">
      <c r="A91" s="2"/>
      <c r="B91" s="2"/>
      <c r="C91" s="2"/>
      <c r="D91" s="2"/>
      <c r="E91" s="2"/>
      <c r="F91" s="2"/>
      <c r="G91" s="2"/>
      <c r="H91" s="2"/>
      <c r="I91" s="2"/>
      <c r="J91" s="2"/>
      <c r="K91" s="2"/>
      <c r="L91" s="2"/>
      <c r="M91" s="2"/>
      <c r="N91" s="2"/>
    </row>
    <row r="92" spans="1:14" ht="13.8" x14ac:dyDescent="0.25">
      <c r="A92" s="2"/>
      <c r="B92" s="2"/>
      <c r="C92" s="2"/>
      <c r="D92" s="2"/>
      <c r="E92" s="2"/>
      <c r="F92" s="2"/>
      <c r="G92" s="2"/>
      <c r="H92" s="2"/>
      <c r="I92" s="2"/>
      <c r="J92" s="2"/>
      <c r="K92" s="2"/>
      <c r="L92" s="2"/>
      <c r="M92" s="2"/>
      <c r="N92" s="2"/>
    </row>
    <row r="93" spans="1:14" ht="13.8" x14ac:dyDescent="0.25">
      <c r="A93" s="2"/>
      <c r="B93" s="2"/>
      <c r="C93" s="2"/>
      <c r="D93" s="2"/>
      <c r="E93" s="2"/>
      <c r="F93" s="2"/>
      <c r="G93" s="2"/>
      <c r="H93" s="2"/>
      <c r="I93" s="2"/>
      <c r="J93" s="2"/>
      <c r="K93" s="2"/>
      <c r="L93" s="2"/>
      <c r="M93" s="2"/>
      <c r="N93" s="2"/>
    </row>
    <row r="94" spans="1:14" ht="13.8" x14ac:dyDescent="0.25">
      <c r="A94" s="2"/>
      <c r="B94" s="2"/>
      <c r="C94" s="2"/>
      <c r="D94" s="2"/>
      <c r="E94" s="2"/>
      <c r="F94" s="2"/>
      <c r="G94" s="2"/>
      <c r="H94" s="2"/>
      <c r="I94" s="2"/>
      <c r="J94" s="2"/>
      <c r="K94" s="2"/>
      <c r="L94" s="2"/>
      <c r="M94" s="2"/>
      <c r="N94" s="2"/>
    </row>
    <row r="95" spans="1:14" ht="13.8" x14ac:dyDescent="0.25">
      <c r="A95" s="2"/>
      <c r="B95" s="2"/>
      <c r="C95" s="2"/>
      <c r="D95" s="2"/>
      <c r="E95" s="2"/>
      <c r="F95" s="2"/>
      <c r="G95" s="2"/>
      <c r="H95" s="2"/>
      <c r="I95" s="2"/>
      <c r="J95" s="2"/>
      <c r="K95" s="2"/>
      <c r="L95" s="2"/>
      <c r="M95" s="2"/>
      <c r="N95" s="2"/>
    </row>
    <row r="96" spans="1:14" ht="13.8" x14ac:dyDescent="0.25">
      <c r="A96" s="2"/>
      <c r="B96" s="2"/>
      <c r="C96" s="2"/>
      <c r="D96" s="2"/>
      <c r="E96" s="2"/>
      <c r="F96" s="2"/>
      <c r="G96" s="2"/>
      <c r="H96" s="2"/>
      <c r="I96" s="2"/>
      <c r="J96" s="2"/>
      <c r="K96" s="2"/>
      <c r="L96" s="2"/>
      <c r="M96" s="2"/>
      <c r="N96" s="2"/>
    </row>
    <row r="97" spans="1:14" ht="13.8" x14ac:dyDescent="0.25">
      <c r="A97" s="2"/>
      <c r="B97" s="2"/>
      <c r="C97" s="2"/>
      <c r="D97" s="2"/>
      <c r="E97" s="2"/>
      <c r="F97" s="2"/>
      <c r="G97" s="2"/>
      <c r="H97" s="2"/>
      <c r="I97" s="2"/>
      <c r="J97" s="2"/>
      <c r="K97" s="2"/>
      <c r="L97" s="2"/>
      <c r="M97" s="2"/>
      <c r="N97" s="2"/>
    </row>
    <row r="98" spans="1:14" ht="13.8" x14ac:dyDescent="0.25">
      <c r="A98" s="2"/>
      <c r="B98" s="2"/>
      <c r="C98" s="2"/>
      <c r="D98" s="2"/>
      <c r="E98" s="2"/>
      <c r="F98" s="2"/>
      <c r="G98" s="2"/>
      <c r="H98" s="2"/>
      <c r="I98" s="2"/>
      <c r="J98" s="2"/>
      <c r="K98" s="2"/>
      <c r="L98" s="2"/>
      <c r="M98" s="2"/>
      <c r="N98" s="2"/>
    </row>
    <row r="99" spans="1:14" ht="13.8" x14ac:dyDescent="0.25">
      <c r="A99" s="2"/>
      <c r="B99" s="2"/>
      <c r="C99" s="2"/>
      <c r="D99" s="2"/>
      <c r="E99" s="2"/>
      <c r="F99" s="2"/>
      <c r="G99" s="2"/>
      <c r="H99" s="2"/>
      <c r="I99" s="2"/>
      <c r="J99" s="2"/>
      <c r="K99" s="2"/>
      <c r="L99" s="2"/>
      <c r="M99" s="2"/>
      <c r="N99" s="2"/>
    </row>
    <row r="100" spans="1:14" ht="13.8" x14ac:dyDescent="0.25">
      <c r="A100" s="2"/>
      <c r="B100" s="2"/>
      <c r="C100" s="2"/>
      <c r="D100" s="2"/>
      <c r="E100" s="2"/>
      <c r="F100" s="2"/>
      <c r="G100" s="2"/>
      <c r="H100" s="2"/>
      <c r="I100" s="2"/>
      <c r="J100" s="2"/>
      <c r="K100" s="2"/>
      <c r="L100" s="2"/>
      <c r="M100" s="2"/>
      <c r="N100" s="2"/>
    </row>
    <row r="101" spans="1:14" ht="13.8" x14ac:dyDescent="0.25">
      <c r="A101" s="2"/>
      <c r="B101" s="2"/>
      <c r="C101" s="2"/>
      <c r="D101" s="2"/>
      <c r="E101" s="2"/>
      <c r="F101" s="2"/>
      <c r="G101" s="2"/>
      <c r="H101" s="2"/>
      <c r="I101" s="2"/>
      <c r="J101" s="2"/>
      <c r="K101" s="2"/>
      <c r="L101" s="2"/>
      <c r="M101" s="2"/>
      <c r="N101" s="2"/>
    </row>
    <row r="102" spans="1:14" ht="13.8" x14ac:dyDescent="0.25">
      <c r="A102" s="2"/>
      <c r="B102" s="2"/>
      <c r="C102" s="2"/>
      <c r="D102" s="2"/>
      <c r="E102" s="2"/>
      <c r="F102" s="2"/>
      <c r="G102" s="2"/>
      <c r="H102" s="2"/>
      <c r="I102" s="2"/>
      <c r="J102" s="2"/>
      <c r="K102" s="2"/>
      <c r="L102" s="2"/>
      <c r="M102" s="2"/>
      <c r="N102" s="2"/>
    </row>
    <row r="103" spans="1:14" ht="13.8" x14ac:dyDescent="0.25">
      <c r="A103" s="2"/>
      <c r="B103" s="2"/>
      <c r="C103" s="2"/>
      <c r="D103" s="2"/>
      <c r="E103" s="2"/>
      <c r="F103" s="2"/>
      <c r="G103" s="2"/>
      <c r="H103" s="2"/>
      <c r="I103" s="2"/>
      <c r="J103" s="2"/>
      <c r="K103" s="2"/>
      <c r="L103" s="2"/>
      <c r="M103" s="2"/>
      <c r="N103" s="2"/>
    </row>
    <row r="104" spans="1:14" ht="13.8" x14ac:dyDescent="0.25">
      <c r="A104" s="2"/>
      <c r="B104" s="2"/>
      <c r="C104" s="2"/>
      <c r="D104" s="2"/>
      <c r="E104" s="2"/>
      <c r="F104" s="2"/>
      <c r="G104" s="2"/>
      <c r="H104" s="2"/>
      <c r="I104" s="2"/>
      <c r="J104" s="2"/>
      <c r="K104" s="2"/>
      <c r="L104" s="2"/>
      <c r="M104" s="2"/>
      <c r="N104" s="2"/>
    </row>
    <row r="105" spans="1:14" ht="13.8" x14ac:dyDescent="0.25">
      <c r="A105" s="2"/>
      <c r="B105" s="2"/>
      <c r="C105" s="2"/>
      <c r="D105" s="2"/>
      <c r="E105" s="2"/>
      <c r="F105" s="2"/>
      <c r="G105" s="2"/>
      <c r="H105" s="2"/>
      <c r="I105" s="2"/>
      <c r="J105" s="2"/>
      <c r="K105" s="2"/>
      <c r="L105" s="2"/>
      <c r="M105" s="2"/>
      <c r="N105" s="2"/>
    </row>
    <row r="106" spans="1:14" ht="13.8" x14ac:dyDescent="0.25">
      <c r="A106" s="2"/>
      <c r="B106" s="2"/>
      <c r="C106" s="2"/>
      <c r="D106" s="2"/>
      <c r="E106" s="2"/>
      <c r="F106" s="2"/>
      <c r="G106" s="2"/>
      <c r="H106" s="2"/>
      <c r="I106" s="2"/>
      <c r="J106" s="2"/>
      <c r="K106" s="2"/>
      <c r="L106" s="2"/>
      <c r="M106" s="2"/>
      <c r="N106" s="2"/>
    </row>
    <row r="107" spans="1:14" ht="13.8" x14ac:dyDescent="0.25">
      <c r="A107" s="2"/>
      <c r="B107" s="2"/>
      <c r="C107" s="2"/>
      <c r="D107" s="2"/>
      <c r="E107" s="2"/>
      <c r="F107" s="2"/>
      <c r="G107" s="2"/>
      <c r="H107" s="2"/>
      <c r="I107" s="2"/>
      <c r="J107" s="2"/>
      <c r="K107" s="2"/>
      <c r="L107" s="2"/>
      <c r="M107" s="2"/>
      <c r="N107" s="2"/>
    </row>
    <row r="108" spans="1:14" ht="13.8" x14ac:dyDescent="0.25">
      <c r="A108" s="2"/>
      <c r="B108" s="2"/>
      <c r="C108" s="2"/>
      <c r="D108" s="2"/>
      <c r="E108" s="2"/>
      <c r="F108" s="2"/>
      <c r="G108" s="2"/>
      <c r="H108" s="2"/>
      <c r="I108" s="2"/>
      <c r="J108" s="2"/>
      <c r="K108" s="2"/>
      <c r="L108" s="2"/>
      <c r="M108" s="2"/>
      <c r="N108" s="2"/>
    </row>
    <row r="109" spans="1:14" ht="13.8" x14ac:dyDescent="0.25">
      <c r="A109" s="2"/>
      <c r="B109" s="2"/>
      <c r="C109" s="2"/>
      <c r="D109" s="2"/>
      <c r="E109" s="2"/>
      <c r="F109" s="2"/>
      <c r="G109" s="2"/>
      <c r="H109" s="2"/>
      <c r="I109" s="2"/>
      <c r="J109" s="2"/>
      <c r="K109" s="2"/>
      <c r="L109" s="2"/>
      <c r="M109" s="2"/>
      <c r="N109" s="2"/>
    </row>
    <row r="110" spans="1:14" ht="13.8" x14ac:dyDescent="0.25">
      <c r="A110" s="2"/>
      <c r="B110" s="2"/>
      <c r="C110" s="2"/>
      <c r="D110" s="2"/>
      <c r="E110" s="2"/>
      <c r="F110" s="2"/>
      <c r="G110" s="2"/>
      <c r="H110" s="2"/>
      <c r="I110" s="2"/>
      <c r="J110" s="2"/>
      <c r="K110" s="2"/>
      <c r="L110" s="2"/>
      <c r="M110" s="2"/>
      <c r="N110" s="2"/>
    </row>
    <row r="111" spans="1:14" ht="13.8" x14ac:dyDescent="0.25">
      <c r="A111" s="2"/>
      <c r="B111" s="2"/>
      <c r="C111" s="2"/>
      <c r="D111" s="2"/>
      <c r="E111" s="2"/>
      <c r="F111" s="2"/>
      <c r="G111" s="2"/>
      <c r="H111" s="2"/>
      <c r="I111" s="2"/>
      <c r="J111" s="2"/>
      <c r="K111" s="2"/>
      <c r="L111" s="2"/>
      <c r="M111" s="2"/>
      <c r="N111" s="2"/>
    </row>
    <row r="112" spans="1:14" ht="13.8" x14ac:dyDescent="0.25">
      <c r="A112" s="2"/>
      <c r="B112" s="2"/>
      <c r="C112" s="2"/>
      <c r="D112" s="2"/>
      <c r="E112" s="2"/>
      <c r="F112" s="2"/>
      <c r="G112" s="2"/>
      <c r="H112" s="2"/>
      <c r="I112" s="2"/>
      <c r="J112" s="2"/>
      <c r="K112" s="2"/>
      <c r="L112" s="2"/>
      <c r="M112" s="2"/>
      <c r="N112" s="2"/>
    </row>
    <row r="113" spans="1:14" ht="13.8" x14ac:dyDescent="0.25">
      <c r="A113" s="2"/>
      <c r="B113" s="2"/>
      <c r="C113" s="2"/>
      <c r="D113" s="2"/>
      <c r="E113" s="2"/>
      <c r="F113" s="2"/>
      <c r="G113" s="2"/>
      <c r="H113" s="2"/>
      <c r="I113" s="2"/>
      <c r="J113" s="2"/>
      <c r="K113" s="2"/>
      <c r="L113" s="2"/>
      <c r="M113" s="2"/>
      <c r="N113" s="2"/>
    </row>
    <row r="114" spans="1:14" ht="13.8" x14ac:dyDescent="0.25">
      <c r="A114" s="2"/>
      <c r="B114" s="2"/>
      <c r="C114" s="2"/>
      <c r="D114" s="2"/>
      <c r="E114" s="2"/>
      <c r="F114" s="2"/>
      <c r="G114" s="2"/>
      <c r="H114" s="2"/>
      <c r="I114" s="2"/>
      <c r="J114" s="2"/>
      <c r="K114" s="2"/>
      <c r="L114" s="2"/>
      <c r="M114" s="2"/>
      <c r="N114" s="2"/>
    </row>
    <row r="115" spans="1:14" ht="13.8" x14ac:dyDescent="0.25">
      <c r="A115" s="2"/>
      <c r="B115" s="2"/>
      <c r="C115" s="2"/>
      <c r="D115" s="2"/>
      <c r="E115" s="2"/>
      <c r="F115" s="2"/>
      <c r="G115" s="2"/>
      <c r="H115" s="2"/>
      <c r="I115" s="2"/>
      <c r="J115" s="2"/>
      <c r="K115" s="2"/>
      <c r="L115" s="2"/>
      <c r="M115" s="2"/>
      <c r="N115" s="2"/>
    </row>
    <row r="116" spans="1:14" ht="13.8" x14ac:dyDescent="0.25">
      <c r="A116" s="2"/>
      <c r="B116" s="2"/>
      <c r="C116" s="2"/>
      <c r="D116" s="2"/>
      <c r="E116" s="2"/>
      <c r="F116" s="2"/>
      <c r="G116" s="2"/>
      <c r="H116" s="2"/>
      <c r="I116" s="2"/>
      <c r="J116" s="2"/>
      <c r="K116" s="2"/>
      <c r="L116" s="2"/>
      <c r="M116" s="2"/>
      <c r="N116" s="2"/>
    </row>
    <row r="117" spans="1:14" ht="13.8" x14ac:dyDescent="0.25">
      <c r="A117" s="2"/>
      <c r="B117" s="2"/>
      <c r="C117" s="2"/>
      <c r="D117" s="2"/>
      <c r="E117" s="2"/>
      <c r="F117" s="2"/>
      <c r="G117" s="2"/>
      <c r="H117" s="2"/>
      <c r="I117" s="2"/>
      <c r="J117" s="2"/>
      <c r="K117" s="2"/>
      <c r="L117" s="2"/>
      <c r="M117" s="2"/>
      <c r="N117" s="2"/>
    </row>
    <row r="118" spans="1:14" ht="13.8" x14ac:dyDescent="0.25">
      <c r="A118" s="2"/>
      <c r="B118" s="2"/>
      <c r="C118" s="2"/>
      <c r="D118" s="2"/>
      <c r="E118" s="2"/>
      <c r="F118" s="2"/>
      <c r="G118" s="2"/>
      <c r="H118" s="2"/>
      <c r="I118" s="2"/>
      <c r="J118" s="2"/>
      <c r="K118" s="2"/>
      <c r="L118" s="2"/>
      <c r="M118" s="2"/>
      <c r="N118" s="2"/>
    </row>
    <row r="119" spans="1:14" ht="13.8" x14ac:dyDescent="0.25">
      <c r="A119" s="2"/>
      <c r="B119" s="2"/>
      <c r="C119" s="2"/>
      <c r="D119" s="2"/>
      <c r="E119" s="2"/>
      <c r="F119" s="2"/>
      <c r="G119" s="2"/>
      <c r="H119" s="2"/>
      <c r="I119" s="2"/>
      <c r="J119" s="2"/>
      <c r="K119" s="2"/>
      <c r="L119" s="2"/>
      <c r="M119" s="2"/>
      <c r="N119" s="2"/>
    </row>
    <row r="120" spans="1:14" ht="13.8" x14ac:dyDescent="0.25">
      <c r="A120" s="2"/>
      <c r="B120" s="2"/>
      <c r="C120" s="2"/>
      <c r="D120" s="2"/>
      <c r="E120" s="2"/>
      <c r="F120" s="2"/>
      <c r="G120" s="2"/>
      <c r="H120" s="2"/>
      <c r="I120" s="2"/>
      <c r="J120" s="2"/>
      <c r="K120" s="2"/>
      <c r="L120" s="2"/>
      <c r="M120" s="2"/>
      <c r="N120" s="2"/>
    </row>
    <row r="121" spans="1:14" ht="13.8" x14ac:dyDescent="0.25">
      <c r="A121" s="2"/>
      <c r="B121" s="2"/>
      <c r="C121" s="2"/>
      <c r="D121" s="2"/>
      <c r="E121" s="2"/>
      <c r="F121" s="2"/>
      <c r="G121" s="2"/>
      <c r="H121" s="2"/>
      <c r="I121" s="2"/>
      <c r="J121" s="2"/>
      <c r="K121" s="2"/>
      <c r="L121" s="2"/>
      <c r="M121" s="2"/>
      <c r="N121" s="2"/>
    </row>
    <row r="122" spans="1:14" ht="13.8" x14ac:dyDescent="0.25">
      <c r="A122" s="2"/>
      <c r="B122" s="2"/>
      <c r="C122" s="2"/>
      <c r="D122" s="2"/>
      <c r="E122" s="2"/>
      <c r="F122" s="2"/>
      <c r="G122" s="2"/>
      <c r="H122" s="2"/>
      <c r="I122" s="2"/>
      <c r="J122" s="2"/>
      <c r="K122" s="2"/>
      <c r="L122" s="2"/>
      <c r="M122" s="2"/>
      <c r="N122" s="2"/>
    </row>
    <row r="123" spans="1:14" ht="13.8" x14ac:dyDescent="0.25">
      <c r="A123" s="2"/>
      <c r="B123" s="2"/>
      <c r="C123" s="2"/>
      <c r="D123" s="2"/>
      <c r="E123" s="2"/>
      <c r="F123" s="2"/>
      <c r="G123" s="2"/>
      <c r="H123" s="2"/>
      <c r="I123" s="2"/>
      <c r="J123" s="2"/>
      <c r="K123" s="2"/>
      <c r="L123" s="2"/>
      <c r="M123" s="2"/>
      <c r="N123" s="2"/>
    </row>
    <row r="124" spans="1:14" ht="13.8" x14ac:dyDescent="0.25">
      <c r="A124" s="2"/>
      <c r="B124" s="2"/>
      <c r="C124" s="2"/>
      <c r="D124" s="2"/>
      <c r="E124" s="2"/>
      <c r="F124" s="2"/>
      <c r="G124" s="2"/>
      <c r="H124" s="2"/>
      <c r="I124" s="2"/>
      <c r="J124" s="2"/>
      <c r="K124" s="2"/>
      <c r="L124" s="2"/>
      <c r="M124" s="2"/>
      <c r="N124" s="2"/>
    </row>
    <row r="125" spans="1:14" ht="13.8" x14ac:dyDescent="0.25">
      <c r="A125" s="2"/>
      <c r="B125" s="2"/>
      <c r="C125" s="2"/>
      <c r="D125" s="2"/>
      <c r="E125" s="2"/>
      <c r="F125" s="2"/>
      <c r="G125" s="2"/>
      <c r="H125" s="2"/>
      <c r="I125" s="2"/>
      <c r="J125" s="2"/>
      <c r="K125" s="2"/>
      <c r="L125" s="2"/>
      <c r="M125" s="2"/>
      <c r="N125" s="2"/>
    </row>
    <row r="126" spans="1:14" ht="13.8" x14ac:dyDescent="0.25">
      <c r="A126" s="2"/>
      <c r="B126" s="2"/>
      <c r="C126" s="2"/>
      <c r="D126" s="2"/>
      <c r="E126" s="2"/>
      <c r="F126" s="2"/>
      <c r="G126" s="2"/>
      <c r="H126" s="2"/>
      <c r="I126" s="2"/>
      <c r="J126" s="2"/>
      <c r="K126" s="2"/>
      <c r="L126" s="2"/>
      <c r="M126" s="2"/>
      <c r="N126" s="2"/>
    </row>
    <row r="127" spans="1:14" ht="13.8" x14ac:dyDescent="0.25">
      <c r="A127" s="2"/>
      <c r="B127" s="2"/>
      <c r="C127" s="2"/>
      <c r="D127" s="2"/>
      <c r="E127" s="2"/>
      <c r="F127" s="2"/>
      <c r="G127" s="2"/>
      <c r="H127" s="2"/>
      <c r="I127" s="2"/>
      <c r="J127" s="2"/>
      <c r="K127" s="2"/>
      <c r="L127" s="2"/>
      <c r="M127" s="2"/>
      <c r="N127" s="2"/>
    </row>
    <row r="128" spans="1:14" ht="13.8" x14ac:dyDescent="0.25">
      <c r="A128" s="2"/>
      <c r="B128" s="2"/>
      <c r="C128" s="2"/>
      <c r="D128" s="2"/>
      <c r="E128" s="2"/>
      <c r="F128" s="2"/>
      <c r="G128" s="2"/>
      <c r="H128" s="2"/>
      <c r="I128" s="2"/>
      <c r="J128" s="2"/>
      <c r="K128" s="2"/>
      <c r="L128" s="2"/>
      <c r="M128" s="2"/>
      <c r="N128" s="2"/>
    </row>
    <row r="129" spans="1:14" ht="13.8" x14ac:dyDescent="0.25">
      <c r="A129" s="2"/>
      <c r="B129" s="2"/>
      <c r="C129" s="2"/>
      <c r="D129" s="2"/>
      <c r="E129" s="2"/>
      <c r="F129" s="2"/>
      <c r="G129" s="2"/>
      <c r="H129" s="2"/>
      <c r="I129" s="2"/>
      <c r="J129" s="2"/>
      <c r="K129" s="2"/>
      <c r="L129" s="2"/>
      <c r="M129" s="2"/>
      <c r="N129" s="2"/>
    </row>
    <row r="130" spans="1:14" ht="13.8" x14ac:dyDescent="0.25">
      <c r="A130" s="2"/>
      <c r="B130" s="2"/>
      <c r="C130" s="2"/>
      <c r="D130" s="2"/>
      <c r="E130" s="2"/>
      <c r="F130" s="2"/>
      <c r="G130" s="2"/>
      <c r="H130" s="2"/>
      <c r="I130" s="2"/>
      <c r="J130" s="2"/>
      <c r="K130" s="2"/>
      <c r="L130" s="2"/>
      <c r="M130" s="2"/>
      <c r="N130" s="2"/>
    </row>
    <row r="131" spans="1:14" ht="13.8" x14ac:dyDescent="0.25">
      <c r="A131" s="2"/>
      <c r="B131" s="2"/>
      <c r="C131" s="2"/>
      <c r="D131" s="2"/>
      <c r="E131" s="2"/>
      <c r="F131" s="2"/>
      <c r="G131" s="2"/>
      <c r="H131" s="2"/>
      <c r="I131" s="2"/>
      <c r="J131" s="2"/>
      <c r="K131" s="2"/>
      <c r="L131" s="2"/>
      <c r="M131" s="2"/>
      <c r="N131" s="2"/>
    </row>
    <row r="132" spans="1:14" ht="13.8" x14ac:dyDescent="0.25">
      <c r="A132" s="2"/>
      <c r="B132" s="2"/>
      <c r="C132" s="2"/>
      <c r="D132" s="2"/>
      <c r="E132" s="2"/>
      <c r="F132" s="2"/>
      <c r="G132" s="2"/>
      <c r="H132" s="2"/>
      <c r="I132" s="2"/>
      <c r="J132" s="2"/>
      <c r="K132" s="2"/>
      <c r="L132" s="2"/>
      <c r="M132" s="2"/>
      <c r="N132" s="2"/>
    </row>
    <row r="133" spans="1:14" ht="13.8" x14ac:dyDescent="0.25">
      <c r="A133" s="2"/>
      <c r="B133" s="2"/>
      <c r="C133" s="2"/>
      <c r="D133" s="2"/>
      <c r="E133" s="2"/>
      <c r="F133" s="2"/>
      <c r="G133" s="2"/>
      <c r="H133" s="2"/>
      <c r="I133" s="2"/>
      <c r="J133" s="2"/>
      <c r="K133" s="2"/>
      <c r="L133" s="2"/>
      <c r="M133" s="2"/>
      <c r="N133" s="2"/>
    </row>
    <row r="134" spans="1:14" ht="13.8" x14ac:dyDescent="0.25">
      <c r="A134" s="2"/>
      <c r="B134" s="2"/>
      <c r="C134" s="2"/>
      <c r="D134" s="2"/>
      <c r="E134" s="2"/>
      <c r="F134" s="2"/>
      <c r="G134" s="2"/>
      <c r="H134" s="2"/>
      <c r="I134" s="2"/>
      <c r="J134" s="2"/>
      <c r="K134" s="2"/>
      <c r="L134" s="2"/>
      <c r="M134" s="2"/>
      <c r="N134" s="2"/>
    </row>
    <row r="135" spans="1:14" ht="13.8" x14ac:dyDescent="0.25">
      <c r="A135" s="2"/>
      <c r="B135" s="2"/>
      <c r="C135" s="2"/>
      <c r="D135" s="2"/>
      <c r="E135" s="2"/>
      <c r="F135" s="2"/>
      <c r="G135" s="2"/>
      <c r="H135" s="2"/>
      <c r="I135" s="2"/>
      <c r="J135" s="2"/>
      <c r="K135" s="2"/>
      <c r="L135" s="2"/>
      <c r="M135" s="2"/>
      <c r="N135" s="2"/>
    </row>
    <row r="136" spans="1:14" ht="13.8" x14ac:dyDescent="0.25">
      <c r="A136" s="2"/>
      <c r="B136" s="2"/>
      <c r="C136" s="2"/>
      <c r="D136" s="2"/>
      <c r="E136" s="2"/>
      <c r="F136" s="2"/>
      <c r="G136" s="2"/>
      <c r="H136" s="2"/>
      <c r="I136" s="2"/>
      <c r="J136" s="2"/>
      <c r="K136" s="2"/>
      <c r="L136" s="2"/>
      <c r="M136" s="2"/>
      <c r="N136" s="2"/>
    </row>
    <row r="137" spans="1:14" ht="13.8" x14ac:dyDescent="0.25">
      <c r="A137" s="2"/>
      <c r="B137" s="2"/>
      <c r="C137" s="2"/>
      <c r="D137" s="2"/>
      <c r="E137" s="2"/>
      <c r="F137" s="2"/>
      <c r="G137" s="2"/>
      <c r="H137" s="2"/>
      <c r="I137" s="2"/>
      <c r="J137" s="2"/>
      <c r="K137" s="2"/>
      <c r="L137" s="2"/>
      <c r="M137" s="2"/>
      <c r="N137" s="2"/>
    </row>
    <row r="138" spans="1:14" ht="13.8" x14ac:dyDescent="0.25">
      <c r="A138" s="2"/>
      <c r="B138" s="2"/>
      <c r="C138" s="2"/>
      <c r="D138" s="2"/>
      <c r="E138" s="2"/>
      <c r="F138" s="2"/>
      <c r="G138" s="2"/>
      <c r="H138" s="2"/>
      <c r="I138" s="2"/>
      <c r="J138" s="2"/>
      <c r="K138" s="2"/>
      <c r="L138" s="2"/>
      <c r="M138" s="2"/>
      <c r="N138" s="2"/>
    </row>
    <row r="139" spans="1:14" ht="13.8" x14ac:dyDescent="0.25">
      <c r="A139" s="2"/>
      <c r="B139" s="2"/>
      <c r="C139" s="2"/>
      <c r="D139" s="2"/>
      <c r="E139" s="2"/>
      <c r="F139" s="2"/>
      <c r="G139" s="2"/>
      <c r="H139" s="2"/>
      <c r="I139" s="2"/>
      <c r="J139" s="2"/>
      <c r="K139" s="2"/>
      <c r="L139" s="2"/>
      <c r="M139" s="2"/>
      <c r="N139" s="2"/>
    </row>
    <row r="140" spans="1:14" ht="13.8" x14ac:dyDescent="0.25">
      <c r="A140" s="2"/>
      <c r="B140" s="2"/>
      <c r="C140" s="2"/>
      <c r="D140" s="2"/>
      <c r="E140" s="2"/>
      <c r="F140" s="2"/>
      <c r="G140" s="2"/>
      <c r="H140" s="2"/>
      <c r="I140" s="2"/>
      <c r="J140" s="2"/>
      <c r="K140" s="2"/>
      <c r="L140" s="2"/>
      <c r="M140" s="2"/>
      <c r="N140" s="2"/>
    </row>
    <row r="141" spans="1:14" ht="13.8" x14ac:dyDescent="0.25">
      <c r="A141" s="2"/>
      <c r="B141" s="2"/>
      <c r="C141" s="2"/>
      <c r="D141" s="2"/>
      <c r="E141" s="2"/>
      <c r="F141" s="2"/>
      <c r="G141" s="2"/>
      <c r="H141" s="2"/>
      <c r="I141" s="2"/>
      <c r="J141" s="2"/>
      <c r="K141" s="2"/>
      <c r="L141" s="2"/>
      <c r="M141" s="2"/>
      <c r="N141" s="2"/>
    </row>
    <row r="142" spans="1:14" ht="13.8" x14ac:dyDescent="0.25">
      <c r="A142" s="2"/>
      <c r="B142" s="2"/>
      <c r="C142" s="2"/>
      <c r="D142" s="2"/>
      <c r="E142" s="2"/>
      <c r="F142" s="2"/>
      <c r="G142" s="2"/>
      <c r="H142" s="2"/>
      <c r="I142" s="2"/>
      <c r="J142" s="2"/>
      <c r="K142" s="2"/>
      <c r="L142" s="2"/>
      <c r="M142" s="2"/>
      <c r="N142" s="2"/>
    </row>
    <row r="143" spans="1:14" ht="13.8" x14ac:dyDescent="0.25">
      <c r="A143" s="2"/>
      <c r="B143" s="2"/>
      <c r="C143" s="2"/>
      <c r="D143" s="2"/>
      <c r="E143" s="2"/>
      <c r="F143" s="2"/>
      <c r="G143" s="2"/>
      <c r="H143" s="2"/>
      <c r="I143" s="2"/>
      <c r="J143" s="2"/>
      <c r="K143" s="2"/>
      <c r="L143" s="2"/>
      <c r="M143" s="2"/>
      <c r="N143" s="2"/>
    </row>
    <row r="144" spans="1:14" ht="13.8" x14ac:dyDescent="0.25">
      <c r="A144" s="2"/>
      <c r="B144" s="2"/>
      <c r="C144" s="2"/>
      <c r="D144" s="2"/>
      <c r="E144" s="2"/>
      <c r="F144" s="2"/>
      <c r="G144" s="2"/>
      <c r="H144" s="2"/>
      <c r="I144" s="2"/>
      <c r="J144" s="2"/>
      <c r="K144" s="2"/>
      <c r="L144" s="2"/>
      <c r="M144" s="2"/>
      <c r="N144" s="2"/>
    </row>
    <row r="145" spans="1:14" ht="13.8" x14ac:dyDescent="0.25">
      <c r="A145" s="2"/>
      <c r="B145" s="2"/>
      <c r="C145" s="2"/>
      <c r="D145" s="2"/>
      <c r="E145" s="2"/>
      <c r="F145" s="2"/>
      <c r="G145" s="2"/>
      <c r="H145" s="2"/>
      <c r="I145" s="2"/>
      <c r="J145" s="2"/>
      <c r="K145" s="2"/>
      <c r="L145" s="2"/>
      <c r="M145" s="2"/>
      <c r="N145" s="2"/>
    </row>
    <row r="146" spans="1:14" ht="13.8" x14ac:dyDescent="0.25">
      <c r="A146" s="2"/>
      <c r="B146" s="2"/>
      <c r="C146" s="2"/>
      <c r="D146" s="2"/>
      <c r="E146" s="2"/>
      <c r="F146" s="2"/>
      <c r="G146" s="2"/>
      <c r="H146" s="2"/>
      <c r="I146" s="2"/>
      <c r="J146" s="2"/>
      <c r="K146" s="2"/>
      <c r="L146" s="2"/>
      <c r="M146" s="2"/>
      <c r="N146" s="2"/>
    </row>
    <row r="147" spans="1:14" ht="13.8" x14ac:dyDescent="0.25">
      <c r="A147" s="2"/>
      <c r="B147" s="2"/>
      <c r="C147" s="2"/>
      <c r="D147" s="2"/>
      <c r="E147" s="2"/>
      <c r="F147" s="2"/>
      <c r="G147" s="2"/>
      <c r="H147" s="2"/>
      <c r="I147" s="2"/>
      <c r="J147" s="2"/>
      <c r="K147" s="2"/>
      <c r="L147" s="2"/>
      <c r="M147" s="2"/>
      <c r="N147" s="2"/>
    </row>
    <row r="148" spans="1:14" ht="13.8" x14ac:dyDescent="0.25">
      <c r="A148" s="2"/>
      <c r="B148" s="2"/>
      <c r="C148" s="2"/>
      <c r="D148" s="2"/>
      <c r="E148" s="2"/>
      <c r="F148" s="2"/>
      <c r="G148" s="2"/>
      <c r="H148" s="2"/>
      <c r="I148" s="2"/>
      <c r="J148" s="2"/>
      <c r="K148" s="2"/>
      <c r="L148" s="2"/>
      <c r="M148" s="2"/>
      <c r="N148" s="2"/>
    </row>
    <row r="149" spans="1:14" ht="13.8" x14ac:dyDescent="0.25">
      <c r="A149" s="2"/>
      <c r="B149" s="2"/>
      <c r="C149" s="2"/>
      <c r="D149" s="2"/>
      <c r="E149" s="2"/>
      <c r="F149" s="2"/>
      <c r="G149" s="2"/>
      <c r="H149" s="2"/>
      <c r="I149" s="2"/>
      <c r="J149" s="2"/>
      <c r="K149" s="2"/>
      <c r="L149" s="2"/>
      <c r="M149" s="2"/>
      <c r="N149" s="2"/>
    </row>
    <row r="150" spans="1:14" ht="13.8" x14ac:dyDescent="0.25">
      <c r="A150" s="2"/>
      <c r="B150" s="2"/>
      <c r="C150" s="2"/>
      <c r="D150" s="2"/>
      <c r="E150" s="2"/>
      <c r="F150" s="2"/>
      <c r="G150" s="2"/>
      <c r="H150" s="2"/>
      <c r="I150" s="2"/>
      <c r="J150" s="2"/>
      <c r="K150" s="2"/>
      <c r="L150" s="2"/>
      <c r="M150" s="2"/>
      <c r="N150" s="2"/>
    </row>
    <row r="151" spans="1:14" ht="13.8" x14ac:dyDescent="0.25">
      <c r="A151" s="2"/>
      <c r="B151" s="2"/>
      <c r="C151" s="2"/>
      <c r="D151" s="2"/>
      <c r="E151" s="2"/>
      <c r="F151" s="2"/>
      <c r="G151" s="2"/>
      <c r="H151" s="2"/>
      <c r="I151" s="2"/>
      <c r="J151" s="2"/>
      <c r="K151" s="2"/>
      <c r="L151" s="2"/>
      <c r="M151" s="2"/>
      <c r="N151" s="2"/>
    </row>
    <row r="152" spans="1:14" ht="13.8" x14ac:dyDescent="0.25">
      <c r="A152" s="2"/>
      <c r="B152" s="2"/>
      <c r="C152" s="2"/>
      <c r="D152" s="2"/>
      <c r="E152" s="2"/>
      <c r="F152" s="2"/>
      <c r="G152" s="2"/>
      <c r="H152" s="2"/>
      <c r="I152" s="2"/>
      <c r="J152" s="2"/>
      <c r="K152" s="2"/>
      <c r="L152" s="2"/>
      <c r="M152" s="2"/>
      <c r="N152" s="2"/>
    </row>
    <row r="153" spans="1:14" ht="13.8" x14ac:dyDescent="0.25">
      <c r="A153" s="2"/>
      <c r="B153" s="2"/>
      <c r="C153" s="2"/>
      <c r="D153" s="2"/>
      <c r="E153" s="2"/>
      <c r="F153" s="2"/>
      <c r="G153" s="2"/>
      <c r="H153" s="2"/>
      <c r="I153" s="2"/>
      <c r="J153" s="2"/>
      <c r="K153" s="2"/>
      <c r="L153" s="2"/>
      <c r="M153" s="2"/>
      <c r="N153" s="2"/>
    </row>
    <row r="154" spans="1:14" ht="13.8" x14ac:dyDescent="0.25">
      <c r="A154" s="2"/>
      <c r="B154" s="2"/>
      <c r="C154" s="2"/>
      <c r="D154" s="2"/>
      <c r="E154" s="2"/>
      <c r="F154" s="2"/>
      <c r="G154" s="2"/>
      <c r="H154" s="2"/>
      <c r="I154" s="2"/>
      <c r="J154" s="2"/>
      <c r="K154" s="2"/>
      <c r="L154" s="2"/>
      <c r="M154" s="2"/>
      <c r="N154" s="2"/>
    </row>
    <row r="155" spans="1:14" ht="13.8" x14ac:dyDescent="0.25">
      <c r="A155" s="2"/>
      <c r="B155" s="2"/>
      <c r="C155" s="2"/>
      <c r="D155" s="2"/>
      <c r="E155" s="2"/>
      <c r="F155" s="2"/>
      <c r="G155" s="2"/>
      <c r="H155" s="2"/>
      <c r="I155" s="2"/>
      <c r="J155" s="2"/>
      <c r="K155" s="2"/>
      <c r="L155" s="2"/>
      <c r="M155" s="2"/>
      <c r="N155" s="2"/>
    </row>
    <row r="156" spans="1:14" ht="13.8" x14ac:dyDescent="0.25">
      <c r="A156" s="2"/>
      <c r="B156" s="2"/>
      <c r="C156" s="2"/>
      <c r="D156" s="2"/>
      <c r="E156" s="2"/>
      <c r="F156" s="2"/>
      <c r="G156" s="2"/>
      <c r="H156" s="2"/>
      <c r="I156" s="2"/>
      <c r="J156" s="2"/>
      <c r="K156" s="2"/>
      <c r="L156" s="2"/>
      <c r="M156" s="2"/>
      <c r="N156" s="2"/>
    </row>
    <row r="157" spans="1:14" ht="13.8" x14ac:dyDescent="0.25">
      <c r="A157" s="2"/>
      <c r="B157" s="2"/>
      <c r="C157" s="2"/>
      <c r="D157" s="2"/>
      <c r="E157" s="2"/>
      <c r="F157" s="2"/>
      <c r="G157" s="2"/>
      <c r="H157" s="2"/>
      <c r="I157" s="2"/>
      <c r="J157" s="2"/>
      <c r="K157" s="2"/>
      <c r="L157" s="2"/>
      <c r="M157" s="2"/>
      <c r="N157" s="2"/>
    </row>
    <row r="158" spans="1:14" ht="13.8" x14ac:dyDescent="0.25">
      <c r="A158" s="2"/>
      <c r="B158" s="2"/>
      <c r="C158" s="2"/>
      <c r="D158" s="2"/>
      <c r="E158" s="2"/>
      <c r="F158" s="2"/>
      <c r="G158" s="2"/>
      <c r="H158" s="2"/>
      <c r="I158" s="2"/>
      <c r="J158" s="2"/>
      <c r="K158" s="2"/>
      <c r="L158" s="2"/>
      <c r="M158" s="2"/>
      <c r="N158" s="2"/>
    </row>
    <row r="159" spans="1:14" ht="13.8" x14ac:dyDescent="0.25">
      <c r="A159" s="2"/>
      <c r="B159" s="2"/>
      <c r="C159" s="2"/>
      <c r="D159" s="2"/>
      <c r="E159" s="2"/>
      <c r="F159" s="2"/>
      <c r="G159" s="2"/>
      <c r="H159" s="2"/>
      <c r="I159" s="2"/>
      <c r="J159" s="2"/>
      <c r="K159" s="2"/>
      <c r="L159" s="2"/>
      <c r="M159" s="2"/>
      <c r="N159" s="2"/>
    </row>
    <row r="160" spans="1:14" ht="13.8" x14ac:dyDescent="0.25">
      <c r="A160" s="2"/>
      <c r="B160" s="2"/>
      <c r="C160" s="2"/>
      <c r="D160" s="2"/>
      <c r="E160" s="2"/>
      <c r="F160" s="2"/>
      <c r="G160" s="2"/>
      <c r="H160" s="2"/>
      <c r="I160" s="2"/>
      <c r="J160" s="2"/>
      <c r="K160" s="2"/>
      <c r="L160" s="2"/>
      <c r="M160" s="2"/>
      <c r="N160" s="2"/>
    </row>
    <row r="161" spans="1:14" ht="13.8" x14ac:dyDescent="0.25">
      <c r="A161" s="2"/>
      <c r="B161" s="2"/>
      <c r="C161" s="2"/>
      <c r="D161" s="2"/>
      <c r="E161" s="2"/>
      <c r="F161" s="2"/>
      <c r="G161" s="2"/>
      <c r="H161" s="2"/>
      <c r="I161" s="2"/>
      <c r="J161" s="2"/>
      <c r="K161" s="2"/>
      <c r="L161" s="2"/>
      <c r="M161" s="2"/>
      <c r="N161" s="2"/>
    </row>
    <row r="162" spans="1:14" ht="13.8" x14ac:dyDescent="0.25">
      <c r="A162" s="2"/>
      <c r="B162" s="2"/>
      <c r="C162" s="2"/>
      <c r="D162" s="2"/>
      <c r="E162" s="2"/>
      <c r="F162" s="2"/>
      <c r="G162" s="2"/>
      <c r="H162" s="2"/>
      <c r="I162" s="2"/>
      <c r="J162" s="2"/>
      <c r="K162" s="2"/>
      <c r="L162" s="2"/>
      <c r="M162" s="2"/>
      <c r="N162" s="2"/>
    </row>
    <row r="163" spans="1:14" ht="13.8" x14ac:dyDescent="0.25">
      <c r="A163" s="2"/>
      <c r="B163" s="2"/>
      <c r="C163" s="2"/>
      <c r="D163" s="2"/>
      <c r="E163" s="2"/>
      <c r="F163" s="2"/>
      <c r="G163" s="2"/>
      <c r="H163" s="2"/>
      <c r="I163" s="2"/>
      <c r="J163" s="2"/>
      <c r="K163" s="2"/>
      <c r="L163" s="2"/>
      <c r="M163" s="2"/>
      <c r="N163" s="2"/>
    </row>
    <row r="164" spans="1:14" ht="13.8" x14ac:dyDescent="0.25">
      <c r="A164" s="2"/>
      <c r="B164" s="2"/>
      <c r="C164" s="2"/>
      <c r="D164" s="2"/>
      <c r="E164" s="2"/>
      <c r="F164" s="2"/>
      <c r="G164" s="2"/>
      <c r="H164" s="2"/>
      <c r="I164" s="2"/>
      <c r="J164" s="2"/>
      <c r="K164" s="2"/>
      <c r="L164" s="2"/>
      <c r="M164" s="2"/>
      <c r="N164" s="2"/>
    </row>
    <row r="165" spans="1:14" ht="13.8" x14ac:dyDescent="0.25">
      <c r="A165" s="2"/>
      <c r="B165" s="2"/>
      <c r="C165" s="2"/>
      <c r="D165" s="2"/>
      <c r="E165" s="2"/>
      <c r="F165" s="2"/>
      <c r="G165" s="2"/>
      <c r="H165" s="2"/>
      <c r="I165" s="2"/>
      <c r="J165" s="2"/>
      <c r="K165" s="2"/>
      <c r="L165" s="2"/>
      <c r="M165" s="2"/>
      <c r="N165" s="2"/>
    </row>
    <row r="166" spans="1:14" ht="13.8" x14ac:dyDescent="0.25">
      <c r="A166" s="2"/>
      <c r="B166" s="2"/>
      <c r="C166" s="2"/>
      <c r="D166" s="2"/>
      <c r="E166" s="2"/>
      <c r="F166" s="2"/>
      <c r="G166" s="2"/>
      <c r="H166" s="2"/>
      <c r="I166" s="2"/>
      <c r="J166" s="2"/>
      <c r="K166" s="2"/>
      <c r="L166" s="2"/>
      <c r="M166" s="2"/>
      <c r="N166" s="2"/>
    </row>
    <row r="167" spans="1:14" ht="13.8" x14ac:dyDescent="0.25">
      <c r="A167" s="2"/>
      <c r="B167" s="2"/>
      <c r="C167" s="2"/>
      <c r="D167" s="2"/>
      <c r="E167" s="2"/>
      <c r="F167" s="2"/>
      <c r="G167" s="2"/>
      <c r="H167" s="2"/>
      <c r="I167" s="2"/>
      <c r="J167" s="2"/>
      <c r="K167" s="2"/>
      <c r="L167" s="2"/>
      <c r="M167" s="2"/>
      <c r="N167" s="2"/>
    </row>
    <row r="168" spans="1:14" ht="13.8" x14ac:dyDescent="0.25">
      <c r="A168" s="2"/>
      <c r="B168" s="2"/>
      <c r="C168" s="2"/>
      <c r="D168" s="2"/>
      <c r="E168" s="2"/>
      <c r="F168" s="2"/>
      <c r="G168" s="2"/>
      <c r="H168" s="2"/>
      <c r="I168" s="2"/>
      <c r="J168" s="2"/>
      <c r="K168" s="2"/>
      <c r="L168" s="2"/>
      <c r="M168" s="2"/>
      <c r="N168" s="2"/>
    </row>
    <row r="169" spans="1:14" ht="13.8" x14ac:dyDescent="0.25">
      <c r="A169" s="2"/>
      <c r="B169" s="2"/>
      <c r="C169" s="2"/>
      <c r="D169" s="2"/>
      <c r="E169" s="2"/>
      <c r="F169" s="2"/>
      <c r="G169" s="2"/>
      <c r="H169" s="2"/>
      <c r="I169" s="2"/>
      <c r="J169" s="2"/>
      <c r="K169" s="2"/>
      <c r="L169" s="2"/>
      <c r="M169" s="2"/>
      <c r="N169" s="2"/>
    </row>
    <row r="170" spans="1:14" ht="13.8" x14ac:dyDescent="0.25">
      <c r="A170" s="2"/>
      <c r="B170" s="2"/>
      <c r="C170" s="2"/>
      <c r="D170" s="2"/>
      <c r="E170" s="2"/>
      <c r="F170" s="2"/>
      <c r="G170" s="2"/>
      <c r="H170" s="2"/>
      <c r="I170" s="2"/>
      <c r="J170" s="2"/>
      <c r="K170" s="2"/>
      <c r="L170" s="2"/>
      <c r="M170" s="2"/>
      <c r="N170" s="2"/>
    </row>
    <row r="171" spans="1:14" ht="13.8" x14ac:dyDescent="0.25">
      <c r="A171" s="2"/>
      <c r="B171" s="2"/>
      <c r="C171" s="2"/>
      <c r="D171" s="2"/>
      <c r="E171" s="2"/>
      <c r="F171" s="2"/>
      <c r="G171" s="2"/>
      <c r="H171" s="2"/>
      <c r="I171" s="2"/>
      <c r="J171" s="2"/>
      <c r="K171" s="2"/>
      <c r="L171" s="2"/>
      <c r="M171" s="2"/>
      <c r="N171" s="2"/>
    </row>
    <row r="172" spans="1:14" ht="13.8" x14ac:dyDescent="0.25">
      <c r="A172" s="2"/>
      <c r="B172" s="2"/>
      <c r="C172" s="2"/>
      <c r="D172" s="2"/>
      <c r="E172" s="2"/>
      <c r="F172" s="2"/>
      <c r="G172" s="2"/>
      <c r="H172" s="2"/>
      <c r="I172" s="2"/>
      <c r="J172" s="2"/>
      <c r="K172" s="2"/>
      <c r="L172" s="2"/>
      <c r="M172" s="2"/>
      <c r="N172" s="2"/>
    </row>
    <row r="173" spans="1:14" ht="13.8" x14ac:dyDescent="0.25">
      <c r="A173" s="2"/>
      <c r="B173" s="2"/>
      <c r="C173" s="2"/>
      <c r="D173" s="2"/>
      <c r="E173" s="2"/>
      <c r="F173" s="2"/>
      <c r="G173" s="2"/>
      <c r="H173" s="2"/>
      <c r="I173" s="2"/>
      <c r="J173" s="2"/>
      <c r="K173" s="2"/>
      <c r="L173" s="2"/>
      <c r="M173" s="2"/>
      <c r="N173" s="2"/>
    </row>
    <row r="174" spans="1:14" ht="13.8" x14ac:dyDescent="0.25">
      <c r="A174" s="2"/>
      <c r="B174" s="2"/>
      <c r="C174" s="2"/>
      <c r="D174" s="2"/>
      <c r="E174" s="2"/>
      <c r="F174" s="2"/>
      <c r="G174" s="2"/>
      <c r="H174" s="2"/>
      <c r="I174" s="2"/>
      <c r="J174" s="2"/>
      <c r="K174" s="2"/>
      <c r="L174" s="2"/>
      <c r="M174" s="2"/>
      <c r="N174" s="2"/>
    </row>
    <row r="175" spans="1:14" ht="13.8" x14ac:dyDescent="0.25">
      <c r="A175" s="2"/>
      <c r="B175" s="2"/>
      <c r="C175" s="2"/>
      <c r="D175" s="2"/>
      <c r="E175" s="2"/>
      <c r="F175" s="2"/>
      <c r="G175" s="2"/>
      <c r="H175" s="2"/>
      <c r="I175" s="2"/>
      <c r="J175" s="2"/>
      <c r="K175" s="2"/>
      <c r="L175" s="2"/>
      <c r="M175" s="2"/>
      <c r="N175" s="2"/>
    </row>
    <row r="176" spans="1:14" ht="13.8" x14ac:dyDescent="0.25">
      <c r="A176" s="2"/>
      <c r="B176" s="2"/>
      <c r="C176" s="2"/>
      <c r="D176" s="2"/>
      <c r="E176" s="2"/>
      <c r="F176" s="2"/>
      <c r="G176" s="2"/>
      <c r="H176" s="2"/>
      <c r="I176" s="2"/>
      <c r="J176" s="2"/>
      <c r="K176" s="2"/>
      <c r="L176" s="2"/>
      <c r="M176" s="2"/>
      <c r="N176" s="2"/>
    </row>
    <row r="177" spans="1:14" ht="13.8" x14ac:dyDescent="0.25">
      <c r="A177" s="2"/>
      <c r="B177" s="2"/>
      <c r="C177" s="2"/>
      <c r="D177" s="2"/>
      <c r="E177" s="2"/>
      <c r="F177" s="2"/>
      <c r="G177" s="2"/>
      <c r="H177" s="2"/>
      <c r="I177" s="2"/>
      <c r="J177" s="2"/>
      <c r="K177" s="2"/>
      <c r="L177" s="2"/>
      <c r="M177" s="2"/>
      <c r="N177" s="2"/>
    </row>
    <row r="178" spans="1:14" ht="13.8" x14ac:dyDescent="0.25">
      <c r="A178" s="2"/>
      <c r="B178" s="2"/>
      <c r="C178" s="2"/>
      <c r="D178" s="2"/>
      <c r="E178" s="2"/>
      <c r="F178" s="2"/>
      <c r="G178" s="2"/>
      <c r="H178" s="2"/>
      <c r="I178" s="2"/>
      <c r="J178" s="2"/>
      <c r="K178" s="2"/>
      <c r="L178" s="2"/>
      <c r="M178" s="2"/>
      <c r="N178" s="2"/>
    </row>
    <row r="179" spans="1:14" ht="13.8" x14ac:dyDescent="0.25">
      <c r="A179" s="2"/>
      <c r="B179" s="2"/>
      <c r="C179" s="2"/>
      <c r="D179" s="2"/>
      <c r="E179" s="2"/>
      <c r="F179" s="2"/>
      <c r="G179" s="2"/>
      <c r="H179" s="2"/>
      <c r="I179" s="2"/>
      <c r="J179" s="2"/>
      <c r="K179" s="2"/>
      <c r="L179" s="2"/>
      <c r="M179" s="2"/>
      <c r="N179" s="2"/>
    </row>
    <row r="180" spans="1:14" ht="13.8" x14ac:dyDescent="0.25">
      <c r="A180" s="2"/>
      <c r="B180" s="2"/>
      <c r="C180" s="2"/>
      <c r="D180" s="2"/>
      <c r="E180" s="2"/>
      <c r="F180" s="2"/>
      <c r="G180" s="2"/>
      <c r="H180" s="2"/>
      <c r="I180" s="2"/>
      <c r="J180" s="2"/>
      <c r="K180" s="2"/>
      <c r="L180" s="2"/>
      <c r="M180" s="2"/>
      <c r="N180" s="2"/>
    </row>
    <row r="181" spans="1:14" ht="13.8" x14ac:dyDescent="0.25">
      <c r="A181" s="2"/>
      <c r="B181" s="2"/>
      <c r="C181" s="2"/>
      <c r="D181" s="2"/>
      <c r="E181" s="2"/>
      <c r="F181" s="2"/>
      <c r="G181" s="2"/>
      <c r="H181" s="2"/>
      <c r="I181" s="2"/>
      <c r="J181" s="2"/>
      <c r="K181" s="2"/>
      <c r="L181" s="2"/>
      <c r="M181" s="2"/>
      <c r="N181" s="2"/>
    </row>
    <row r="182" spans="1:14" ht="13.8" x14ac:dyDescent="0.25">
      <c r="A182" s="2"/>
      <c r="B182" s="2"/>
      <c r="C182" s="2"/>
      <c r="D182" s="2"/>
      <c r="E182" s="2"/>
      <c r="F182" s="2"/>
      <c r="G182" s="2"/>
      <c r="H182" s="2"/>
      <c r="I182" s="2"/>
      <c r="J182" s="2"/>
      <c r="K182" s="2"/>
      <c r="L182" s="2"/>
      <c r="M182" s="2"/>
      <c r="N182" s="2"/>
    </row>
    <row r="183" spans="1:14" ht="13.8" x14ac:dyDescent="0.25">
      <c r="A183" s="2"/>
      <c r="B183" s="2"/>
      <c r="C183" s="2"/>
      <c r="D183" s="2"/>
      <c r="E183" s="2"/>
      <c r="F183" s="2"/>
      <c r="G183" s="2"/>
      <c r="H183" s="2"/>
      <c r="I183" s="2"/>
      <c r="J183" s="2"/>
      <c r="K183" s="2"/>
      <c r="L183" s="2"/>
      <c r="M183" s="2"/>
      <c r="N183" s="2"/>
    </row>
    <row r="184" spans="1:14" ht="13.8" x14ac:dyDescent="0.25">
      <c r="A184" s="2"/>
      <c r="B184" s="2"/>
      <c r="C184" s="2"/>
      <c r="D184" s="2"/>
      <c r="E184" s="2"/>
      <c r="F184" s="2"/>
      <c r="G184" s="2"/>
      <c r="H184" s="2"/>
      <c r="I184" s="2"/>
      <c r="J184" s="2"/>
      <c r="K184" s="2"/>
      <c r="L184" s="2"/>
      <c r="M184" s="2"/>
      <c r="N184" s="2"/>
    </row>
    <row r="185" spans="1:14" ht="13.8" x14ac:dyDescent="0.25">
      <c r="A185" s="2"/>
      <c r="B185" s="2"/>
      <c r="C185" s="2"/>
      <c r="D185" s="2"/>
      <c r="E185" s="2"/>
      <c r="F185" s="2"/>
      <c r="G185" s="2"/>
      <c r="H185" s="2"/>
      <c r="I185" s="2"/>
      <c r="J185" s="2"/>
      <c r="K185" s="2"/>
      <c r="L185" s="2"/>
      <c r="M185" s="2"/>
      <c r="N185" s="2"/>
    </row>
    <row r="186" spans="1:14" ht="13.8" x14ac:dyDescent="0.25">
      <c r="A186" s="2"/>
      <c r="B186" s="2"/>
      <c r="C186" s="2"/>
      <c r="D186" s="2"/>
      <c r="E186" s="2"/>
      <c r="F186" s="2"/>
      <c r="G186" s="2"/>
      <c r="H186" s="2"/>
      <c r="I186" s="2"/>
      <c r="J186" s="2"/>
      <c r="K186" s="2"/>
      <c r="L186" s="2"/>
      <c r="M186" s="2"/>
      <c r="N186" s="2"/>
    </row>
    <row r="187" spans="1:14" ht="13.8" x14ac:dyDescent="0.25">
      <c r="A187" s="2"/>
      <c r="B187" s="2"/>
      <c r="C187" s="2"/>
      <c r="D187" s="2"/>
      <c r="E187" s="2"/>
      <c r="F187" s="2"/>
      <c r="G187" s="2"/>
      <c r="H187" s="2"/>
      <c r="I187" s="2"/>
      <c r="J187" s="2"/>
      <c r="K187" s="2"/>
      <c r="L187" s="2"/>
      <c r="M187" s="2"/>
      <c r="N187" s="2"/>
    </row>
    <row r="188" spans="1:14" ht="13.8" x14ac:dyDescent="0.25">
      <c r="A188" s="2"/>
      <c r="B188" s="2"/>
      <c r="C188" s="2"/>
      <c r="D188" s="2"/>
      <c r="E188" s="2"/>
      <c r="F188" s="2"/>
      <c r="G188" s="2"/>
      <c r="H188" s="2"/>
      <c r="I188" s="2"/>
      <c r="J188" s="2"/>
      <c r="K188" s="2"/>
      <c r="L188" s="2"/>
      <c r="M188" s="2"/>
      <c r="N188" s="2"/>
    </row>
    <row r="189" spans="1:14" ht="13.8" x14ac:dyDescent="0.25">
      <c r="A189" s="2"/>
      <c r="B189" s="2"/>
      <c r="C189" s="2"/>
      <c r="D189" s="2"/>
      <c r="E189" s="2"/>
      <c r="F189" s="2"/>
      <c r="G189" s="2"/>
      <c r="H189" s="2"/>
      <c r="I189" s="2"/>
      <c r="J189" s="2"/>
      <c r="K189" s="2"/>
      <c r="L189" s="2"/>
      <c r="M189" s="2"/>
      <c r="N189" s="2"/>
    </row>
    <row r="190" spans="1:14" ht="13.8" x14ac:dyDescent="0.25">
      <c r="A190" s="2"/>
      <c r="B190" s="2"/>
      <c r="C190" s="2"/>
      <c r="D190" s="2"/>
      <c r="E190" s="2"/>
      <c r="F190" s="2"/>
      <c r="G190" s="2"/>
      <c r="H190" s="2"/>
      <c r="I190" s="2"/>
      <c r="J190" s="2"/>
      <c r="K190" s="2"/>
      <c r="L190" s="2"/>
      <c r="M190" s="2"/>
      <c r="N190" s="2"/>
    </row>
    <row r="191" spans="1:14" ht="13.8" x14ac:dyDescent="0.25">
      <c r="A191" s="2"/>
      <c r="B191" s="2"/>
      <c r="C191" s="2"/>
      <c r="D191" s="2"/>
      <c r="E191" s="2"/>
      <c r="F191" s="2"/>
      <c r="G191" s="2"/>
      <c r="H191" s="2"/>
      <c r="I191" s="2"/>
      <c r="J191" s="2"/>
      <c r="K191" s="2"/>
      <c r="L191" s="2"/>
      <c r="M191" s="2"/>
      <c r="N191" s="2"/>
    </row>
    <row r="192" spans="1:14" ht="13.8" x14ac:dyDescent="0.25">
      <c r="A192" s="2"/>
      <c r="B192" s="2"/>
      <c r="C192" s="2"/>
      <c r="D192" s="2"/>
      <c r="E192" s="2"/>
      <c r="F192" s="2"/>
      <c r="G192" s="2"/>
      <c r="H192" s="2"/>
      <c r="I192" s="2"/>
      <c r="J192" s="2"/>
      <c r="K192" s="2"/>
      <c r="L192" s="2"/>
      <c r="M192" s="2"/>
      <c r="N192" s="2"/>
    </row>
    <row r="193" spans="1:14" ht="13.8" x14ac:dyDescent="0.25">
      <c r="A193" s="2"/>
      <c r="B193" s="2"/>
      <c r="C193" s="2"/>
      <c r="D193" s="2"/>
      <c r="E193" s="2"/>
      <c r="F193" s="2"/>
      <c r="G193" s="2"/>
      <c r="H193" s="2"/>
      <c r="I193" s="2"/>
      <c r="J193" s="2"/>
      <c r="K193" s="2"/>
      <c r="L193" s="2"/>
      <c r="M193" s="2"/>
      <c r="N193" s="2"/>
    </row>
    <row r="194" spans="1:14" ht="13.8" x14ac:dyDescent="0.25">
      <c r="A194" s="2"/>
      <c r="B194" s="2"/>
      <c r="C194" s="2"/>
      <c r="D194" s="2"/>
      <c r="E194" s="2"/>
      <c r="F194" s="2"/>
      <c r="G194" s="2"/>
      <c r="H194" s="2"/>
      <c r="I194" s="2"/>
      <c r="J194" s="2"/>
      <c r="K194" s="2"/>
      <c r="L194" s="2"/>
      <c r="M194" s="2"/>
      <c r="N194" s="2"/>
    </row>
    <row r="195" spans="1:14" ht="13.8" x14ac:dyDescent="0.25">
      <c r="A195" s="2"/>
      <c r="B195" s="2"/>
      <c r="C195" s="2"/>
      <c r="D195" s="2"/>
      <c r="E195" s="2"/>
      <c r="F195" s="2"/>
      <c r="G195" s="2"/>
      <c r="H195" s="2"/>
      <c r="I195" s="2"/>
      <c r="J195" s="2"/>
      <c r="K195" s="2"/>
      <c r="L195" s="2"/>
      <c r="M195" s="2"/>
      <c r="N195" s="2"/>
    </row>
    <row r="196" spans="1:14" ht="13.8" x14ac:dyDescent="0.25">
      <c r="A196" s="2"/>
      <c r="B196" s="2"/>
      <c r="C196" s="2"/>
      <c r="D196" s="2"/>
      <c r="E196" s="2"/>
      <c r="F196" s="2"/>
      <c r="G196" s="2"/>
      <c r="H196" s="2"/>
      <c r="I196" s="2"/>
      <c r="J196" s="2"/>
      <c r="K196" s="2"/>
      <c r="L196" s="2"/>
      <c r="M196" s="2"/>
      <c r="N196" s="2"/>
    </row>
    <row r="197" spans="1:14" ht="13.8" x14ac:dyDescent="0.25">
      <c r="A197" s="2"/>
      <c r="B197" s="2"/>
      <c r="C197" s="2"/>
      <c r="D197" s="2"/>
      <c r="E197" s="2"/>
      <c r="F197" s="2"/>
      <c r="G197" s="2"/>
      <c r="H197" s="2"/>
      <c r="I197" s="2"/>
      <c r="J197" s="2"/>
      <c r="K197" s="2"/>
      <c r="L197" s="2"/>
      <c r="M197" s="2"/>
      <c r="N197" s="2"/>
    </row>
    <row r="198" spans="1:14" ht="13.8" x14ac:dyDescent="0.25">
      <c r="A198" s="2"/>
      <c r="B198" s="2"/>
      <c r="C198" s="2"/>
      <c r="D198" s="2"/>
      <c r="E198" s="2"/>
      <c r="F198" s="2"/>
      <c r="G198" s="2"/>
      <c r="H198" s="2"/>
      <c r="I198" s="2"/>
      <c r="J198" s="2"/>
      <c r="K198" s="2"/>
      <c r="L198" s="2"/>
      <c r="M198" s="2"/>
      <c r="N198" s="2"/>
    </row>
    <row r="199" spans="1:14" ht="13.8" x14ac:dyDescent="0.25">
      <c r="A199" s="2"/>
      <c r="B199" s="2"/>
      <c r="C199" s="2"/>
      <c r="D199" s="2"/>
      <c r="E199" s="2"/>
      <c r="F199" s="2"/>
      <c r="G199" s="2"/>
      <c r="H199" s="2"/>
      <c r="I199" s="2"/>
      <c r="J199" s="2"/>
      <c r="K199" s="2"/>
      <c r="L199" s="2"/>
      <c r="M199" s="2"/>
      <c r="N199" s="2"/>
    </row>
    <row r="200" spans="1:14" ht="13.8" x14ac:dyDescent="0.25">
      <c r="A200" s="2"/>
      <c r="B200" s="2"/>
      <c r="C200" s="2"/>
      <c r="D200" s="2"/>
      <c r="E200" s="2"/>
      <c r="F200" s="2"/>
      <c r="G200" s="2"/>
      <c r="H200" s="2"/>
      <c r="I200" s="2"/>
      <c r="J200" s="2"/>
      <c r="K200" s="2"/>
      <c r="L200" s="2"/>
      <c r="M200" s="2"/>
      <c r="N200" s="2"/>
    </row>
    <row r="201" spans="1:14" ht="13.8" x14ac:dyDescent="0.25">
      <c r="A201" s="2"/>
      <c r="B201" s="2"/>
      <c r="C201" s="2"/>
      <c r="D201" s="2"/>
      <c r="E201" s="2"/>
      <c r="F201" s="2"/>
      <c r="G201" s="2"/>
      <c r="H201" s="2"/>
      <c r="I201" s="2"/>
      <c r="J201" s="2"/>
      <c r="K201" s="2"/>
      <c r="L201" s="2"/>
      <c r="M201" s="2"/>
      <c r="N201" s="2"/>
    </row>
    <row r="202" spans="1:14" ht="13.8" x14ac:dyDescent="0.25">
      <c r="A202" s="2"/>
      <c r="B202" s="2"/>
      <c r="C202" s="2"/>
      <c r="D202" s="2"/>
      <c r="E202" s="2"/>
      <c r="F202" s="2"/>
      <c r="G202" s="2"/>
      <c r="H202" s="2"/>
      <c r="I202" s="2"/>
      <c r="J202" s="2"/>
      <c r="K202" s="2"/>
      <c r="L202" s="2"/>
      <c r="M202" s="2"/>
      <c r="N202" s="2"/>
    </row>
    <row r="203" spans="1:14" ht="13.8" x14ac:dyDescent="0.25">
      <c r="A203" s="2"/>
      <c r="B203" s="2"/>
      <c r="C203" s="2"/>
      <c r="D203" s="2"/>
      <c r="E203" s="2"/>
      <c r="F203" s="2"/>
      <c r="G203" s="2"/>
      <c r="H203" s="2"/>
      <c r="I203" s="2"/>
      <c r="J203" s="2"/>
      <c r="K203" s="2"/>
      <c r="L203" s="2"/>
      <c r="M203" s="2"/>
      <c r="N203" s="2"/>
    </row>
    <row r="204" spans="1:14" ht="13.8" x14ac:dyDescent="0.25">
      <c r="A204" s="2"/>
      <c r="B204" s="2"/>
      <c r="C204" s="2"/>
      <c r="D204" s="2"/>
      <c r="E204" s="2"/>
      <c r="F204" s="2"/>
      <c r="G204" s="2"/>
      <c r="H204" s="2"/>
      <c r="I204" s="2"/>
      <c r="J204" s="2"/>
      <c r="K204" s="2"/>
      <c r="L204" s="2"/>
      <c r="M204" s="2"/>
      <c r="N204" s="2"/>
    </row>
    <row r="205" spans="1:14" ht="13.8" x14ac:dyDescent="0.25">
      <c r="A205" s="2"/>
      <c r="B205" s="2"/>
      <c r="C205" s="2"/>
      <c r="D205" s="2"/>
      <c r="E205" s="2"/>
      <c r="F205" s="2"/>
      <c r="G205" s="2"/>
      <c r="H205" s="2"/>
      <c r="I205" s="2"/>
      <c r="J205" s="2"/>
      <c r="K205" s="2"/>
      <c r="L205" s="2"/>
      <c r="M205" s="2"/>
      <c r="N205" s="2"/>
    </row>
    <row r="206" spans="1:14" ht="13.8" x14ac:dyDescent="0.25">
      <c r="A206" s="2"/>
      <c r="B206" s="2"/>
      <c r="C206" s="2"/>
      <c r="D206" s="2"/>
      <c r="E206" s="2"/>
      <c r="F206" s="2"/>
      <c r="G206" s="2"/>
      <c r="H206" s="2"/>
      <c r="I206" s="2"/>
      <c r="J206" s="2"/>
      <c r="K206" s="2"/>
      <c r="L206" s="2"/>
      <c r="M206" s="2"/>
      <c r="N206" s="2"/>
    </row>
    <row r="207" spans="1:14" ht="13.8" x14ac:dyDescent="0.25">
      <c r="A207" s="2"/>
      <c r="B207" s="2"/>
      <c r="C207" s="2"/>
      <c r="D207" s="2"/>
      <c r="E207" s="2"/>
      <c r="F207" s="2"/>
      <c r="G207" s="2"/>
      <c r="H207" s="2"/>
      <c r="I207" s="2"/>
      <c r="J207" s="2"/>
      <c r="K207" s="2"/>
      <c r="L207" s="2"/>
      <c r="M207" s="2"/>
      <c r="N207" s="2"/>
    </row>
    <row r="208" spans="1:14" ht="13.8" x14ac:dyDescent="0.25">
      <c r="A208" s="2"/>
      <c r="B208" s="2"/>
      <c r="C208" s="2"/>
      <c r="D208" s="2"/>
      <c r="E208" s="2"/>
      <c r="F208" s="2"/>
      <c r="G208" s="2"/>
      <c r="H208" s="2"/>
      <c r="I208" s="2"/>
      <c r="J208" s="2"/>
      <c r="K208" s="2"/>
      <c r="L208" s="2"/>
      <c r="M208" s="2"/>
      <c r="N208" s="2"/>
    </row>
    <row r="209" spans="1:14" ht="13.8" x14ac:dyDescent="0.25">
      <c r="A209" s="2"/>
      <c r="B209" s="2"/>
      <c r="C209" s="2"/>
      <c r="D209" s="2"/>
      <c r="E209" s="2"/>
      <c r="F209" s="2"/>
      <c r="G209" s="2"/>
      <c r="H209" s="2"/>
      <c r="I209" s="2"/>
      <c r="J209" s="2"/>
      <c r="K209" s="2"/>
      <c r="L209" s="2"/>
      <c r="M209" s="2"/>
      <c r="N209" s="2"/>
    </row>
    <row r="210" spans="1:14" ht="13.8" x14ac:dyDescent="0.25">
      <c r="A210" s="2"/>
      <c r="B210" s="2"/>
      <c r="C210" s="2"/>
      <c r="D210" s="2"/>
      <c r="E210" s="2"/>
      <c r="F210" s="2"/>
      <c r="G210" s="2"/>
      <c r="H210" s="2"/>
      <c r="I210" s="2"/>
      <c r="J210" s="2"/>
      <c r="K210" s="2"/>
      <c r="L210" s="2"/>
      <c r="M210" s="2"/>
      <c r="N210" s="2"/>
    </row>
    <row r="211" spans="1:14" ht="13.8" x14ac:dyDescent="0.25">
      <c r="A211" s="2"/>
      <c r="B211" s="2"/>
      <c r="C211" s="2"/>
      <c r="D211" s="2"/>
      <c r="E211" s="2"/>
      <c r="F211" s="2"/>
      <c r="G211" s="2"/>
      <c r="H211" s="2"/>
      <c r="I211" s="2"/>
      <c r="J211" s="2"/>
      <c r="K211" s="2"/>
      <c r="L211" s="2"/>
      <c r="M211" s="2"/>
      <c r="N211" s="2"/>
    </row>
    <row r="212" spans="1:14" ht="13.8" x14ac:dyDescent="0.25">
      <c r="A212" s="2"/>
      <c r="B212" s="2"/>
      <c r="C212" s="2"/>
      <c r="D212" s="2"/>
      <c r="E212" s="2"/>
      <c r="F212" s="2"/>
      <c r="G212" s="2"/>
      <c r="H212" s="2"/>
      <c r="I212" s="2"/>
      <c r="J212" s="2"/>
      <c r="K212" s="2"/>
      <c r="L212" s="2"/>
      <c r="M212" s="2"/>
      <c r="N212" s="2"/>
    </row>
    <row r="213" spans="1:14" ht="13.8" x14ac:dyDescent="0.25">
      <c r="A213" s="2"/>
      <c r="B213" s="2"/>
      <c r="C213" s="2"/>
      <c r="D213" s="2"/>
      <c r="E213" s="2"/>
      <c r="F213" s="2"/>
      <c r="G213" s="2"/>
      <c r="H213" s="2"/>
      <c r="I213" s="2"/>
      <c r="J213" s="2"/>
      <c r="K213" s="2"/>
      <c r="L213" s="2"/>
      <c r="M213" s="2"/>
      <c r="N213" s="2"/>
    </row>
    <row r="214" spans="1:14" ht="13.8" x14ac:dyDescent="0.25">
      <c r="A214" s="2"/>
      <c r="B214" s="2"/>
      <c r="C214" s="2"/>
      <c r="D214" s="2"/>
      <c r="E214" s="2"/>
      <c r="F214" s="2"/>
      <c r="G214" s="2"/>
      <c r="H214" s="2"/>
      <c r="I214" s="2"/>
      <c r="J214" s="2"/>
      <c r="K214" s="2"/>
      <c r="L214" s="2"/>
      <c r="M214" s="2"/>
      <c r="N214" s="2"/>
    </row>
    <row r="215" spans="1:14" ht="13.8" x14ac:dyDescent="0.25">
      <c r="A215" s="2"/>
      <c r="B215" s="2"/>
      <c r="C215" s="2"/>
      <c r="D215" s="2"/>
      <c r="E215" s="2"/>
      <c r="F215" s="2"/>
      <c r="G215" s="2"/>
      <c r="H215" s="2"/>
      <c r="I215" s="2"/>
      <c r="J215" s="2"/>
      <c r="K215" s="2"/>
      <c r="L215" s="2"/>
      <c r="M215" s="2"/>
      <c r="N215" s="2"/>
    </row>
    <row r="216" spans="1:14" ht="13.8" x14ac:dyDescent="0.25">
      <c r="A216" s="2"/>
      <c r="B216" s="2"/>
      <c r="C216" s="2"/>
      <c r="D216" s="2"/>
      <c r="E216" s="2"/>
      <c r="F216" s="2"/>
      <c r="G216" s="2"/>
      <c r="H216" s="2"/>
      <c r="I216" s="2"/>
      <c r="J216" s="2"/>
      <c r="K216" s="2"/>
      <c r="L216" s="2"/>
      <c r="M216" s="2"/>
      <c r="N216" s="2"/>
    </row>
    <row r="217" spans="1:14" ht="13.8" x14ac:dyDescent="0.25">
      <c r="A217" s="2"/>
      <c r="B217" s="2"/>
      <c r="C217" s="2"/>
      <c r="D217" s="2"/>
      <c r="E217" s="2"/>
      <c r="F217" s="2"/>
      <c r="G217" s="2"/>
      <c r="H217" s="2"/>
      <c r="I217" s="2"/>
      <c r="J217" s="2"/>
      <c r="K217" s="2"/>
      <c r="L217" s="2"/>
      <c r="M217" s="2"/>
      <c r="N217" s="2"/>
    </row>
    <row r="218" spans="1:14" ht="13.8" x14ac:dyDescent="0.25">
      <c r="A218" s="2"/>
      <c r="B218" s="2"/>
      <c r="C218" s="2"/>
      <c r="D218" s="2"/>
      <c r="E218" s="2"/>
      <c r="F218" s="2"/>
      <c r="G218" s="2"/>
      <c r="H218" s="2"/>
      <c r="I218" s="2"/>
      <c r="J218" s="2"/>
      <c r="K218" s="2"/>
      <c r="L218" s="2"/>
      <c r="M218" s="2"/>
      <c r="N218" s="2"/>
    </row>
    <row r="219" spans="1:14" ht="13.8" x14ac:dyDescent="0.25">
      <c r="A219" s="2"/>
      <c r="B219" s="2"/>
      <c r="C219" s="2"/>
      <c r="D219" s="2"/>
      <c r="E219" s="2"/>
      <c r="F219" s="2"/>
      <c r="G219" s="2"/>
      <c r="H219" s="2"/>
      <c r="I219" s="2"/>
      <c r="J219" s="2"/>
      <c r="K219" s="2"/>
      <c r="L219" s="2"/>
      <c r="M219" s="2"/>
      <c r="N219" s="2"/>
    </row>
    <row r="220" spans="1:14" ht="13.8" x14ac:dyDescent="0.25">
      <c r="A220" s="2"/>
      <c r="B220" s="2"/>
      <c r="C220" s="2"/>
      <c r="D220" s="2"/>
      <c r="E220" s="2"/>
      <c r="F220" s="2"/>
      <c r="G220" s="2"/>
      <c r="H220" s="2"/>
      <c r="I220" s="2"/>
      <c r="J220" s="2"/>
      <c r="K220" s="2"/>
      <c r="L220" s="2"/>
      <c r="M220" s="2"/>
      <c r="N220" s="2"/>
    </row>
    <row r="221" spans="1:14" ht="13.8" x14ac:dyDescent="0.25">
      <c r="A221" s="2"/>
      <c r="B221" s="2"/>
      <c r="C221" s="2"/>
      <c r="D221" s="2"/>
      <c r="E221" s="2"/>
      <c r="F221" s="2"/>
      <c r="G221" s="2"/>
      <c r="H221" s="2"/>
      <c r="I221" s="2"/>
      <c r="J221" s="2"/>
      <c r="K221" s="2"/>
      <c r="L221" s="2"/>
      <c r="M221" s="2"/>
      <c r="N221" s="2"/>
    </row>
    <row r="222" spans="1:14" ht="13.8" x14ac:dyDescent="0.25">
      <c r="A222" s="2"/>
      <c r="B222" s="2"/>
      <c r="C222" s="2"/>
      <c r="D222" s="2"/>
      <c r="E222" s="2"/>
      <c r="F222" s="2"/>
      <c r="G222" s="2"/>
      <c r="H222" s="2"/>
      <c r="I222" s="2"/>
      <c r="J222" s="2"/>
      <c r="K222" s="2"/>
      <c r="L222" s="2"/>
      <c r="M222" s="2"/>
      <c r="N222" s="2"/>
    </row>
    <row r="223" spans="1:14" ht="13.8" x14ac:dyDescent="0.25">
      <c r="A223" s="2"/>
      <c r="B223" s="2"/>
      <c r="C223" s="2"/>
      <c r="D223" s="2"/>
      <c r="E223" s="2"/>
      <c r="F223" s="2"/>
      <c r="G223" s="2"/>
      <c r="H223" s="2"/>
      <c r="I223" s="2"/>
      <c r="J223" s="2"/>
      <c r="K223" s="2"/>
      <c r="L223" s="2"/>
      <c r="M223" s="2"/>
      <c r="N223" s="2"/>
    </row>
    <row r="224" spans="1:14" ht="13.8" x14ac:dyDescent="0.25">
      <c r="A224" s="2"/>
      <c r="B224" s="2"/>
      <c r="C224" s="2"/>
      <c r="D224" s="2"/>
      <c r="E224" s="2"/>
      <c r="F224" s="2"/>
      <c r="G224" s="2"/>
      <c r="H224" s="2"/>
      <c r="I224" s="2"/>
      <c r="J224" s="2"/>
      <c r="K224" s="2"/>
      <c r="L224" s="2"/>
      <c r="M224" s="2"/>
      <c r="N224" s="2"/>
    </row>
    <row r="225" spans="1:14" ht="13.8" x14ac:dyDescent="0.25">
      <c r="A225" s="2"/>
      <c r="B225" s="2"/>
      <c r="C225" s="2"/>
      <c r="D225" s="2"/>
      <c r="E225" s="2"/>
      <c r="F225" s="2"/>
      <c r="G225" s="2"/>
      <c r="H225" s="2"/>
      <c r="I225" s="2"/>
      <c r="J225" s="2"/>
      <c r="K225" s="2"/>
      <c r="L225" s="2"/>
      <c r="M225" s="2"/>
      <c r="N225" s="2"/>
    </row>
    <row r="226" spans="1:14" ht="13.8" x14ac:dyDescent="0.25">
      <c r="A226" s="2"/>
      <c r="B226" s="2"/>
      <c r="C226" s="2"/>
      <c r="D226" s="2"/>
      <c r="E226" s="2"/>
      <c r="F226" s="2"/>
      <c r="G226" s="2"/>
      <c r="H226" s="2"/>
      <c r="I226" s="2"/>
      <c r="J226" s="2"/>
      <c r="K226" s="2"/>
      <c r="L226" s="2"/>
      <c r="M226" s="2"/>
      <c r="N226" s="2"/>
    </row>
    <row r="227" spans="1:14" ht="13.8" x14ac:dyDescent="0.25">
      <c r="A227" s="2"/>
      <c r="B227" s="2"/>
      <c r="C227" s="2"/>
      <c r="D227" s="2"/>
      <c r="E227" s="2"/>
      <c r="F227" s="2"/>
      <c r="G227" s="2"/>
      <c r="H227" s="2"/>
      <c r="I227" s="2"/>
      <c r="J227" s="2"/>
      <c r="K227" s="2"/>
      <c r="L227" s="2"/>
      <c r="M227" s="2"/>
      <c r="N227" s="2"/>
    </row>
    <row r="228" spans="1:14" ht="13.8" x14ac:dyDescent="0.25">
      <c r="A228" s="2"/>
      <c r="B228" s="2"/>
      <c r="C228" s="2"/>
      <c r="D228" s="2"/>
      <c r="E228" s="2"/>
      <c r="F228" s="2"/>
      <c r="G228" s="2"/>
      <c r="H228" s="2"/>
      <c r="I228" s="2"/>
      <c r="J228" s="2"/>
      <c r="K228" s="2"/>
      <c r="L228" s="2"/>
      <c r="M228" s="2"/>
      <c r="N228" s="2"/>
    </row>
    <row r="229" spans="1:14" ht="13.8" x14ac:dyDescent="0.25">
      <c r="A229" s="2"/>
      <c r="B229" s="2"/>
      <c r="C229" s="2"/>
      <c r="D229" s="2"/>
      <c r="E229" s="2"/>
      <c r="F229" s="2"/>
      <c r="G229" s="2"/>
      <c r="H229" s="2"/>
      <c r="I229" s="2"/>
      <c r="J229" s="2"/>
      <c r="K229" s="2"/>
      <c r="L229" s="2"/>
      <c r="M229" s="2"/>
      <c r="N229" s="2"/>
    </row>
    <row r="230" spans="1:14" ht="13.8" x14ac:dyDescent="0.25">
      <c r="A230" s="2"/>
      <c r="B230" s="2"/>
      <c r="C230" s="2"/>
      <c r="D230" s="2"/>
      <c r="E230" s="2"/>
      <c r="F230" s="2"/>
      <c r="G230" s="2"/>
      <c r="H230" s="2"/>
      <c r="I230" s="2"/>
      <c r="J230" s="2"/>
      <c r="K230" s="2"/>
      <c r="L230" s="2"/>
      <c r="M230" s="2"/>
      <c r="N230" s="2"/>
    </row>
    <row r="231" spans="1:14" ht="13.8" x14ac:dyDescent="0.25">
      <c r="A231" s="2"/>
      <c r="B231" s="2"/>
      <c r="C231" s="2"/>
      <c r="D231" s="2"/>
      <c r="E231" s="2"/>
      <c r="F231" s="2"/>
      <c r="G231" s="2"/>
      <c r="H231" s="2"/>
      <c r="I231" s="2"/>
      <c r="J231" s="2"/>
      <c r="K231" s="2"/>
      <c r="L231" s="2"/>
      <c r="M231" s="2"/>
      <c r="N231" s="2"/>
    </row>
    <row r="232" spans="1:14" ht="13.8" x14ac:dyDescent="0.25">
      <c r="A232" s="2"/>
      <c r="B232" s="2"/>
      <c r="C232" s="2"/>
      <c r="D232" s="2"/>
      <c r="E232" s="2"/>
      <c r="F232" s="2"/>
      <c r="G232" s="2"/>
      <c r="H232" s="2"/>
      <c r="I232" s="2"/>
      <c r="J232" s="2"/>
      <c r="K232" s="2"/>
      <c r="L232" s="2"/>
      <c r="M232" s="2"/>
      <c r="N232" s="2"/>
    </row>
    <row r="233" spans="1:14" ht="13.8" x14ac:dyDescent="0.25">
      <c r="A233" s="2"/>
      <c r="B233" s="2"/>
      <c r="C233" s="2"/>
      <c r="D233" s="2"/>
      <c r="E233" s="2"/>
      <c r="F233" s="2"/>
      <c r="G233" s="2"/>
      <c r="H233" s="2"/>
      <c r="I233" s="2"/>
      <c r="J233" s="2"/>
      <c r="K233" s="2"/>
      <c r="L233" s="2"/>
      <c r="M233" s="2"/>
      <c r="N233" s="2"/>
    </row>
    <row r="234" spans="1:14" ht="13.8" x14ac:dyDescent="0.25">
      <c r="A234" s="2"/>
      <c r="B234" s="2"/>
      <c r="C234" s="2"/>
      <c r="D234" s="2"/>
      <c r="E234" s="2"/>
      <c r="F234" s="2"/>
      <c r="G234" s="2"/>
      <c r="H234" s="2"/>
      <c r="I234" s="2"/>
      <c r="J234" s="2"/>
      <c r="K234" s="2"/>
      <c r="L234" s="2"/>
      <c r="M234" s="2"/>
      <c r="N234" s="2"/>
    </row>
    <row r="235" spans="1:14" ht="13.8" x14ac:dyDescent="0.25">
      <c r="A235" s="2"/>
      <c r="B235" s="2"/>
      <c r="C235" s="2"/>
      <c r="D235" s="2"/>
      <c r="E235" s="2"/>
      <c r="F235" s="2"/>
      <c r="G235" s="2"/>
      <c r="H235" s="2"/>
      <c r="I235" s="2"/>
      <c r="J235" s="2"/>
      <c r="K235" s="2"/>
      <c r="L235" s="2"/>
      <c r="M235" s="2"/>
      <c r="N235" s="2"/>
    </row>
    <row r="236" spans="1:14" ht="13.8" x14ac:dyDescent="0.25">
      <c r="A236" s="2"/>
      <c r="B236" s="2"/>
      <c r="C236" s="2"/>
      <c r="D236" s="2"/>
      <c r="E236" s="2"/>
      <c r="F236" s="2"/>
      <c r="G236" s="2"/>
      <c r="H236" s="2"/>
      <c r="I236" s="2"/>
      <c r="J236" s="2"/>
      <c r="K236" s="2"/>
      <c r="L236" s="2"/>
      <c r="M236" s="2"/>
      <c r="N236" s="2"/>
    </row>
    <row r="237" spans="1:14" ht="13.8" x14ac:dyDescent="0.25">
      <c r="A237" s="2"/>
      <c r="B237" s="2"/>
      <c r="C237" s="2"/>
      <c r="D237" s="2"/>
      <c r="E237" s="2"/>
      <c r="F237" s="2"/>
      <c r="G237" s="2"/>
      <c r="H237" s="2"/>
      <c r="I237" s="2"/>
      <c r="J237" s="2"/>
      <c r="K237" s="2"/>
      <c r="L237" s="2"/>
      <c r="M237" s="2"/>
      <c r="N237" s="2"/>
    </row>
    <row r="238" spans="1:14" ht="13.8" x14ac:dyDescent="0.25">
      <c r="A238" s="2"/>
      <c r="B238" s="2"/>
      <c r="C238" s="2"/>
      <c r="D238" s="2"/>
      <c r="E238" s="2"/>
      <c r="F238" s="2"/>
      <c r="G238" s="2"/>
      <c r="H238" s="2"/>
      <c r="I238" s="2"/>
      <c r="J238" s="2"/>
      <c r="K238" s="2"/>
      <c r="L238" s="2"/>
      <c r="M238" s="2"/>
      <c r="N238" s="2"/>
    </row>
    <row r="239" spans="1:14" ht="13.8" x14ac:dyDescent="0.25">
      <c r="A239" s="2"/>
      <c r="B239" s="2"/>
      <c r="C239" s="2"/>
      <c r="D239" s="2"/>
      <c r="E239" s="2"/>
      <c r="F239" s="2"/>
      <c r="G239" s="2"/>
      <c r="H239" s="2"/>
      <c r="I239" s="2"/>
      <c r="J239" s="2"/>
      <c r="K239" s="2"/>
      <c r="L239" s="2"/>
      <c r="M239" s="2"/>
      <c r="N239" s="2"/>
    </row>
    <row r="240" spans="1:14" ht="13.8" x14ac:dyDescent="0.25">
      <c r="A240" s="2"/>
      <c r="B240" s="2"/>
      <c r="C240" s="2"/>
      <c r="D240" s="2"/>
      <c r="E240" s="2"/>
      <c r="F240" s="2"/>
      <c r="G240" s="2"/>
      <c r="H240" s="2"/>
      <c r="I240" s="2"/>
      <c r="J240" s="2"/>
      <c r="K240" s="2"/>
      <c r="L240" s="2"/>
      <c r="M240" s="2"/>
      <c r="N240" s="2"/>
    </row>
    <row r="241" spans="1:14" ht="13.8" x14ac:dyDescent="0.25">
      <c r="A241" s="2"/>
      <c r="B241" s="2"/>
      <c r="C241" s="2"/>
      <c r="D241" s="2"/>
      <c r="E241" s="2"/>
      <c r="F241" s="2"/>
      <c r="G241" s="2"/>
      <c r="H241" s="2"/>
      <c r="I241" s="2"/>
      <c r="J241" s="2"/>
      <c r="K241" s="2"/>
      <c r="L241" s="2"/>
      <c r="M241" s="2"/>
      <c r="N241" s="2"/>
    </row>
    <row r="242" spans="1:14" ht="13.8" x14ac:dyDescent="0.25">
      <c r="A242" s="2"/>
      <c r="B242" s="2"/>
      <c r="C242" s="2"/>
      <c r="D242" s="2"/>
      <c r="E242" s="2"/>
      <c r="F242" s="2"/>
      <c r="G242" s="2"/>
      <c r="H242" s="2"/>
      <c r="I242" s="2"/>
      <c r="J242" s="2"/>
      <c r="K242" s="2"/>
      <c r="L242" s="2"/>
      <c r="M242" s="2"/>
      <c r="N242" s="2"/>
    </row>
    <row r="243" spans="1:14" ht="13.8" x14ac:dyDescent="0.25">
      <c r="A243" s="2"/>
      <c r="B243" s="2"/>
      <c r="C243" s="2"/>
      <c r="D243" s="2"/>
      <c r="E243" s="2"/>
      <c r="F243" s="2"/>
      <c r="G243" s="2"/>
      <c r="H243" s="2"/>
      <c r="I243" s="2"/>
      <c r="J243" s="2"/>
      <c r="K243" s="2"/>
      <c r="L243" s="2"/>
      <c r="M243" s="2"/>
      <c r="N243" s="2"/>
    </row>
    <row r="244" spans="1:14" ht="13.8" x14ac:dyDescent="0.25">
      <c r="A244" s="2"/>
      <c r="B244" s="2"/>
      <c r="C244" s="2"/>
      <c r="D244" s="2"/>
      <c r="E244" s="2"/>
      <c r="F244" s="2"/>
      <c r="G244" s="2"/>
      <c r="H244" s="2"/>
      <c r="I244" s="2"/>
      <c r="J244" s="2"/>
      <c r="K244" s="2"/>
      <c r="L244" s="2"/>
      <c r="M244" s="2"/>
      <c r="N244" s="2"/>
    </row>
    <row r="245" spans="1:14" ht="13.8" x14ac:dyDescent="0.25">
      <c r="A245" s="2"/>
      <c r="B245" s="2"/>
      <c r="C245" s="2"/>
      <c r="D245" s="2"/>
      <c r="E245" s="2"/>
      <c r="F245" s="2"/>
      <c r="G245" s="2"/>
      <c r="H245" s="2"/>
      <c r="I245" s="2"/>
      <c r="J245" s="2"/>
      <c r="K245" s="2"/>
      <c r="L245" s="2"/>
      <c r="M245" s="2"/>
      <c r="N245" s="2"/>
    </row>
    <row r="246" spans="1:14" ht="13.8" x14ac:dyDescent="0.25">
      <c r="A246" s="2"/>
      <c r="B246" s="2"/>
      <c r="C246" s="2"/>
      <c r="D246" s="2"/>
      <c r="E246" s="2"/>
      <c r="F246" s="2"/>
      <c r="G246" s="2"/>
      <c r="H246" s="2"/>
      <c r="I246" s="2"/>
      <c r="J246" s="2"/>
      <c r="K246" s="2"/>
      <c r="L246" s="2"/>
      <c r="M246" s="2"/>
      <c r="N246" s="2"/>
    </row>
    <row r="247" spans="1:14" ht="13.8" x14ac:dyDescent="0.25">
      <c r="A247" s="2"/>
      <c r="B247" s="2"/>
      <c r="C247" s="2"/>
      <c r="D247" s="2"/>
      <c r="E247" s="2"/>
      <c r="F247" s="2"/>
      <c r="G247" s="2"/>
      <c r="H247" s="2"/>
      <c r="I247" s="2"/>
      <c r="J247" s="2"/>
      <c r="K247" s="2"/>
      <c r="L247" s="2"/>
      <c r="M247" s="2"/>
      <c r="N247" s="2"/>
    </row>
    <row r="248" spans="1:14" ht="13.8" x14ac:dyDescent="0.25">
      <c r="A248" s="2"/>
      <c r="B248" s="2"/>
      <c r="C248" s="2"/>
      <c r="D248" s="2"/>
      <c r="E248" s="2"/>
      <c r="F248" s="2"/>
      <c r="G248" s="2"/>
      <c r="H248" s="2"/>
      <c r="I248" s="2"/>
      <c r="J248" s="2"/>
      <c r="K248" s="2"/>
      <c r="L248" s="2"/>
      <c r="M248" s="2"/>
      <c r="N248" s="2"/>
    </row>
    <row r="249" spans="1:14" ht="13.8" x14ac:dyDescent="0.25">
      <c r="A249" s="2"/>
      <c r="B249" s="2"/>
      <c r="C249" s="2"/>
      <c r="D249" s="2"/>
      <c r="E249" s="2"/>
      <c r="F249" s="2"/>
      <c r="G249" s="2"/>
      <c r="H249" s="2"/>
      <c r="I249" s="2"/>
      <c r="J249" s="2"/>
      <c r="K249" s="2"/>
      <c r="L249" s="2"/>
      <c r="M249" s="2"/>
      <c r="N249" s="2"/>
    </row>
    <row r="250" spans="1:14" ht="13.8" x14ac:dyDescent="0.25">
      <c r="A250" s="2"/>
      <c r="B250" s="2"/>
      <c r="C250" s="2"/>
      <c r="D250" s="2"/>
      <c r="E250" s="2"/>
      <c r="F250" s="2"/>
      <c r="G250" s="2"/>
      <c r="H250" s="2"/>
      <c r="I250" s="2"/>
      <c r="J250" s="2"/>
      <c r="K250" s="2"/>
      <c r="L250" s="2"/>
      <c r="M250" s="2"/>
      <c r="N250" s="2"/>
    </row>
    <row r="251" spans="1:14" ht="13.8" x14ac:dyDescent="0.25">
      <c r="A251" s="2"/>
      <c r="B251" s="2"/>
      <c r="C251" s="2"/>
      <c r="D251" s="2"/>
      <c r="E251" s="2"/>
      <c r="F251" s="2"/>
      <c r="G251" s="2"/>
      <c r="H251" s="2"/>
      <c r="I251" s="2"/>
      <c r="J251" s="2"/>
      <c r="K251" s="2"/>
      <c r="L251" s="2"/>
      <c r="M251" s="2"/>
      <c r="N251" s="2"/>
    </row>
    <row r="252" spans="1:14" ht="13.8" x14ac:dyDescent="0.25">
      <c r="A252" s="2"/>
      <c r="B252" s="2"/>
      <c r="C252" s="2"/>
      <c r="D252" s="2"/>
      <c r="E252" s="2"/>
      <c r="F252" s="2"/>
      <c r="G252" s="2"/>
      <c r="H252" s="2"/>
      <c r="I252" s="2"/>
      <c r="J252" s="2"/>
      <c r="K252" s="2"/>
      <c r="L252" s="2"/>
      <c r="M252" s="2"/>
      <c r="N252" s="2"/>
    </row>
    <row r="253" spans="1:14" ht="13.8" x14ac:dyDescent="0.25">
      <c r="A253" s="2"/>
      <c r="B253" s="2"/>
      <c r="C253" s="2"/>
      <c r="D253" s="2"/>
      <c r="E253" s="2"/>
      <c r="F253" s="2"/>
      <c r="G253" s="2"/>
      <c r="H253" s="2"/>
      <c r="I253" s="2"/>
      <c r="J253" s="2"/>
      <c r="K253" s="2"/>
      <c r="L253" s="2"/>
      <c r="M253" s="2"/>
      <c r="N253" s="2"/>
    </row>
    <row r="254" spans="1:14" ht="13.8" x14ac:dyDescent="0.25">
      <c r="A254" s="2"/>
      <c r="B254" s="2"/>
      <c r="C254" s="2"/>
      <c r="D254" s="2"/>
      <c r="E254" s="2"/>
      <c r="F254" s="2"/>
      <c r="G254" s="2"/>
      <c r="H254" s="2"/>
      <c r="I254" s="2"/>
      <c r="J254" s="2"/>
      <c r="K254" s="2"/>
      <c r="L254" s="2"/>
      <c r="M254" s="2"/>
      <c r="N254" s="2"/>
    </row>
    <row r="255" spans="1:14" ht="13.8" x14ac:dyDescent="0.25">
      <c r="A255" s="2"/>
      <c r="B255" s="2"/>
      <c r="C255" s="2"/>
      <c r="D255" s="2"/>
      <c r="E255" s="2"/>
      <c r="F255" s="2"/>
      <c r="G255" s="2"/>
      <c r="H255" s="2"/>
      <c r="I255" s="2"/>
      <c r="J255" s="2"/>
      <c r="K255" s="2"/>
      <c r="L255" s="2"/>
      <c r="M255" s="2"/>
      <c r="N255" s="2"/>
    </row>
    <row r="256" spans="1:14" ht="13.8" x14ac:dyDescent="0.25">
      <c r="A256" s="2"/>
      <c r="B256" s="2"/>
      <c r="C256" s="2"/>
      <c r="D256" s="2"/>
      <c r="E256" s="2"/>
      <c r="F256" s="2"/>
      <c r="G256" s="2"/>
      <c r="H256" s="2"/>
      <c r="I256" s="2"/>
      <c r="J256" s="2"/>
      <c r="K256" s="2"/>
      <c r="L256" s="2"/>
      <c r="M256" s="2"/>
      <c r="N256" s="2"/>
    </row>
    <row r="257" spans="1:14" ht="13.8" x14ac:dyDescent="0.25">
      <c r="A257" s="2"/>
      <c r="B257" s="2"/>
      <c r="C257" s="2"/>
      <c r="D257" s="2"/>
      <c r="E257" s="2"/>
      <c r="F257" s="2"/>
      <c r="G257" s="2"/>
      <c r="H257" s="2"/>
      <c r="I257" s="2"/>
      <c r="J257" s="2"/>
      <c r="K257" s="2"/>
      <c r="L257" s="2"/>
      <c r="M257" s="2"/>
      <c r="N257" s="2"/>
    </row>
    <row r="258" spans="1:14" ht="13.8" x14ac:dyDescent="0.25">
      <c r="A258" s="2"/>
      <c r="B258" s="2"/>
      <c r="C258" s="2"/>
      <c r="D258" s="2"/>
      <c r="E258" s="2"/>
      <c r="F258" s="2"/>
      <c r="G258" s="2"/>
      <c r="H258" s="2"/>
      <c r="I258" s="2"/>
      <c r="J258" s="2"/>
      <c r="K258" s="2"/>
      <c r="L258" s="2"/>
      <c r="M258" s="2"/>
      <c r="N258" s="2"/>
    </row>
    <row r="259" spans="1:14" ht="13.8" x14ac:dyDescent="0.25">
      <c r="A259" s="2"/>
      <c r="B259" s="2"/>
      <c r="C259" s="2"/>
      <c r="D259" s="2"/>
      <c r="E259" s="2"/>
      <c r="F259" s="2"/>
      <c r="G259" s="2"/>
      <c r="H259" s="2"/>
      <c r="I259" s="2"/>
      <c r="J259" s="2"/>
      <c r="K259" s="2"/>
      <c r="L259" s="2"/>
      <c r="M259" s="2"/>
      <c r="N259" s="2"/>
    </row>
    <row r="260" spans="1:14" ht="13.8" x14ac:dyDescent="0.25">
      <c r="A260" s="2"/>
      <c r="B260" s="2"/>
      <c r="C260" s="2"/>
      <c r="D260" s="2"/>
      <c r="E260" s="2"/>
      <c r="F260" s="2"/>
      <c r="G260" s="2"/>
      <c r="H260" s="2"/>
      <c r="I260" s="2"/>
      <c r="J260" s="2"/>
      <c r="K260" s="2"/>
      <c r="L260" s="2"/>
      <c r="M260" s="2"/>
      <c r="N260" s="2"/>
    </row>
    <row r="261" spans="1:14" ht="13.8" x14ac:dyDescent="0.25">
      <c r="A261" s="2"/>
      <c r="B261" s="2"/>
      <c r="C261" s="2"/>
      <c r="D261" s="2"/>
      <c r="E261" s="2"/>
      <c r="F261" s="2"/>
      <c r="G261" s="2"/>
      <c r="H261" s="2"/>
      <c r="I261" s="2"/>
      <c r="J261" s="2"/>
      <c r="K261" s="2"/>
      <c r="L261" s="2"/>
      <c r="M261" s="2"/>
      <c r="N261" s="2"/>
    </row>
    <row r="262" spans="1:14" ht="13.8" x14ac:dyDescent="0.25">
      <c r="A262" s="2"/>
      <c r="B262" s="2"/>
      <c r="C262" s="2"/>
      <c r="D262" s="2"/>
      <c r="E262" s="2"/>
      <c r="F262" s="2"/>
      <c r="G262" s="2"/>
      <c r="H262" s="2"/>
      <c r="I262" s="2"/>
      <c r="J262" s="2"/>
      <c r="K262" s="2"/>
      <c r="L262" s="2"/>
      <c r="M262" s="2"/>
      <c r="N262" s="2"/>
    </row>
    <row r="263" spans="1:14" ht="13.8" x14ac:dyDescent="0.25">
      <c r="A263" s="2"/>
      <c r="B263" s="2"/>
      <c r="C263" s="2"/>
      <c r="D263" s="2"/>
      <c r="E263" s="2"/>
      <c r="F263" s="2"/>
      <c r="G263" s="2"/>
      <c r="H263" s="2"/>
      <c r="I263" s="2"/>
      <c r="J263" s="2"/>
      <c r="K263" s="2"/>
      <c r="L263" s="2"/>
      <c r="M263" s="2"/>
      <c r="N263" s="2"/>
    </row>
    <row r="264" spans="1:14" ht="13.8" x14ac:dyDescent="0.25">
      <c r="A264" s="2"/>
      <c r="B264" s="2"/>
      <c r="C264" s="2"/>
      <c r="D264" s="2"/>
      <c r="E264" s="2"/>
      <c r="F264" s="2"/>
      <c r="G264" s="2"/>
      <c r="H264" s="2"/>
      <c r="I264" s="2"/>
      <c r="J264" s="2"/>
      <c r="K264" s="2"/>
      <c r="L264" s="2"/>
      <c r="M264" s="2"/>
      <c r="N264" s="2"/>
    </row>
    <row r="265" spans="1:14" ht="13.8" x14ac:dyDescent="0.25">
      <c r="A265" s="2"/>
      <c r="B265" s="2"/>
      <c r="C265" s="2"/>
      <c r="D265" s="2"/>
      <c r="E265" s="2"/>
      <c r="F265" s="2"/>
      <c r="G265" s="2"/>
      <c r="H265" s="2"/>
      <c r="I265" s="2"/>
      <c r="J265" s="2"/>
      <c r="K265" s="2"/>
      <c r="L265" s="2"/>
      <c r="M265" s="2"/>
      <c r="N265" s="2"/>
    </row>
    <row r="266" spans="1:14" ht="13.8" x14ac:dyDescent="0.25">
      <c r="A266" s="2"/>
      <c r="B266" s="2"/>
      <c r="C266" s="2"/>
      <c r="D266" s="2"/>
      <c r="E266" s="2"/>
      <c r="F266" s="2"/>
      <c r="G266" s="2"/>
      <c r="H266" s="2"/>
      <c r="I266" s="2"/>
      <c r="J266" s="2"/>
      <c r="K266" s="2"/>
      <c r="L266" s="2"/>
      <c r="M266" s="2"/>
      <c r="N266" s="2"/>
    </row>
    <row r="267" spans="1:14" ht="13.8" x14ac:dyDescent="0.25">
      <c r="A267" s="2"/>
      <c r="B267" s="2"/>
      <c r="C267" s="2"/>
      <c r="D267" s="2"/>
      <c r="E267" s="2"/>
      <c r="F267" s="2"/>
      <c r="G267" s="2"/>
      <c r="H267" s="2"/>
      <c r="I267" s="2"/>
      <c r="J267" s="2"/>
      <c r="K267" s="2"/>
      <c r="L267" s="2"/>
      <c r="M267" s="2"/>
      <c r="N267" s="2"/>
    </row>
    <row r="268" spans="1:14" ht="13.8" x14ac:dyDescent="0.25">
      <c r="A268" s="2"/>
      <c r="B268" s="2"/>
      <c r="C268" s="2"/>
      <c r="D268" s="2"/>
      <c r="E268" s="2"/>
      <c r="F268" s="2"/>
      <c r="G268" s="2"/>
      <c r="H268" s="2"/>
      <c r="I268" s="2"/>
      <c r="J268" s="2"/>
      <c r="K268" s="2"/>
      <c r="L268" s="2"/>
      <c r="M268" s="2"/>
      <c r="N268" s="2"/>
    </row>
    <row r="269" spans="1:14" ht="13.8" x14ac:dyDescent="0.25">
      <c r="A269" s="2"/>
      <c r="B269" s="2"/>
      <c r="C269" s="2"/>
      <c r="D269" s="2"/>
      <c r="E269" s="2"/>
      <c r="F269" s="2"/>
      <c r="G269" s="2"/>
      <c r="H269" s="2"/>
      <c r="I269" s="2"/>
      <c r="J269" s="2"/>
      <c r="K269" s="2"/>
      <c r="L269" s="2"/>
      <c r="M269" s="2"/>
      <c r="N269" s="2"/>
    </row>
    <row r="270" spans="1:14" ht="13.8" x14ac:dyDescent="0.25">
      <c r="A270" s="2"/>
      <c r="B270" s="2"/>
      <c r="C270" s="2"/>
      <c r="D270" s="2"/>
      <c r="E270" s="2"/>
      <c r="F270" s="2"/>
      <c r="G270" s="2"/>
      <c r="H270" s="2"/>
      <c r="I270" s="2"/>
      <c r="J270" s="2"/>
      <c r="K270" s="2"/>
      <c r="L270" s="2"/>
      <c r="M270" s="2"/>
      <c r="N270" s="2"/>
    </row>
    <row r="271" spans="1:14" ht="13.8" x14ac:dyDescent="0.25">
      <c r="A271" s="2"/>
      <c r="B271" s="2"/>
      <c r="C271" s="2"/>
      <c r="D271" s="2"/>
      <c r="E271" s="2"/>
      <c r="F271" s="2"/>
      <c r="G271" s="2"/>
      <c r="H271" s="2"/>
      <c r="I271" s="2"/>
      <c r="J271" s="2"/>
      <c r="K271" s="2"/>
      <c r="L271" s="2"/>
      <c r="M271" s="2"/>
      <c r="N271" s="2"/>
    </row>
    <row r="272" spans="1:14" ht="13.8" x14ac:dyDescent="0.25">
      <c r="A272" s="2"/>
      <c r="B272" s="2"/>
      <c r="C272" s="2"/>
      <c r="D272" s="2"/>
      <c r="E272" s="2"/>
      <c r="F272" s="2"/>
      <c r="G272" s="2"/>
      <c r="H272" s="2"/>
      <c r="I272" s="2"/>
      <c r="J272" s="2"/>
      <c r="K272" s="2"/>
      <c r="L272" s="2"/>
      <c r="M272" s="2"/>
      <c r="N272" s="2"/>
    </row>
    <row r="273" spans="1:14" ht="13.8" x14ac:dyDescent="0.25">
      <c r="A273" s="2"/>
      <c r="B273" s="2"/>
      <c r="C273" s="2"/>
      <c r="D273" s="2"/>
      <c r="E273" s="2"/>
      <c r="F273" s="2"/>
      <c r="G273" s="2"/>
      <c r="H273" s="2"/>
      <c r="I273" s="2"/>
      <c r="J273" s="2"/>
      <c r="K273" s="2"/>
      <c r="L273" s="2"/>
      <c r="M273" s="2"/>
      <c r="N273" s="2"/>
    </row>
    <row r="274" spans="1:14" ht="13.8" x14ac:dyDescent="0.25">
      <c r="A274" s="2"/>
      <c r="B274" s="2"/>
      <c r="C274" s="2"/>
      <c r="D274" s="2"/>
      <c r="E274" s="2"/>
      <c r="F274" s="2"/>
      <c r="G274" s="2"/>
      <c r="H274" s="2"/>
      <c r="I274" s="2"/>
      <c r="J274" s="2"/>
      <c r="K274" s="2"/>
      <c r="L274" s="2"/>
      <c r="M274" s="2"/>
      <c r="N274" s="2"/>
    </row>
    <row r="275" spans="1:14" ht="13.8" x14ac:dyDescent="0.25">
      <c r="A275" s="2"/>
      <c r="B275" s="2"/>
      <c r="C275" s="2"/>
      <c r="D275" s="2"/>
      <c r="E275" s="2"/>
      <c r="F275" s="2"/>
      <c r="G275" s="2"/>
      <c r="H275" s="2"/>
      <c r="I275" s="2"/>
      <c r="J275" s="2"/>
      <c r="K275" s="2"/>
      <c r="L275" s="2"/>
      <c r="M275" s="2"/>
      <c r="N275" s="2"/>
    </row>
    <row r="276" spans="1:14" ht="13.8" x14ac:dyDescent="0.25">
      <c r="A276" s="2"/>
      <c r="B276" s="2"/>
      <c r="C276" s="2"/>
      <c r="D276" s="2"/>
      <c r="E276" s="2"/>
      <c r="F276" s="2"/>
      <c r="G276" s="2"/>
      <c r="H276" s="2"/>
      <c r="I276" s="2"/>
      <c r="J276" s="2"/>
      <c r="K276" s="2"/>
      <c r="L276" s="2"/>
      <c r="M276" s="2"/>
      <c r="N276" s="2"/>
    </row>
    <row r="277" spans="1:14" ht="13.8" x14ac:dyDescent="0.25">
      <c r="A277" s="2"/>
      <c r="B277" s="2"/>
      <c r="C277" s="2"/>
      <c r="D277" s="2"/>
      <c r="E277" s="2"/>
      <c r="F277" s="2"/>
      <c r="G277" s="2"/>
      <c r="H277" s="2"/>
      <c r="I277" s="2"/>
      <c r="J277" s="2"/>
      <c r="K277" s="2"/>
      <c r="L277" s="2"/>
      <c r="M277" s="2"/>
      <c r="N277" s="2"/>
    </row>
    <row r="278" spans="1:14" ht="13.8" x14ac:dyDescent="0.25">
      <c r="A278" s="2"/>
      <c r="B278" s="2"/>
      <c r="C278" s="2"/>
      <c r="D278" s="2"/>
      <c r="E278" s="2"/>
      <c r="F278" s="2"/>
      <c r="G278" s="2"/>
      <c r="H278" s="2"/>
      <c r="I278" s="2"/>
      <c r="J278" s="2"/>
      <c r="K278" s="2"/>
      <c r="L278" s="2"/>
      <c r="M278" s="2"/>
      <c r="N278" s="2"/>
    </row>
    <row r="279" spans="1:14" ht="13.8" x14ac:dyDescent="0.25">
      <c r="A279" s="2"/>
      <c r="B279" s="2"/>
      <c r="C279" s="2"/>
      <c r="D279" s="2"/>
      <c r="E279" s="2"/>
      <c r="F279" s="2"/>
      <c r="G279" s="2"/>
      <c r="H279" s="2"/>
      <c r="I279" s="2"/>
      <c r="J279" s="2"/>
      <c r="K279" s="2"/>
      <c r="L279" s="2"/>
      <c r="M279" s="2"/>
      <c r="N279" s="2"/>
    </row>
    <row r="280" spans="1:14" ht="13.8" x14ac:dyDescent="0.25">
      <c r="A280" s="2"/>
      <c r="B280" s="2"/>
      <c r="C280" s="2"/>
      <c r="D280" s="2"/>
      <c r="E280" s="2"/>
      <c r="F280" s="2"/>
      <c r="G280" s="2"/>
      <c r="H280" s="2"/>
      <c r="I280" s="2"/>
      <c r="J280" s="2"/>
      <c r="K280" s="2"/>
      <c r="L280" s="2"/>
      <c r="M280" s="2"/>
      <c r="N280" s="2"/>
    </row>
    <row r="281" spans="1:14" ht="13.8" x14ac:dyDescent="0.25">
      <c r="A281" s="2"/>
      <c r="B281" s="2"/>
      <c r="C281" s="2"/>
      <c r="D281" s="2"/>
      <c r="E281" s="2"/>
      <c r="F281" s="2"/>
      <c r="G281" s="2"/>
      <c r="H281" s="2"/>
      <c r="I281" s="2"/>
      <c r="J281" s="2"/>
      <c r="K281" s="2"/>
      <c r="L281" s="2"/>
      <c r="M281" s="2"/>
      <c r="N281" s="2"/>
    </row>
    <row r="282" spans="1:14" ht="13.8" x14ac:dyDescent="0.25">
      <c r="A282" s="2"/>
      <c r="B282" s="2"/>
      <c r="C282" s="2"/>
      <c r="D282" s="2"/>
      <c r="E282" s="2"/>
      <c r="F282" s="2"/>
      <c r="G282" s="2"/>
      <c r="H282" s="2"/>
      <c r="I282" s="2"/>
      <c r="J282" s="2"/>
      <c r="K282" s="2"/>
      <c r="L282" s="2"/>
      <c r="M282" s="2"/>
      <c r="N282" s="2"/>
    </row>
    <row r="283" spans="1:14" ht="13.8" x14ac:dyDescent="0.25">
      <c r="A283" s="2"/>
      <c r="B283" s="2"/>
      <c r="C283" s="2"/>
      <c r="D283" s="2"/>
      <c r="E283" s="2"/>
      <c r="F283" s="2"/>
      <c r="G283" s="2"/>
      <c r="H283" s="2"/>
      <c r="I283" s="2"/>
      <c r="J283" s="2"/>
      <c r="K283" s="2"/>
      <c r="L283" s="2"/>
      <c r="M283" s="2"/>
      <c r="N283" s="2"/>
    </row>
    <row r="284" spans="1:14" ht="13.8" x14ac:dyDescent="0.25">
      <c r="A284" s="2"/>
      <c r="B284" s="2"/>
      <c r="C284" s="2"/>
      <c r="D284" s="2"/>
      <c r="E284" s="2"/>
      <c r="F284" s="2"/>
      <c r="G284" s="2"/>
      <c r="H284" s="2"/>
      <c r="I284" s="2"/>
      <c r="J284" s="2"/>
      <c r="K284" s="2"/>
      <c r="L284" s="2"/>
      <c r="M284" s="2"/>
      <c r="N284" s="2"/>
    </row>
    <row r="285" spans="1:14" ht="13.8" x14ac:dyDescent="0.25">
      <c r="A285" s="2"/>
      <c r="B285" s="2"/>
      <c r="C285" s="2"/>
      <c r="D285" s="2"/>
      <c r="E285" s="2"/>
      <c r="F285" s="2"/>
      <c r="G285" s="2"/>
      <c r="H285" s="2"/>
      <c r="I285" s="2"/>
      <c r="J285" s="2"/>
      <c r="K285" s="2"/>
      <c r="L285" s="2"/>
      <c r="M285" s="2"/>
      <c r="N285" s="2"/>
    </row>
    <row r="286" spans="1:14" ht="13.8" x14ac:dyDescent="0.25">
      <c r="A286" s="2"/>
      <c r="B286" s="2"/>
      <c r="C286" s="2"/>
      <c r="D286" s="2"/>
      <c r="E286" s="2"/>
      <c r="F286" s="2"/>
      <c r="G286" s="2"/>
      <c r="H286" s="2"/>
      <c r="I286" s="2"/>
      <c r="J286" s="2"/>
      <c r="K286" s="2"/>
      <c r="L286" s="2"/>
      <c r="M286" s="2"/>
      <c r="N286" s="2"/>
    </row>
    <row r="287" spans="1:14" ht="13.8" x14ac:dyDescent="0.25">
      <c r="A287" s="2"/>
      <c r="B287" s="2"/>
      <c r="C287" s="2"/>
      <c r="D287" s="2"/>
      <c r="E287" s="2"/>
      <c r="F287" s="2"/>
      <c r="G287" s="2"/>
      <c r="H287" s="2"/>
      <c r="I287" s="2"/>
      <c r="J287" s="2"/>
      <c r="K287" s="2"/>
      <c r="L287" s="2"/>
      <c r="M287" s="2"/>
      <c r="N287" s="2"/>
    </row>
    <row r="288" spans="1:14" ht="13.8" x14ac:dyDescent="0.25">
      <c r="A288" s="2"/>
      <c r="B288" s="2"/>
      <c r="C288" s="2"/>
      <c r="D288" s="2"/>
      <c r="E288" s="2"/>
      <c r="F288" s="2"/>
      <c r="G288" s="2"/>
      <c r="H288" s="2"/>
      <c r="I288" s="2"/>
      <c r="J288" s="2"/>
      <c r="K288" s="2"/>
      <c r="L288" s="2"/>
      <c r="M288" s="2"/>
      <c r="N288" s="2"/>
    </row>
    <row r="289" spans="1:14" ht="13.8" x14ac:dyDescent="0.25">
      <c r="A289" s="2"/>
      <c r="B289" s="2"/>
      <c r="C289" s="2"/>
      <c r="D289" s="2"/>
      <c r="E289" s="2"/>
      <c r="F289" s="2"/>
      <c r="G289" s="2"/>
      <c r="H289" s="2"/>
      <c r="I289" s="2"/>
      <c r="J289" s="2"/>
      <c r="K289" s="2"/>
      <c r="L289" s="2"/>
      <c r="M289" s="2"/>
      <c r="N289" s="2"/>
    </row>
    <row r="290" spans="1:14" ht="13.8" x14ac:dyDescent="0.25">
      <c r="A290" s="2"/>
      <c r="B290" s="2"/>
      <c r="C290" s="2"/>
      <c r="D290" s="2"/>
      <c r="E290" s="2"/>
      <c r="F290" s="2"/>
      <c r="G290" s="2"/>
      <c r="H290" s="2"/>
      <c r="I290" s="2"/>
      <c r="J290" s="2"/>
      <c r="K290" s="2"/>
      <c r="L290" s="2"/>
      <c r="M290" s="2"/>
      <c r="N290" s="2"/>
    </row>
    <row r="291" spans="1:14" ht="13.8" x14ac:dyDescent="0.25">
      <c r="A291" s="2"/>
      <c r="B291" s="2"/>
      <c r="C291" s="2"/>
      <c r="D291" s="2"/>
      <c r="E291" s="2"/>
      <c r="F291" s="2"/>
      <c r="G291" s="2"/>
      <c r="H291" s="2"/>
      <c r="I291" s="2"/>
      <c r="J291" s="2"/>
      <c r="K291" s="2"/>
      <c r="L291" s="2"/>
      <c r="M291" s="2"/>
      <c r="N291" s="2"/>
    </row>
    <row r="292" spans="1:14" ht="13.8" x14ac:dyDescent="0.25">
      <c r="A292" s="2"/>
      <c r="B292" s="2"/>
      <c r="C292" s="2"/>
      <c r="D292" s="2"/>
      <c r="E292" s="2"/>
      <c r="F292" s="2"/>
      <c r="G292" s="2"/>
      <c r="H292" s="2"/>
      <c r="I292" s="2"/>
      <c r="J292" s="2"/>
      <c r="K292" s="2"/>
      <c r="L292" s="2"/>
      <c r="M292" s="2"/>
      <c r="N292" s="2"/>
    </row>
    <row r="293" spans="1:14" ht="13.8" x14ac:dyDescent="0.25">
      <c r="A293" s="2"/>
      <c r="B293" s="2"/>
      <c r="C293" s="2"/>
      <c r="D293" s="2"/>
      <c r="E293" s="2"/>
      <c r="F293" s="2"/>
      <c r="G293" s="2"/>
      <c r="H293" s="2"/>
      <c r="I293" s="2"/>
      <c r="J293" s="2"/>
      <c r="K293" s="2"/>
      <c r="L293" s="2"/>
      <c r="M293" s="2"/>
      <c r="N293" s="2"/>
    </row>
    <row r="294" spans="1:14" ht="13.8" x14ac:dyDescent="0.25">
      <c r="A294" s="2"/>
      <c r="B294" s="2"/>
      <c r="C294" s="2"/>
      <c r="D294" s="2"/>
      <c r="E294" s="2"/>
      <c r="F294" s="2"/>
      <c r="G294" s="2"/>
      <c r="H294" s="2"/>
      <c r="I294" s="2"/>
      <c r="J294" s="2"/>
      <c r="K294" s="2"/>
      <c r="L294" s="2"/>
      <c r="M294" s="2"/>
      <c r="N294" s="2"/>
    </row>
    <row r="295" spans="1:14" ht="13.8" x14ac:dyDescent="0.25">
      <c r="A295" s="2"/>
      <c r="B295" s="2"/>
      <c r="C295" s="2"/>
      <c r="D295" s="2"/>
      <c r="E295" s="2"/>
      <c r="F295" s="2"/>
      <c r="G295" s="2"/>
      <c r="H295" s="2"/>
      <c r="I295" s="2"/>
      <c r="J295" s="2"/>
      <c r="K295" s="2"/>
      <c r="L295" s="2"/>
      <c r="M295" s="2"/>
      <c r="N295" s="2"/>
    </row>
    <row r="296" spans="1:14" ht="13.8" x14ac:dyDescent="0.25">
      <c r="A296" s="2"/>
      <c r="B296" s="2"/>
      <c r="C296" s="2"/>
      <c r="D296" s="2"/>
      <c r="E296" s="2"/>
      <c r="F296" s="2"/>
      <c r="G296" s="2"/>
      <c r="H296" s="2"/>
      <c r="I296" s="2"/>
      <c r="J296" s="2"/>
      <c r="K296" s="2"/>
      <c r="L296" s="2"/>
      <c r="M296" s="2"/>
      <c r="N296" s="2"/>
    </row>
    <row r="297" spans="1:14" ht="13.8" x14ac:dyDescent="0.25">
      <c r="A297" s="2"/>
      <c r="B297" s="2"/>
      <c r="C297" s="2"/>
      <c r="D297" s="2"/>
      <c r="E297" s="2"/>
      <c r="F297" s="2"/>
      <c r="G297" s="2"/>
      <c r="H297" s="2"/>
      <c r="I297" s="2"/>
      <c r="J297" s="2"/>
      <c r="K297" s="2"/>
      <c r="L297" s="2"/>
      <c r="M297" s="2"/>
      <c r="N297" s="2"/>
    </row>
    <row r="298" spans="1:14" ht="13.8" x14ac:dyDescent="0.25">
      <c r="A298" s="2"/>
      <c r="B298" s="2"/>
      <c r="C298" s="2"/>
      <c r="D298" s="2"/>
      <c r="E298" s="2"/>
      <c r="F298" s="2"/>
      <c r="G298" s="2"/>
      <c r="H298" s="2"/>
      <c r="I298" s="2"/>
      <c r="J298" s="2"/>
      <c r="K298" s="2"/>
      <c r="L298" s="2"/>
      <c r="M298" s="2"/>
      <c r="N298" s="2"/>
    </row>
    <row r="299" spans="1:14" ht="13.8" x14ac:dyDescent="0.25">
      <c r="A299" s="2"/>
      <c r="B299" s="2"/>
      <c r="C299" s="2"/>
      <c r="D299" s="2"/>
      <c r="E299" s="2"/>
      <c r="F299" s="2"/>
      <c r="G299" s="2"/>
      <c r="H299" s="2"/>
      <c r="I299" s="2"/>
      <c r="J299" s="2"/>
      <c r="K299" s="2"/>
      <c r="L299" s="2"/>
      <c r="M299" s="2"/>
      <c r="N299" s="2"/>
    </row>
    <row r="300" spans="1:14" ht="13.8" x14ac:dyDescent="0.25">
      <c r="A300" s="2"/>
      <c r="B300" s="2"/>
      <c r="C300" s="2"/>
      <c r="D300" s="2"/>
      <c r="E300" s="2"/>
      <c r="F300" s="2"/>
      <c r="G300" s="2"/>
      <c r="H300" s="2"/>
      <c r="I300" s="2"/>
      <c r="J300" s="2"/>
      <c r="K300" s="2"/>
      <c r="L300" s="2"/>
      <c r="M300" s="2"/>
      <c r="N300" s="2"/>
    </row>
    <row r="301" spans="1:14" ht="13.8" x14ac:dyDescent="0.25">
      <c r="A301" s="2"/>
      <c r="B301" s="2"/>
      <c r="C301" s="2"/>
      <c r="D301" s="2"/>
      <c r="E301" s="2"/>
      <c r="F301" s="2"/>
      <c r="G301" s="2"/>
      <c r="H301" s="2"/>
      <c r="I301" s="2"/>
      <c r="J301" s="2"/>
      <c r="K301" s="2"/>
      <c r="L301" s="2"/>
      <c r="M301" s="2"/>
      <c r="N301" s="2"/>
    </row>
    <row r="302" spans="1:14" ht="13.8" x14ac:dyDescent="0.25">
      <c r="A302" s="2"/>
      <c r="B302" s="2"/>
      <c r="C302" s="2"/>
      <c r="D302" s="2"/>
      <c r="E302" s="2"/>
      <c r="F302" s="2"/>
      <c r="G302" s="2"/>
      <c r="H302" s="2"/>
      <c r="I302" s="2"/>
      <c r="J302" s="2"/>
      <c r="K302" s="2"/>
      <c r="L302" s="2"/>
      <c r="M302" s="2"/>
      <c r="N302" s="2"/>
    </row>
    <row r="303" spans="1:14" ht="13.8" x14ac:dyDescent="0.25">
      <c r="A303" s="2"/>
      <c r="B303" s="2"/>
      <c r="C303" s="2"/>
      <c r="D303" s="2"/>
      <c r="E303" s="2"/>
      <c r="F303" s="2"/>
      <c r="G303" s="2"/>
      <c r="H303" s="2"/>
      <c r="I303" s="2"/>
      <c r="J303" s="2"/>
      <c r="K303" s="2"/>
      <c r="L303" s="2"/>
      <c r="M303" s="2"/>
      <c r="N303" s="2"/>
    </row>
    <row r="304" spans="1:14" ht="13.8" x14ac:dyDescent="0.25">
      <c r="A304" s="2"/>
      <c r="B304" s="2"/>
      <c r="C304" s="2"/>
      <c r="D304" s="2"/>
      <c r="E304" s="2"/>
      <c r="F304" s="2"/>
      <c r="G304" s="2"/>
      <c r="H304" s="2"/>
      <c r="I304" s="2"/>
      <c r="J304" s="2"/>
      <c r="K304" s="2"/>
      <c r="L304" s="2"/>
      <c r="M304" s="2"/>
      <c r="N304" s="2"/>
    </row>
    <row r="305" spans="1:14" ht="13.8" x14ac:dyDescent="0.25">
      <c r="A305" s="2"/>
      <c r="B305" s="2"/>
      <c r="C305" s="2"/>
      <c r="D305" s="2"/>
      <c r="E305" s="2"/>
      <c r="F305" s="2"/>
      <c r="G305" s="2"/>
      <c r="H305" s="2"/>
      <c r="I305" s="2"/>
      <c r="J305" s="2"/>
      <c r="K305" s="2"/>
      <c r="L305" s="2"/>
      <c r="M305" s="2"/>
      <c r="N305" s="2"/>
    </row>
    <row r="306" spans="1:14" ht="13.8" x14ac:dyDescent="0.25">
      <c r="A306" s="2"/>
      <c r="B306" s="2"/>
      <c r="C306" s="2"/>
      <c r="D306" s="2"/>
      <c r="E306" s="2"/>
      <c r="F306" s="2"/>
      <c r="G306" s="2"/>
      <c r="H306" s="2"/>
      <c r="I306" s="2"/>
      <c r="J306" s="2"/>
      <c r="K306" s="2"/>
      <c r="L306" s="2"/>
      <c r="M306" s="2"/>
      <c r="N306" s="2"/>
    </row>
    <row r="307" spans="1:14" ht="13.8" x14ac:dyDescent="0.25">
      <c r="A307" s="2"/>
      <c r="B307" s="2"/>
      <c r="C307" s="2"/>
      <c r="D307" s="2"/>
      <c r="E307" s="2"/>
      <c r="F307" s="2"/>
      <c r="G307" s="2"/>
      <c r="H307" s="2"/>
      <c r="I307" s="2"/>
      <c r="J307" s="2"/>
      <c r="K307" s="2"/>
      <c r="L307" s="2"/>
      <c r="M307" s="2"/>
      <c r="N307" s="2"/>
    </row>
    <row r="308" spans="1:14" ht="13.8" x14ac:dyDescent="0.25">
      <c r="A308" s="2"/>
      <c r="B308" s="2"/>
      <c r="C308" s="2"/>
      <c r="D308" s="2"/>
      <c r="E308" s="2"/>
      <c r="F308" s="2"/>
      <c r="G308" s="2"/>
      <c r="H308" s="2"/>
      <c r="I308" s="2"/>
      <c r="J308" s="2"/>
      <c r="K308" s="2"/>
      <c r="L308" s="2"/>
      <c r="M308" s="2"/>
      <c r="N308" s="2"/>
    </row>
    <row r="309" spans="1:14" ht="13.8" x14ac:dyDescent="0.25">
      <c r="A309" s="2"/>
      <c r="B309" s="2"/>
      <c r="C309" s="2"/>
      <c r="D309" s="2"/>
      <c r="E309" s="2"/>
      <c r="F309" s="2"/>
      <c r="G309" s="2"/>
      <c r="H309" s="2"/>
      <c r="I309" s="2"/>
      <c r="J309" s="2"/>
      <c r="K309" s="2"/>
      <c r="L309" s="2"/>
      <c r="M309" s="2"/>
      <c r="N309" s="2"/>
    </row>
    <row r="310" spans="1:14" ht="13.8" x14ac:dyDescent="0.25">
      <c r="A310" s="2"/>
      <c r="B310" s="2"/>
      <c r="C310" s="2"/>
      <c r="D310" s="2"/>
      <c r="E310" s="2"/>
      <c r="F310" s="2"/>
      <c r="G310" s="2"/>
      <c r="H310" s="2"/>
      <c r="I310" s="2"/>
      <c r="J310" s="2"/>
      <c r="K310" s="2"/>
      <c r="L310" s="2"/>
      <c r="M310" s="2"/>
      <c r="N310" s="2"/>
    </row>
    <row r="311" spans="1:14" ht="13.8" x14ac:dyDescent="0.25">
      <c r="A311" s="2"/>
      <c r="B311" s="2"/>
      <c r="C311" s="2"/>
      <c r="D311" s="2"/>
      <c r="E311" s="2"/>
      <c r="F311" s="2"/>
      <c r="G311" s="2"/>
      <c r="H311" s="2"/>
      <c r="I311" s="2"/>
      <c r="J311" s="2"/>
      <c r="K311" s="2"/>
      <c r="L311" s="2"/>
      <c r="M311" s="2"/>
      <c r="N311" s="2"/>
    </row>
    <row r="312" spans="1:14" ht="13.8" x14ac:dyDescent="0.25">
      <c r="A312" s="2"/>
      <c r="B312" s="2"/>
      <c r="C312" s="2"/>
      <c r="D312" s="2"/>
      <c r="E312" s="2"/>
      <c r="F312" s="2"/>
      <c r="G312" s="2"/>
      <c r="H312" s="2"/>
      <c r="I312" s="2"/>
      <c r="J312" s="2"/>
      <c r="K312" s="2"/>
      <c r="L312" s="2"/>
      <c r="M312" s="2"/>
      <c r="N312" s="2"/>
    </row>
    <row r="313" spans="1:14" ht="13.8" x14ac:dyDescent="0.25">
      <c r="A313" s="2"/>
      <c r="B313" s="2"/>
      <c r="C313" s="2"/>
      <c r="D313" s="2"/>
      <c r="E313" s="2"/>
      <c r="F313" s="2"/>
      <c r="G313" s="2"/>
      <c r="H313" s="2"/>
      <c r="I313" s="2"/>
      <c r="J313" s="2"/>
      <c r="K313" s="2"/>
      <c r="L313" s="2"/>
      <c r="M313" s="2"/>
      <c r="N313" s="2"/>
    </row>
    <row r="314" spans="1:14" ht="13.8" x14ac:dyDescent="0.25">
      <c r="A314" s="2"/>
      <c r="B314" s="2"/>
      <c r="C314" s="2"/>
      <c r="D314" s="2"/>
      <c r="E314" s="2"/>
      <c r="F314" s="2"/>
      <c r="G314" s="2"/>
      <c r="H314" s="2"/>
      <c r="I314" s="2"/>
      <c r="J314" s="2"/>
      <c r="K314" s="2"/>
      <c r="L314" s="2"/>
      <c r="M314" s="2"/>
      <c r="N314" s="2"/>
    </row>
    <row r="315" spans="1:14" ht="13.8" x14ac:dyDescent="0.25">
      <c r="A315" s="2"/>
      <c r="B315" s="2"/>
      <c r="C315" s="2"/>
      <c r="D315" s="2"/>
      <c r="E315" s="2"/>
      <c r="F315" s="2"/>
      <c r="G315" s="2"/>
      <c r="H315" s="2"/>
      <c r="I315" s="2"/>
      <c r="J315" s="2"/>
      <c r="K315" s="2"/>
      <c r="L315" s="2"/>
      <c r="M315" s="2"/>
      <c r="N315" s="2"/>
    </row>
    <row r="316" spans="1:14" ht="13.8" x14ac:dyDescent="0.25">
      <c r="A316" s="2"/>
      <c r="B316" s="2"/>
      <c r="C316" s="2"/>
      <c r="D316" s="2"/>
      <c r="E316" s="2"/>
      <c r="F316" s="2"/>
      <c r="G316" s="2"/>
      <c r="H316" s="2"/>
      <c r="I316" s="2"/>
      <c r="J316" s="2"/>
      <c r="K316" s="2"/>
      <c r="L316" s="2"/>
      <c r="M316" s="2"/>
      <c r="N316" s="2"/>
    </row>
    <row r="317" spans="1:14" ht="13.8" x14ac:dyDescent="0.25">
      <c r="A317" s="2"/>
      <c r="B317" s="2"/>
      <c r="C317" s="2"/>
      <c r="D317" s="2"/>
      <c r="E317" s="2"/>
      <c r="F317" s="2"/>
      <c r="G317" s="2"/>
      <c r="H317" s="2"/>
      <c r="I317" s="2"/>
      <c r="J317" s="2"/>
      <c r="K317" s="2"/>
      <c r="L317" s="2"/>
      <c r="M317" s="2"/>
      <c r="N317" s="2"/>
    </row>
    <row r="318" spans="1:14" ht="13.8" x14ac:dyDescent="0.25">
      <c r="A318" s="2"/>
      <c r="B318" s="2"/>
      <c r="C318" s="2"/>
      <c r="D318" s="2"/>
      <c r="E318" s="2"/>
      <c r="F318" s="2"/>
      <c r="G318" s="2"/>
      <c r="H318" s="2"/>
      <c r="I318" s="2"/>
      <c r="J318" s="2"/>
      <c r="K318" s="2"/>
      <c r="L318" s="2"/>
      <c r="M318" s="2"/>
      <c r="N318" s="2"/>
    </row>
    <row r="319" spans="1:14" ht="13.8" x14ac:dyDescent="0.25">
      <c r="A319" s="2"/>
      <c r="B319" s="2"/>
      <c r="C319" s="2"/>
      <c r="D319" s="2"/>
      <c r="E319" s="2"/>
      <c r="F319" s="2"/>
      <c r="G319" s="2"/>
      <c r="H319" s="2"/>
      <c r="I319" s="2"/>
      <c r="J319" s="2"/>
      <c r="K319" s="2"/>
      <c r="L319" s="2"/>
      <c r="M319" s="2"/>
      <c r="N319" s="2"/>
    </row>
    <row r="320" spans="1:14" ht="13.8" x14ac:dyDescent="0.25">
      <c r="A320" s="2"/>
      <c r="B320" s="2"/>
      <c r="C320" s="2"/>
      <c r="D320" s="2"/>
      <c r="E320" s="2"/>
      <c r="F320" s="2"/>
      <c r="G320" s="2"/>
      <c r="H320" s="2"/>
      <c r="I320" s="2"/>
      <c r="J320" s="2"/>
      <c r="K320" s="2"/>
      <c r="L320" s="2"/>
      <c r="M320" s="2"/>
      <c r="N320" s="2"/>
    </row>
    <row r="321" spans="1:14" ht="13.8" x14ac:dyDescent="0.25">
      <c r="A321" s="2"/>
      <c r="B321" s="2"/>
      <c r="C321" s="2"/>
      <c r="D321" s="2"/>
      <c r="E321" s="2"/>
      <c r="F321" s="2"/>
      <c r="G321" s="2"/>
      <c r="H321" s="2"/>
      <c r="I321" s="2"/>
      <c r="J321" s="2"/>
      <c r="K321" s="2"/>
      <c r="L321" s="2"/>
      <c r="M321" s="2"/>
      <c r="N321" s="2"/>
    </row>
    <row r="322" spans="1:14" ht="13.8" x14ac:dyDescent="0.25">
      <c r="A322" s="2"/>
      <c r="B322" s="2"/>
      <c r="C322" s="2"/>
      <c r="D322" s="2"/>
      <c r="E322" s="2"/>
      <c r="F322" s="2"/>
      <c r="G322" s="2"/>
      <c r="H322" s="2"/>
      <c r="I322" s="2"/>
      <c r="J322" s="2"/>
      <c r="K322" s="2"/>
      <c r="L322" s="2"/>
      <c r="M322" s="2"/>
      <c r="N322" s="2"/>
    </row>
    <row r="323" spans="1:14" ht="13.8" x14ac:dyDescent="0.25">
      <c r="A323" s="2"/>
      <c r="B323" s="2"/>
      <c r="C323" s="2"/>
      <c r="D323" s="2"/>
      <c r="E323" s="2"/>
      <c r="F323" s="2"/>
      <c r="G323" s="2"/>
      <c r="H323" s="2"/>
      <c r="I323" s="2"/>
      <c r="J323" s="2"/>
      <c r="K323" s="2"/>
      <c r="L323" s="2"/>
      <c r="M323" s="2"/>
      <c r="N323" s="2"/>
    </row>
    <row r="324" spans="1:14" ht="13.8" x14ac:dyDescent="0.25">
      <c r="A324" s="2"/>
      <c r="B324" s="2"/>
      <c r="C324" s="2"/>
      <c r="D324" s="2"/>
      <c r="E324" s="2"/>
      <c r="F324" s="2"/>
      <c r="G324" s="2"/>
      <c r="H324" s="2"/>
      <c r="I324" s="2"/>
      <c r="J324" s="2"/>
      <c r="K324" s="2"/>
      <c r="L324" s="2"/>
      <c r="M324" s="2"/>
      <c r="N324" s="2"/>
    </row>
    <row r="325" spans="1:14" ht="13.8" x14ac:dyDescent="0.25">
      <c r="A325" s="2"/>
      <c r="B325" s="2"/>
      <c r="C325" s="2"/>
      <c r="D325" s="2"/>
      <c r="E325" s="2"/>
      <c r="F325" s="2"/>
      <c r="G325" s="2"/>
      <c r="H325" s="2"/>
      <c r="I325" s="2"/>
      <c r="J325" s="2"/>
      <c r="K325" s="2"/>
      <c r="L325" s="2"/>
      <c r="M325" s="2"/>
      <c r="N325" s="2"/>
    </row>
    <row r="326" spans="1:14" ht="13.8" x14ac:dyDescent="0.25">
      <c r="A326" s="2"/>
      <c r="B326" s="2"/>
      <c r="C326" s="2"/>
      <c r="D326" s="2"/>
      <c r="E326" s="2"/>
      <c r="F326" s="2"/>
      <c r="G326" s="2"/>
      <c r="H326" s="2"/>
      <c r="I326" s="2"/>
      <c r="J326" s="2"/>
      <c r="K326" s="2"/>
      <c r="L326" s="2"/>
      <c r="M326" s="2"/>
      <c r="N326" s="2"/>
    </row>
    <row r="327" spans="1:14" ht="13.8" x14ac:dyDescent="0.25">
      <c r="A327" s="2"/>
      <c r="B327" s="2"/>
      <c r="C327" s="2"/>
      <c r="D327" s="2"/>
      <c r="E327" s="2"/>
      <c r="F327" s="2"/>
      <c r="G327" s="2"/>
      <c r="H327" s="2"/>
      <c r="I327" s="2"/>
      <c r="J327" s="2"/>
      <c r="K327" s="2"/>
      <c r="L327" s="2"/>
      <c r="M327" s="2"/>
      <c r="N327" s="2"/>
    </row>
    <row r="328" spans="1:14" ht="13.8" x14ac:dyDescent="0.25">
      <c r="A328" s="2"/>
      <c r="B328" s="2"/>
      <c r="C328" s="2"/>
      <c r="D328" s="2"/>
      <c r="E328" s="2"/>
      <c r="F328" s="2"/>
      <c r="G328" s="2"/>
      <c r="H328" s="2"/>
      <c r="I328" s="2"/>
      <c r="J328" s="2"/>
      <c r="K328" s="2"/>
      <c r="L328" s="2"/>
      <c r="M328" s="2"/>
      <c r="N328" s="2"/>
    </row>
    <row r="329" spans="1:14" ht="13.8" x14ac:dyDescent="0.25">
      <c r="A329" s="2"/>
      <c r="B329" s="2"/>
      <c r="C329" s="2"/>
      <c r="D329" s="2"/>
      <c r="E329" s="2"/>
      <c r="F329" s="2"/>
      <c r="G329" s="2"/>
      <c r="H329" s="2"/>
      <c r="I329" s="2"/>
      <c r="J329" s="2"/>
      <c r="K329" s="2"/>
      <c r="L329" s="2"/>
      <c r="M329" s="2"/>
      <c r="N329" s="2"/>
    </row>
    <row r="330" spans="1:14" ht="13.8" x14ac:dyDescent="0.25">
      <c r="A330" s="2"/>
      <c r="B330" s="2"/>
      <c r="C330" s="2"/>
      <c r="D330" s="2"/>
      <c r="E330" s="2"/>
      <c r="F330" s="2"/>
      <c r="G330" s="2"/>
      <c r="H330" s="2"/>
      <c r="I330" s="2"/>
      <c r="J330" s="2"/>
      <c r="K330" s="2"/>
      <c r="L330" s="2"/>
      <c r="M330" s="2"/>
      <c r="N330" s="2"/>
    </row>
    <row r="331" spans="1:14" ht="13.8" x14ac:dyDescent="0.25">
      <c r="A331" s="2"/>
      <c r="B331" s="2"/>
      <c r="C331" s="2"/>
      <c r="D331" s="2"/>
      <c r="E331" s="2"/>
      <c r="F331" s="2"/>
      <c r="G331" s="2"/>
      <c r="H331" s="2"/>
      <c r="I331" s="2"/>
      <c r="J331" s="2"/>
      <c r="K331" s="2"/>
      <c r="L331" s="2"/>
      <c r="M331" s="2"/>
      <c r="N331" s="2"/>
    </row>
    <row r="332" spans="1:14" ht="13.8" x14ac:dyDescent="0.25">
      <c r="A332" s="2"/>
      <c r="B332" s="2"/>
      <c r="C332" s="2"/>
      <c r="D332" s="2"/>
      <c r="E332" s="2"/>
      <c r="F332" s="2"/>
      <c r="G332" s="2"/>
      <c r="H332" s="2"/>
      <c r="I332" s="2"/>
      <c r="J332" s="2"/>
      <c r="K332" s="2"/>
      <c r="L332" s="2"/>
      <c r="M332" s="2"/>
      <c r="N332" s="2"/>
    </row>
    <row r="333" spans="1:14" ht="13.8" x14ac:dyDescent="0.25">
      <c r="A333" s="2"/>
      <c r="B333" s="2"/>
      <c r="C333" s="2"/>
      <c r="D333" s="2"/>
      <c r="E333" s="2"/>
      <c r="F333" s="2"/>
      <c r="G333" s="2"/>
      <c r="H333" s="2"/>
      <c r="I333" s="2"/>
      <c r="J333" s="2"/>
      <c r="K333" s="2"/>
      <c r="L333" s="2"/>
      <c r="M333" s="2"/>
      <c r="N333" s="2"/>
    </row>
    <row r="334" spans="1:14" ht="13.8" x14ac:dyDescent="0.25">
      <c r="A334" s="2"/>
      <c r="B334" s="2"/>
      <c r="C334" s="2"/>
      <c r="D334" s="2"/>
      <c r="E334" s="2"/>
      <c r="F334" s="2"/>
      <c r="G334" s="2"/>
      <c r="H334" s="2"/>
      <c r="I334" s="2"/>
      <c r="J334" s="2"/>
      <c r="K334" s="2"/>
      <c r="L334" s="2"/>
      <c r="M334" s="2"/>
      <c r="N334" s="2"/>
    </row>
    <row r="335" spans="1:14" ht="13.8" x14ac:dyDescent="0.25">
      <c r="A335" s="2"/>
      <c r="B335" s="2"/>
      <c r="C335" s="2"/>
      <c r="D335" s="2"/>
      <c r="E335" s="2"/>
      <c r="F335" s="2"/>
      <c r="G335" s="2"/>
      <c r="H335" s="2"/>
      <c r="I335" s="2"/>
      <c r="J335" s="2"/>
      <c r="K335" s="2"/>
      <c r="L335" s="2"/>
      <c r="M335" s="2"/>
      <c r="N335" s="2"/>
    </row>
    <row r="336" spans="1:14" ht="13.8" x14ac:dyDescent="0.25">
      <c r="A336" s="2"/>
      <c r="B336" s="2"/>
      <c r="C336" s="2"/>
      <c r="D336" s="2"/>
      <c r="E336" s="2"/>
      <c r="F336" s="2"/>
      <c r="G336" s="2"/>
      <c r="H336" s="2"/>
      <c r="I336" s="2"/>
      <c r="J336" s="2"/>
      <c r="K336" s="2"/>
      <c r="L336" s="2"/>
      <c r="M336" s="2"/>
      <c r="N336" s="2"/>
    </row>
    <row r="337" spans="1:14" ht="13.8" x14ac:dyDescent="0.25">
      <c r="A337" s="2"/>
      <c r="B337" s="2"/>
      <c r="C337" s="2"/>
      <c r="D337" s="2"/>
      <c r="E337" s="2"/>
      <c r="F337" s="2"/>
      <c r="G337" s="2"/>
      <c r="H337" s="2"/>
      <c r="I337" s="2"/>
      <c r="J337" s="2"/>
      <c r="K337" s="2"/>
      <c r="L337" s="2"/>
      <c r="M337" s="2"/>
      <c r="N337" s="2"/>
    </row>
    <row r="338" spans="1:14" ht="13.8" x14ac:dyDescent="0.25">
      <c r="A338" s="2"/>
      <c r="B338" s="2"/>
      <c r="C338" s="2"/>
      <c r="D338" s="2"/>
      <c r="E338" s="2"/>
      <c r="F338" s="2"/>
      <c r="G338" s="2"/>
      <c r="H338" s="2"/>
      <c r="I338" s="2"/>
      <c r="J338" s="2"/>
      <c r="K338" s="2"/>
      <c r="L338" s="2"/>
      <c r="M338" s="2"/>
      <c r="N338" s="2"/>
    </row>
    <row r="339" spans="1:14" ht="13.8" x14ac:dyDescent="0.25">
      <c r="A339" s="2"/>
      <c r="B339" s="2"/>
      <c r="C339" s="2"/>
      <c r="D339" s="2"/>
      <c r="E339" s="2"/>
      <c r="F339" s="2"/>
      <c r="G339" s="2"/>
      <c r="H339" s="2"/>
      <c r="I339" s="2"/>
      <c r="J339" s="2"/>
      <c r="K339" s="2"/>
      <c r="L339" s="2"/>
      <c r="M339" s="2"/>
      <c r="N339" s="2"/>
    </row>
    <row r="340" spans="1:14" ht="13.8" x14ac:dyDescent="0.25">
      <c r="A340" s="2"/>
      <c r="B340" s="2"/>
      <c r="C340" s="2"/>
      <c r="D340" s="2"/>
      <c r="E340" s="2"/>
      <c r="F340" s="2"/>
      <c r="G340" s="2"/>
      <c r="H340" s="2"/>
      <c r="I340" s="2"/>
      <c r="J340" s="2"/>
      <c r="K340" s="2"/>
      <c r="L340" s="2"/>
      <c r="M340" s="2"/>
      <c r="N340" s="2"/>
    </row>
    <row r="341" spans="1:14" ht="13.8" x14ac:dyDescent="0.25">
      <c r="A341" s="2"/>
      <c r="B341" s="2"/>
      <c r="C341" s="2"/>
      <c r="D341" s="2"/>
      <c r="E341" s="2"/>
      <c r="F341" s="2"/>
      <c r="G341" s="2"/>
      <c r="H341" s="2"/>
      <c r="I341" s="2"/>
      <c r="J341" s="2"/>
      <c r="K341" s="2"/>
      <c r="L341" s="2"/>
      <c r="M341" s="2"/>
      <c r="N341" s="2"/>
    </row>
    <row r="342" spans="1:14" ht="13.8" x14ac:dyDescent="0.25">
      <c r="A342" s="2"/>
      <c r="B342" s="2"/>
      <c r="C342" s="2"/>
      <c r="D342" s="2"/>
      <c r="E342" s="2"/>
      <c r="F342" s="2"/>
      <c r="G342" s="2"/>
      <c r="H342" s="2"/>
      <c r="I342" s="2"/>
      <c r="J342" s="2"/>
      <c r="K342" s="2"/>
      <c r="L342" s="2"/>
      <c r="M342" s="2"/>
      <c r="N342" s="2"/>
    </row>
    <row r="343" spans="1:14" ht="13.8" x14ac:dyDescent="0.25">
      <c r="A343" s="2"/>
      <c r="B343" s="2"/>
      <c r="C343" s="2"/>
      <c r="D343" s="2"/>
      <c r="E343" s="2"/>
      <c r="F343" s="2"/>
      <c r="G343" s="2"/>
      <c r="H343" s="2"/>
      <c r="I343" s="2"/>
      <c r="J343" s="2"/>
      <c r="K343" s="2"/>
      <c r="L343" s="2"/>
      <c r="M343" s="2"/>
      <c r="N343" s="2"/>
    </row>
    <row r="344" spans="1:14" ht="13.8" x14ac:dyDescent="0.25">
      <c r="A344" s="2"/>
      <c r="B344" s="2"/>
      <c r="C344" s="2"/>
      <c r="D344" s="2"/>
      <c r="E344" s="2"/>
      <c r="F344" s="2"/>
      <c r="G344" s="2"/>
      <c r="H344" s="2"/>
      <c r="I344" s="2"/>
      <c r="J344" s="2"/>
      <c r="K344" s="2"/>
      <c r="L344" s="2"/>
      <c r="M344" s="2"/>
      <c r="N344" s="2"/>
    </row>
    <row r="345" spans="1:14" ht="13.8" x14ac:dyDescent="0.25">
      <c r="A345" s="2"/>
      <c r="B345" s="2"/>
      <c r="C345" s="2"/>
      <c r="D345" s="2"/>
      <c r="E345" s="2"/>
      <c r="F345" s="2"/>
      <c r="G345" s="2"/>
      <c r="H345" s="2"/>
      <c r="I345" s="2"/>
      <c r="J345" s="2"/>
      <c r="K345" s="2"/>
      <c r="L345" s="2"/>
      <c r="M345" s="2"/>
      <c r="N345" s="2"/>
    </row>
    <row r="346" spans="1:14" ht="13.8" x14ac:dyDescent="0.25">
      <c r="A346" s="2"/>
      <c r="B346" s="2"/>
      <c r="C346" s="2"/>
      <c r="D346" s="2"/>
      <c r="E346" s="2"/>
      <c r="F346" s="2"/>
      <c r="G346" s="2"/>
      <c r="H346" s="2"/>
      <c r="I346" s="2"/>
      <c r="J346" s="2"/>
      <c r="K346" s="2"/>
      <c r="L346" s="2"/>
      <c r="M346" s="2"/>
      <c r="N346" s="2"/>
    </row>
    <row r="347" spans="1:14" ht="13.8" x14ac:dyDescent="0.25">
      <c r="A347" s="2"/>
      <c r="B347" s="2"/>
      <c r="C347" s="2"/>
      <c r="D347" s="2"/>
      <c r="E347" s="2"/>
      <c r="F347" s="2"/>
      <c r="G347" s="2"/>
      <c r="H347" s="2"/>
      <c r="I347" s="2"/>
      <c r="J347" s="2"/>
      <c r="K347" s="2"/>
      <c r="L347" s="2"/>
      <c r="M347" s="2"/>
      <c r="N347" s="2"/>
    </row>
    <row r="348" spans="1:14" ht="13.8" x14ac:dyDescent="0.25">
      <c r="A348" s="2"/>
      <c r="B348" s="2"/>
      <c r="C348" s="2"/>
      <c r="D348" s="2"/>
      <c r="E348" s="2"/>
      <c r="F348" s="2"/>
      <c r="G348" s="2"/>
      <c r="H348" s="2"/>
      <c r="I348" s="2"/>
      <c r="J348" s="2"/>
      <c r="K348" s="2"/>
      <c r="L348" s="2"/>
      <c r="M348" s="2"/>
      <c r="N348" s="2"/>
    </row>
    <row r="349" spans="1:14" ht="13.8" x14ac:dyDescent="0.25">
      <c r="A349" s="2"/>
      <c r="B349" s="2"/>
      <c r="C349" s="2"/>
      <c r="D349" s="2"/>
      <c r="E349" s="2"/>
      <c r="F349" s="2"/>
      <c r="G349" s="2"/>
      <c r="H349" s="2"/>
      <c r="I349" s="2"/>
      <c r="J349" s="2"/>
      <c r="K349" s="2"/>
      <c r="L349" s="2"/>
      <c r="M349" s="2"/>
      <c r="N349" s="2"/>
    </row>
    <row r="350" spans="1:14" ht="13.8" x14ac:dyDescent="0.25">
      <c r="A350" s="2"/>
      <c r="B350" s="2"/>
      <c r="C350" s="2"/>
      <c r="D350" s="2"/>
      <c r="E350" s="2"/>
      <c r="F350" s="2"/>
      <c r="G350" s="2"/>
      <c r="H350" s="2"/>
      <c r="I350" s="2"/>
      <c r="J350" s="2"/>
      <c r="K350" s="2"/>
      <c r="L350" s="2"/>
      <c r="M350" s="2"/>
      <c r="N350" s="2"/>
    </row>
    <row r="351" spans="1:14" ht="13.8" x14ac:dyDescent="0.25">
      <c r="A351" s="2"/>
      <c r="B351" s="2"/>
      <c r="C351" s="2"/>
      <c r="D351" s="2"/>
      <c r="E351" s="2"/>
      <c r="F351" s="2"/>
      <c r="G351" s="2"/>
      <c r="H351" s="2"/>
      <c r="I351" s="2"/>
      <c r="J351" s="2"/>
      <c r="K351" s="2"/>
      <c r="L351" s="2"/>
      <c r="M351" s="2"/>
      <c r="N351" s="2"/>
    </row>
    <row r="352" spans="1:14" ht="13.8" x14ac:dyDescent="0.25">
      <c r="A352" s="2"/>
      <c r="B352" s="2"/>
      <c r="C352" s="2"/>
      <c r="D352" s="2"/>
      <c r="E352" s="2"/>
      <c r="F352" s="2"/>
      <c r="G352" s="2"/>
      <c r="H352" s="2"/>
      <c r="I352" s="2"/>
      <c r="J352" s="2"/>
      <c r="K352" s="2"/>
      <c r="L352" s="2"/>
      <c r="M352" s="2"/>
      <c r="N352" s="2"/>
    </row>
    <row r="353" spans="1:14" ht="13.8" x14ac:dyDescent="0.25">
      <c r="A353" s="2"/>
      <c r="B353" s="2"/>
      <c r="C353" s="2"/>
      <c r="D353" s="2"/>
      <c r="E353" s="2"/>
      <c r="F353" s="2"/>
      <c r="G353" s="2"/>
      <c r="H353" s="2"/>
      <c r="I353" s="2"/>
      <c r="J353" s="2"/>
      <c r="K353" s="2"/>
      <c r="L353" s="2"/>
      <c r="M353" s="2"/>
      <c r="N353" s="2"/>
    </row>
    <row r="354" spans="1:14" ht="13.8" x14ac:dyDescent="0.25">
      <c r="A354" s="2"/>
      <c r="B354" s="2"/>
      <c r="C354" s="2"/>
      <c r="D354" s="2"/>
      <c r="E354" s="2"/>
      <c r="F354" s="2"/>
      <c r="G354" s="2"/>
      <c r="H354" s="2"/>
      <c r="I354" s="2"/>
      <c r="J354" s="2"/>
      <c r="K354" s="2"/>
      <c r="L354" s="2"/>
      <c r="M354" s="2"/>
      <c r="N354" s="2"/>
    </row>
    <row r="355" spans="1:14" ht="13.8" x14ac:dyDescent="0.25">
      <c r="A355" s="2"/>
      <c r="B355" s="2"/>
      <c r="C355" s="2"/>
      <c r="D355" s="2"/>
      <c r="E355" s="2"/>
      <c r="F355" s="2"/>
      <c r="G355" s="2"/>
      <c r="H355" s="2"/>
      <c r="I355" s="2"/>
      <c r="J355" s="2"/>
      <c r="K355" s="2"/>
      <c r="L355" s="2"/>
      <c r="M355" s="2"/>
      <c r="N355" s="2"/>
    </row>
    <row r="356" spans="1:14" ht="13.8" x14ac:dyDescent="0.25">
      <c r="A356" s="2"/>
      <c r="B356" s="2"/>
      <c r="C356" s="2"/>
      <c r="D356" s="2"/>
      <c r="E356" s="2"/>
      <c r="F356" s="2"/>
      <c r="G356" s="2"/>
      <c r="H356" s="2"/>
      <c r="I356" s="2"/>
      <c r="J356" s="2"/>
      <c r="K356" s="2"/>
      <c r="L356" s="2"/>
      <c r="M356" s="2"/>
      <c r="N356" s="2"/>
    </row>
    <row r="357" spans="1:14" ht="13.8" x14ac:dyDescent="0.25">
      <c r="A357" s="2"/>
      <c r="B357" s="2"/>
      <c r="C357" s="2"/>
      <c r="D357" s="2"/>
      <c r="E357" s="2"/>
      <c r="F357" s="2"/>
      <c r="G357" s="2"/>
      <c r="H357" s="2"/>
      <c r="I357" s="2"/>
      <c r="J357" s="2"/>
      <c r="K357" s="2"/>
      <c r="L357" s="2"/>
      <c r="M357" s="2"/>
      <c r="N357" s="2"/>
    </row>
    <row r="358" spans="1:14" ht="13.8" x14ac:dyDescent="0.25">
      <c r="A358" s="2"/>
      <c r="B358" s="2"/>
      <c r="C358" s="2"/>
      <c r="D358" s="2"/>
      <c r="E358" s="2"/>
      <c r="F358" s="2"/>
      <c r="G358" s="2"/>
      <c r="H358" s="2"/>
      <c r="I358" s="2"/>
      <c r="J358" s="2"/>
      <c r="K358" s="2"/>
      <c r="L358" s="2"/>
      <c r="M358" s="2"/>
      <c r="N358" s="2"/>
    </row>
    <row r="359" spans="1:14" ht="13.8" x14ac:dyDescent="0.25">
      <c r="A359" s="2"/>
      <c r="B359" s="2"/>
      <c r="C359" s="2"/>
      <c r="D359" s="2"/>
      <c r="E359" s="2"/>
      <c r="F359" s="2"/>
      <c r="G359" s="2"/>
      <c r="H359" s="2"/>
      <c r="I359" s="2"/>
      <c r="J359" s="2"/>
      <c r="K359" s="2"/>
      <c r="L359" s="2"/>
      <c r="M359" s="2"/>
      <c r="N359" s="2"/>
    </row>
    <row r="360" spans="1:14" ht="13.8" x14ac:dyDescent="0.25">
      <c r="A360" s="2"/>
      <c r="B360" s="2"/>
      <c r="C360" s="2"/>
      <c r="D360" s="2"/>
      <c r="E360" s="2"/>
      <c r="F360" s="2"/>
      <c r="G360" s="2"/>
      <c r="H360" s="2"/>
      <c r="I360" s="2"/>
      <c r="J360" s="2"/>
      <c r="K360" s="2"/>
      <c r="L360" s="2"/>
      <c r="M360" s="2"/>
      <c r="N360" s="2"/>
    </row>
    <row r="361" spans="1:14" ht="13.8" x14ac:dyDescent="0.25">
      <c r="A361" s="2"/>
      <c r="B361" s="2"/>
      <c r="C361" s="2"/>
      <c r="D361" s="2"/>
      <c r="E361" s="2"/>
      <c r="F361" s="2"/>
      <c r="G361" s="2"/>
      <c r="H361" s="2"/>
      <c r="I361" s="2"/>
      <c r="J361" s="2"/>
      <c r="K361" s="2"/>
      <c r="L361" s="2"/>
      <c r="M361" s="2"/>
      <c r="N361" s="2"/>
    </row>
    <row r="362" spans="1:14" ht="13.8" x14ac:dyDescent="0.25">
      <c r="A362" s="2"/>
      <c r="B362" s="2"/>
      <c r="C362" s="2"/>
      <c r="D362" s="2"/>
      <c r="E362" s="2"/>
      <c r="F362" s="2"/>
      <c r="G362" s="2"/>
      <c r="H362" s="2"/>
      <c r="I362" s="2"/>
      <c r="J362" s="2"/>
      <c r="K362" s="2"/>
      <c r="L362" s="2"/>
      <c r="M362" s="2"/>
      <c r="N362" s="2"/>
    </row>
    <row r="363" spans="1:14" ht="13.8" x14ac:dyDescent="0.25">
      <c r="A363" s="2"/>
      <c r="B363" s="2"/>
      <c r="C363" s="2"/>
      <c r="D363" s="2"/>
      <c r="E363" s="2"/>
      <c r="F363" s="2"/>
      <c r="G363" s="2"/>
      <c r="H363" s="2"/>
      <c r="I363" s="2"/>
      <c r="J363" s="2"/>
      <c r="K363" s="2"/>
      <c r="L363" s="2"/>
      <c r="M363" s="2"/>
      <c r="N363" s="2"/>
    </row>
    <row r="364" spans="1:14" ht="13.8" x14ac:dyDescent="0.25">
      <c r="A364" s="2"/>
      <c r="B364" s="2"/>
      <c r="C364" s="2"/>
      <c r="D364" s="2"/>
      <c r="E364" s="2"/>
      <c r="F364" s="2"/>
      <c r="G364" s="2"/>
      <c r="H364" s="2"/>
      <c r="I364" s="2"/>
      <c r="J364" s="2"/>
      <c r="K364" s="2"/>
      <c r="L364" s="2"/>
      <c r="M364" s="2"/>
      <c r="N364" s="2"/>
    </row>
    <row r="365" spans="1:14" ht="13.8" x14ac:dyDescent="0.25">
      <c r="A365" s="2"/>
      <c r="B365" s="2"/>
      <c r="C365" s="2"/>
      <c r="D365" s="2"/>
      <c r="E365" s="2"/>
      <c r="F365" s="2"/>
      <c r="G365" s="2"/>
      <c r="H365" s="2"/>
      <c r="I365" s="2"/>
      <c r="J365" s="2"/>
      <c r="K365" s="2"/>
      <c r="L365" s="2"/>
      <c r="M365" s="2"/>
      <c r="N365" s="2"/>
    </row>
    <row r="366" spans="1:14" ht="13.8" x14ac:dyDescent="0.25">
      <c r="A366" s="2"/>
      <c r="B366" s="2"/>
      <c r="C366" s="2"/>
      <c r="D366" s="2"/>
      <c r="E366" s="2"/>
      <c r="F366" s="2"/>
      <c r="G366" s="2"/>
      <c r="H366" s="2"/>
      <c r="I366" s="2"/>
      <c r="J366" s="2"/>
      <c r="K366" s="2"/>
      <c r="L366" s="2"/>
      <c r="M366" s="2"/>
      <c r="N366" s="2"/>
    </row>
    <row r="367" spans="1:14" ht="13.8" x14ac:dyDescent="0.25">
      <c r="A367" s="2"/>
      <c r="B367" s="2"/>
      <c r="C367" s="2"/>
      <c r="D367" s="2"/>
      <c r="E367" s="2"/>
      <c r="F367" s="2"/>
      <c r="G367" s="2"/>
      <c r="H367" s="2"/>
      <c r="I367" s="2"/>
      <c r="J367" s="2"/>
      <c r="K367" s="2"/>
      <c r="L367" s="2"/>
      <c r="M367" s="2"/>
      <c r="N367" s="2"/>
    </row>
    <row r="368" spans="1:14" ht="13.8" x14ac:dyDescent="0.25">
      <c r="A368" s="2"/>
      <c r="B368" s="2"/>
      <c r="C368" s="2"/>
      <c r="D368" s="2"/>
      <c r="E368" s="2"/>
      <c r="F368" s="2"/>
      <c r="G368" s="2"/>
      <c r="H368" s="2"/>
      <c r="I368" s="2"/>
      <c r="J368" s="2"/>
      <c r="K368" s="2"/>
      <c r="L368" s="2"/>
      <c r="M368" s="2"/>
      <c r="N368" s="2"/>
    </row>
    <row r="369" spans="1:14" ht="13.8" x14ac:dyDescent="0.25">
      <c r="A369" s="2"/>
      <c r="B369" s="2"/>
      <c r="C369" s="2"/>
      <c r="D369" s="2"/>
      <c r="E369" s="2"/>
      <c r="F369" s="2"/>
      <c r="G369" s="2"/>
      <c r="H369" s="2"/>
      <c r="I369" s="2"/>
      <c r="J369" s="2"/>
      <c r="K369" s="2"/>
      <c r="L369" s="2"/>
      <c r="M369" s="2"/>
      <c r="N369" s="2"/>
    </row>
    <row r="370" spans="1:14" ht="13.8" x14ac:dyDescent="0.25">
      <c r="A370" s="2"/>
      <c r="B370" s="2"/>
      <c r="C370" s="2"/>
      <c r="D370" s="2"/>
      <c r="E370" s="2"/>
      <c r="F370" s="2"/>
      <c r="G370" s="2"/>
      <c r="H370" s="2"/>
      <c r="I370" s="2"/>
      <c r="J370" s="2"/>
      <c r="K370" s="2"/>
      <c r="L370" s="2"/>
      <c r="M370" s="2"/>
      <c r="N370" s="2"/>
    </row>
    <row r="371" spans="1:14" ht="13.8" x14ac:dyDescent="0.25">
      <c r="A371" s="2"/>
      <c r="B371" s="2"/>
      <c r="C371" s="2"/>
      <c r="D371" s="2"/>
      <c r="E371" s="2"/>
      <c r="F371" s="2"/>
      <c r="G371" s="2"/>
      <c r="H371" s="2"/>
      <c r="I371" s="2"/>
      <c r="J371" s="2"/>
      <c r="K371" s="2"/>
      <c r="L371" s="2"/>
      <c r="M371" s="2"/>
      <c r="N371" s="2"/>
    </row>
    <row r="372" spans="1:14" ht="13.8" x14ac:dyDescent="0.25">
      <c r="A372" s="2"/>
      <c r="B372" s="2"/>
      <c r="C372" s="2"/>
      <c r="D372" s="2"/>
      <c r="E372" s="2"/>
      <c r="F372" s="2"/>
      <c r="G372" s="2"/>
      <c r="H372" s="2"/>
      <c r="I372" s="2"/>
      <c r="J372" s="2"/>
      <c r="K372" s="2"/>
      <c r="L372" s="2"/>
      <c r="M372" s="2"/>
      <c r="N372" s="2"/>
    </row>
    <row r="373" spans="1:14" ht="13.8" x14ac:dyDescent="0.25">
      <c r="A373" s="2"/>
      <c r="B373" s="2"/>
      <c r="C373" s="2"/>
      <c r="D373" s="2"/>
      <c r="E373" s="2"/>
      <c r="F373" s="2"/>
      <c r="G373" s="2"/>
      <c r="H373" s="2"/>
      <c r="I373" s="2"/>
      <c r="J373" s="2"/>
      <c r="K373" s="2"/>
      <c r="L373" s="2"/>
      <c r="M373" s="2"/>
      <c r="N373" s="2"/>
    </row>
    <row r="374" spans="1:14" ht="13.8" x14ac:dyDescent="0.25">
      <c r="A374" s="2"/>
      <c r="B374" s="2"/>
      <c r="C374" s="2"/>
      <c r="D374" s="2"/>
      <c r="E374" s="2"/>
      <c r="F374" s="2"/>
      <c r="G374" s="2"/>
      <c r="H374" s="2"/>
      <c r="I374" s="2"/>
      <c r="J374" s="2"/>
      <c r="K374" s="2"/>
      <c r="L374" s="2"/>
      <c r="M374" s="2"/>
      <c r="N374" s="2"/>
    </row>
    <row r="375" spans="1:14" ht="13.8" x14ac:dyDescent="0.25">
      <c r="A375" s="2"/>
      <c r="B375" s="2"/>
      <c r="C375" s="2"/>
      <c r="D375" s="2"/>
      <c r="E375" s="2"/>
      <c r="F375" s="2"/>
      <c r="G375" s="2"/>
      <c r="H375" s="2"/>
      <c r="I375" s="2"/>
      <c r="J375" s="2"/>
      <c r="K375" s="2"/>
      <c r="L375" s="2"/>
      <c r="M375" s="2"/>
      <c r="N375" s="2"/>
    </row>
    <row r="376" spans="1:14" ht="13.8" x14ac:dyDescent="0.25">
      <c r="A376" s="2"/>
      <c r="B376" s="2"/>
      <c r="C376" s="2"/>
      <c r="D376" s="2"/>
      <c r="E376" s="2"/>
      <c r="F376" s="2"/>
      <c r="G376" s="2"/>
      <c r="H376" s="2"/>
      <c r="I376" s="2"/>
      <c r="J376" s="2"/>
      <c r="K376" s="2"/>
      <c r="L376" s="2"/>
      <c r="M376" s="2"/>
      <c r="N376" s="2"/>
    </row>
    <row r="377" spans="1:14" ht="13.8" x14ac:dyDescent="0.25">
      <c r="A377" s="2"/>
      <c r="B377" s="2"/>
      <c r="C377" s="2"/>
      <c r="D377" s="2"/>
      <c r="E377" s="2"/>
      <c r="F377" s="2"/>
      <c r="G377" s="2"/>
      <c r="H377" s="2"/>
      <c r="I377" s="2"/>
      <c r="J377" s="2"/>
      <c r="K377" s="2"/>
      <c r="L377" s="2"/>
      <c r="M377" s="2"/>
      <c r="N377" s="2"/>
    </row>
    <row r="378" spans="1:14" ht="13.8" x14ac:dyDescent="0.25">
      <c r="A378" s="2"/>
      <c r="B378" s="2"/>
      <c r="C378" s="2"/>
      <c r="D378" s="2"/>
      <c r="E378" s="2"/>
      <c r="F378" s="2"/>
      <c r="G378" s="2"/>
      <c r="H378" s="2"/>
      <c r="I378" s="2"/>
      <c r="J378" s="2"/>
      <c r="K378" s="2"/>
      <c r="L378" s="2"/>
      <c r="M378" s="2"/>
      <c r="N378" s="2"/>
    </row>
    <row r="379" spans="1:14" ht="13.8" x14ac:dyDescent="0.25">
      <c r="A379" s="2"/>
      <c r="B379" s="2"/>
      <c r="C379" s="2"/>
      <c r="D379" s="2"/>
      <c r="E379" s="2"/>
      <c r="F379" s="2"/>
      <c r="G379" s="2"/>
      <c r="H379" s="2"/>
      <c r="I379" s="2"/>
      <c r="J379" s="2"/>
      <c r="K379" s="2"/>
      <c r="L379" s="2"/>
      <c r="M379" s="2"/>
      <c r="N379" s="2"/>
    </row>
    <row r="380" spans="1:14" ht="13.8" x14ac:dyDescent="0.25">
      <c r="A380" s="2"/>
      <c r="B380" s="2"/>
      <c r="C380" s="2"/>
      <c r="D380" s="2"/>
      <c r="E380" s="2"/>
      <c r="F380" s="2"/>
      <c r="G380" s="2"/>
      <c r="H380" s="2"/>
      <c r="I380" s="2"/>
      <c r="J380" s="2"/>
      <c r="K380" s="2"/>
      <c r="L380" s="2"/>
      <c r="M380" s="2"/>
      <c r="N380" s="2"/>
    </row>
    <row r="381" spans="1:14" ht="13.8" x14ac:dyDescent="0.25">
      <c r="A381" s="2"/>
      <c r="B381" s="2"/>
      <c r="C381" s="2"/>
      <c r="D381" s="2"/>
      <c r="E381" s="2"/>
      <c r="F381" s="2"/>
      <c r="G381" s="2"/>
      <c r="H381" s="2"/>
      <c r="I381" s="2"/>
      <c r="J381" s="2"/>
      <c r="K381" s="2"/>
      <c r="L381" s="2"/>
      <c r="M381" s="2"/>
      <c r="N381" s="2"/>
    </row>
    <row r="382" spans="1:14" ht="13.8" x14ac:dyDescent="0.25">
      <c r="A382" s="2"/>
      <c r="B382" s="2"/>
      <c r="C382" s="2"/>
      <c r="D382" s="2"/>
      <c r="E382" s="2"/>
      <c r="F382" s="2"/>
      <c r="G382" s="2"/>
      <c r="H382" s="2"/>
      <c r="I382" s="2"/>
      <c r="J382" s="2"/>
      <c r="K382" s="2"/>
      <c r="L382" s="2"/>
      <c r="M382" s="2"/>
      <c r="N382" s="2"/>
    </row>
    <row r="383" spans="1:14" ht="13.8" x14ac:dyDescent="0.25">
      <c r="A383" s="2"/>
      <c r="B383" s="2"/>
      <c r="C383" s="2"/>
      <c r="D383" s="2"/>
      <c r="E383" s="2"/>
      <c r="F383" s="2"/>
      <c r="G383" s="2"/>
      <c r="H383" s="2"/>
      <c r="I383" s="2"/>
      <c r="J383" s="2"/>
      <c r="K383" s="2"/>
      <c r="L383" s="2"/>
      <c r="M383" s="2"/>
      <c r="N383" s="2"/>
    </row>
    <row r="384" spans="1:14" ht="13.8" x14ac:dyDescent="0.25">
      <c r="A384" s="2"/>
      <c r="B384" s="2"/>
      <c r="C384" s="2"/>
      <c r="D384" s="2"/>
      <c r="E384" s="2"/>
      <c r="F384" s="2"/>
      <c r="G384" s="2"/>
      <c r="H384" s="2"/>
      <c r="I384" s="2"/>
      <c r="J384" s="2"/>
      <c r="K384" s="2"/>
      <c r="L384" s="2"/>
      <c r="M384" s="2"/>
      <c r="N384" s="2"/>
    </row>
    <row r="385" spans="1:14" ht="13.8" x14ac:dyDescent="0.25">
      <c r="A385" s="2"/>
      <c r="B385" s="2"/>
      <c r="C385" s="2"/>
      <c r="D385" s="2"/>
      <c r="E385" s="2"/>
      <c r="F385" s="2"/>
      <c r="G385" s="2"/>
      <c r="H385" s="2"/>
      <c r="I385" s="2"/>
      <c r="J385" s="2"/>
      <c r="K385" s="2"/>
      <c r="L385" s="2"/>
      <c r="M385" s="2"/>
      <c r="N385" s="2"/>
    </row>
    <row r="386" spans="1:14" ht="13.8" x14ac:dyDescent="0.25">
      <c r="A386" s="2"/>
      <c r="B386" s="2"/>
      <c r="C386" s="2"/>
      <c r="D386" s="2"/>
      <c r="E386" s="2"/>
      <c r="F386" s="2"/>
      <c r="G386" s="2"/>
      <c r="H386" s="2"/>
      <c r="I386" s="2"/>
      <c r="J386" s="2"/>
      <c r="K386" s="2"/>
      <c r="L386" s="2"/>
      <c r="M386" s="2"/>
      <c r="N386" s="2"/>
    </row>
    <row r="387" spans="1:14" ht="13.8" x14ac:dyDescent="0.25">
      <c r="A387" s="2"/>
      <c r="B387" s="2"/>
      <c r="C387" s="2"/>
      <c r="D387" s="2"/>
      <c r="E387" s="2"/>
      <c r="F387" s="2"/>
      <c r="G387" s="2"/>
      <c r="H387" s="2"/>
      <c r="I387" s="2"/>
      <c r="J387" s="2"/>
      <c r="K387" s="2"/>
      <c r="L387" s="2"/>
      <c r="M387" s="2"/>
      <c r="N387" s="2"/>
    </row>
    <row r="388" spans="1:14" ht="13.8" x14ac:dyDescent="0.25">
      <c r="A388" s="2"/>
      <c r="B388" s="2"/>
      <c r="C388" s="2"/>
      <c r="D388" s="2"/>
      <c r="E388" s="2"/>
      <c r="F388" s="2"/>
      <c r="G388" s="2"/>
      <c r="H388" s="2"/>
      <c r="I388" s="2"/>
      <c r="J388" s="2"/>
      <c r="K388" s="2"/>
      <c r="L388" s="2"/>
      <c r="M388" s="2"/>
      <c r="N388" s="2"/>
    </row>
    <row r="389" spans="1:14" ht="13.8" x14ac:dyDescent="0.25">
      <c r="A389" s="2"/>
      <c r="B389" s="2"/>
      <c r="C389" s="2"/>
      <c r="D389" s="2"/>
      <c r="E389" s="2"/>
      <c r="F389" s="2"/>
      <c r="G389" s="2"/>
      <c r="H389" s="2"/>
      <c r="I389" s="2"/>
      <c r="J389" s="2"/>
      <c r="K389" s="2"/>
      <c r="L389" s="2"/>
      <c r="M389" s="2"/>
      <c r="N389" s="2"/>
    </row>
    <row r="390" spans="1:14" ht="13.8" x14ac:dyDescent="0.25">
      <c r="A390" s="2"/>
      <c r="B390" s="2"/>
      <c r="C390" s="2"/>
      <c r="D390" s="2"/>
      <c r="E390" s="2"/>
      <c r="F390" s="2"/>
      <c r="G390" s="2"/>
      <c r="H390" s="2"/>
      <c r="I390" s="2"/>
      <c r="J390" s="2"/>
      <c r="K390" s="2"/>
      <c r="L390" s="2"/>
      <c r="M390" s="2"/>
      <c r="N390" s="2"/>
    </row>
    <row r="391" spans="1:14" ht="13.8" x14ac:dyDescent="0.25">
      <c r="A391" s="2"/>
      <c r="B391" s="2"/>
      <c r="C391" s="2"/>
      <c r="D391" s="2"/>
      <c r="E391" s="2"/>
      <c r="F391" s="2"/>
      <c r="G391" s="2"/>
      <c r="H391" s="2"/>
      <c r="I391" s="2"/>
      <c r="J391" s="2"/>
      <c r="K391" s="2"/>
      <c r="L391" s="2"/>
      <c r="M391" s="2"/>
      <c r="N391" s="2"/>
    </row>
    <row r="392" spans="1:14" ht="13.8" x14ac:dyDescent="0.25">
      <c r="A392" s="2"/>
      <c r="B392" s="2"/>
      <c r="C392" s="2"/>
      <c r="D392" s="2"/>
      <c r="E392" s="2"/>
      <c r="F392" s="2"/>
      <c r="G392" s="2"/>
      <c r="H392" s="2"/>
      <c r="I392" s="2"/>
      <c r="J392" s="2"/>
      <c r="K392" s="2"/>
      <c r="L392" s="2"/>
      <c r="M392" s="2"/>
      <c r="N392" s="2"/>
    </row>
    <row r="393" spans="1:14" ht="13.8" x14ac:dyDescent="0.25">
      <c r="A393" s="2"/>
      <c r="B393" s="2"/>
      <c r="C393" s="2"/>
      <c r="D393" s="2"/>
      <c r="E393" s="2"/>
      <c r="F393" s="2"/>
      <c r="G393" s="2"/>
      <c r="H393" s="2"/>
      <c r="I393" s="2"/>
      <c r="J393" s="2"/>
      <c r="K393" s="2"/>
      <c r="L393" s="2"/>
      <c r="M393" s="2"/>
      <c r="N393" s="2"/>
    </row>
    <row r="394" spans="1:14" ht="13.8" x14ac:dyDescent="0.25">
      <c r="A394" s="2"/>
      <c r="B394" s="2"/>
      <c r="C394" s="2"/>
      <c r="D394" s="2"/>
      <c r="E394" s="2"/>
      <c r="F394" s="2"/>
      <c r="G394" s="2"/>
      <c r="H394" s="2"/>
      <c r="I394" s="2"/>
      <c r="J394" s="2"/>
      <c r="K394" s="2"/>
      <c r="L394" s="2"/>
      <c r="M394" s="2"/>
      <c r="N394" s="2"/>
    </row>
    <row r="395" spans="1:14" ht="13.8" x14ac:dyDescent="0.25">
      <c r="A395" s="2"/>
      <c r="B395" s="2"/>
      <c r="C395" s="2"/>
      <c r="D395" s="2"/>
      <c r="E395" s="2"/>
      <c r="F395" s="2"/>
      <c r="G395" s="2"/>
      <c r="H395" s="2"/>
      <c r="I395" s="2"/>
      <c r="J395" s="2"/>
      <c r="K395" s="2"/>
      <c r="L395" s="2"/>
      <c r="M395" s="2"/>
      <c r="N395" s="2"/>
    </row>
    <row r="396" spans="1:14" ht="13.8" x14ac:dyDescent="0.25">
      <c r="A396" s="2"/>
      <c r="B396" s="2"/>
      <c r="C396" s="2"/>
      <c r="D396" s="2"/>
      <c r="E396" s="2"/>
      <c r="F396" s="2"/>
      <c r="G396" s="2"/>
      <c r="H396" s="2"/>
      <c r="I396" s="2"/>
      <c r="J396" s="2"/>
      <c r="K396" s="2"/>
      <c r="L396" s="2"/>
      <c r="M396" s="2"/>
      <c r="N396" s="2"/>
    </row>
    <row r="397" spans="1:14" ht="13.8" x14ac:dyDescent="0.25">
      <c r="A397" s="2"/>
      <c r="B397" s="2"/>
      <c r="C397" s="2"/>
      <c r="D397" s="2"/>
      <c r="E397" s="2"/>
      <c r="F397" s="2"/>
      <c r="G397" s="2"/>
      <c r="H397" s="2"/>
      <c r="I397" s="2"/>
      <c r="J397" s="2"/>
      <c r="K397" s="2"/>
      <c r="L397" s="2"/>
      <c r="M397" s="2"/>
      <c r="N397" s="2"/>
    </row>
    <row r="398" spans="1:14" ht="13.8" x14ac:dyDescent="0.25">
      <c r="A398" s="2"/>
      <c r="B398" s="2"/>
      <c r="C398" s="2"/>
      <c r="D398" s="2"/>
      <c r="E398" s="2"/>
      <c r="F398" s="2"/>
      <c r="G398" s="2"/>
      <c r="H398" s="2"/>
      <c r="I398" s="2"/>
      <c r="J398" s="2"/>
      <c r="K398" s="2"/>
      <c r="L398" s="2"/>
      <c r="M398" s="2"/>
      <c r="N398" s="2"/>
    </row>
    <row r="399" spans="1:14" ht="13.8" x14ac:dyDescent="0.25">
      <c r="A399" s="2"/>
      <c r="B399" s="2"/>
      <c r="C399" s="2"/>
      <c r="D399" s="2"/>
      <c r="E399" s="2"/>
      <c r="F399" s="2"/>
      <c r="G399" s="2"/>
      <c r="H399" s="2"/>
      <c r="I399" s="2"/>
      <c r="J399" s="2"/>
      <c r="K399" s="2"/>
      <c r="L399" s="2"/>
      <c r="M399" s="2"/>
      <c r="N399" s="2"/>
    </row>
    <row r="400" spans="1:14" ht="13.8" x14ac:dyDescent="0.25">
      <c r="A400" s="2"/>
      <c r="B400" s="2"/>
      <c r="C400" s="2"/>
      <c r="D400" s="2"/>
      <c r="E400" s="2"/>
      <c r="F400" s="2"/>
      <c r="G400" s="2"/>
      <c r="H400" s="2"/>
      <c r="I400" s="2"/>
      <c r="J400" s="2"/>
      <c r="K400" s="2"/>
      <c r="L400" s="2"/>
      <c r="M400" s="2"/>
      <c r="N400" s="2"/>
    </row>
    <row r="401" spans="1:14" ht="13.8" x14ac:dyDescent="0.25">
      <c r="A401" s="2"/>
      <c r="B401" s="2"/>
      <c r="C401" s="2"/>
      <c r="D401" s="2"/>
      <c r="E401" s="2"/>
      <c r="F401" s="2"/>
      <c r="G401" s="2"/>
      <c r="H401" s="2"/>
      <c r="I401" s="2"/>
      <c r="J401" s="2"/>
      <c r="K401" s="2"/>
      <c r="L401" s="2"/>
      <c r="M401" s="2"/>
      <c r="N401" s="2"/>
    </row>
    <row r="402" spans="1:14" ht="13.8" x14ac:dyDescent="0.25">
      <c r="A402" s="2"/>
      <c r="B402" s="2"/>
      <c r="C402" s="2"/>
      <c r="D402" s="2"/>
      <c r="E402" s="2"/>
      <c r="F402" s="2"/>
      <c r="G402" s="2"/>
      <c r="H402" s="2"/>
      <c r="I402" s="2"/>
      <c r="J402" s="2"/>
      <c r="K402" s="2"/>
      <c r="L402" s="2"/>
      <c r="M402" s="2"/>
      <c r="N402" s="2"/>
    </row>
    <row r="403" spans="1:14" ht="13.8" x14ac:dyDescent="0.25">
      <c r="A403" s="2"/>
      <c r="B403" s="2"/>
      <c r="C403" s="2"/>
      <c r="D403" s="2"/>
      <c r="E403" s="2"/>
      <c r="F403" s="2"/>
      <c r="G403" s="2"/>
      <c r="H403" s="2"/>
      <c r="I403" s="2"/>
      <c r="J403" s="2"/>
      <c r="K403" s="2"/>
      <c r="L403" s="2"/>
      <c r="M403" s="2"/>
      <c r="N403" s="2"/>
    </row>
    <row r="404" spans="1:14" ht="13.8" x14ac:dyDescent="0.25">
      <c r="A404" s="2"/>
      <c r="B404" s="2"/>
      <c r="C404" s="2"/>
      <c r="D404" s="2"/>
      <c r="E404" s="2"/>
      <c r="F404" s="2"/>
      <c r="G404" s="2"/>
      <c r="H404" s="2"/>
      <c r="I404" s="2"/>
      <c r="J404" s="2"/>
      <c r="K404" s="2"/>
      <c r="L404" s="2"/>
      <c r="M404" s="2"/>
      <c r="N404" s="2"/>
    </row>
    <row r="405" spans="1:14" ht="13.8" x14ac:dyDescent="0.25">
      <c r="A405" s="2"/>
      <c r="B405" s="2"/>
      <c r="C405" s="2"/>
      <c r="D405" s="2"/>
      <c r="E405" s="2"/>
      <c r="F405" s="2"/>
      <c r="G405" s="2"/>
      <c r="H405" s="2"/>
      <c r="I405" s="2"/>
      <c r="J405" s="2"/>
      <c r="K405" s="2"/>
      <c r="L405" s="2"/>
      <c r="M405" s="2"/>
      <c r="N405" s="2"/>
    </row>
    <row r="406" spans="1:14" ht="13.8" x14ac:dyDescent="0.25">
      <c r="A406" s="2"/>
      <c r="B406" s="2"/>
      <c r="C406" s="2"/>
      <c r="D406" s="2"/>
      <c r="E406" s="2"/>
      <c r="F406" s="2"/>
      <c r="G406" s="2"/>
      <c r="H406" s="2"/>
      <c r="I406" s="2"/>
      <c r="J406" s="2"/>
      <c r="K406" s="2"/>
      <c r="L406" s="2"/>
      <c r="M406" s="2"/>
      <c r="N406" s="2"/>
    </row>
    <row r="407" spans="1:14" ht="13.8" x14ac:dyDescent="0.25">
      <c r="A407" s="2"/>
      <c r="B407" s="2"/>
      <c r="C407" s="2"/>
      <c r="D407" s="2"/>
      <c r="E407" s="2"/>
      <c r="F407" s="2"/>
      <c r="G407" s="2"/>
      <c r="H407" s="2"/>
      <c r="I407" s="2"/>
      <c r="J407" s="2"/>
      <c r="K407" s="2"/>
      <c r="L407" s="2"/>
      <c r="M407" s="2"/>
      <c r="N407" s="2"/>
    </row>
    <row r="408" spans="1:14" ht="13.8" x14ac:dyDescent="0.25">
      <c r="A408" s="2"/>
      <c r="B408" s="2"/>
      <c r="C408" s="2"/>
      <c r="D408" s="2"/>
      <c r="E408" s="2"/>
      <c r="F408" s="2"/>
      <c r="G408" s="2"/>
      <c r="H408" s="2"/>
      <c r="I408" s="2"/>
      <c r="J408" s="2"/>
      <c r="K408" s="2"/>
      <c r="L408" s="2"/>
      <c r="M408" s="2"/>
      <c r="N408" s="2"/>
    </row>
    <row r="409" spans="1:14" ht="13.8" x14ac:dyDescent="0.25">
      <c r="A409" s="2"/>
      <c r="B409" s="2"/>
      <c r="C409" s="2"/>
      <c r="D409" s="2"/>
      <c r="E409" s="2"/>
      <c r="F409" s="2"/>
      <c r="G409" s="2"/>
      <c r="H409" s="2"/>
      <c r="I409" s="2"/>
      <c r="J409" s="2"/>
      <c r="K409" s="2"/>
      <c r="L409" s="2"/>
      <c r="M409" s="2"/>
      <c r="N409" s="2"/>
    </row>
    <row r="410" spans="1:14" ht="13.8" x14ac:dyDescent="0.25">
      <c r="A410" s="2"/>
      <c r="B410" s="2"/>
      <c r="C410" s="2"/>
      <c r="D410" s="2"/>
      <c r="E410" s="2"/>
      <c r="F410" s="2"/>
      <c r="G410" s="2"/>
      <c r="H410" s="2"/>
      <c r="I410" s="2"/>
      <c r="J410" s="2"/>
      <c r="K410" s="2"/>
      <c r="L410" s="2"/>
      <c r="M410" s="2"/>
      <c r="N410" s="2"/>
    </row>
    <row r="411" spans="1:14" ht="13.8" x14ac:dyDescent="0.25">
      <c r="A411" s="2"/>
      <c r="B411" s="2"/>
      <c r="C411" s="2"/>
      <c r="D411" s="2"/>
      <c r="E411" s="2"/>
      <c r="F411" s="2"/>
      <c r="G411" s="2"/>
      <c r="H411" s="2"/>
      <c r="I411" s="2"/>
      <c r="J411" s="2"/>
      <c r="K411" s="2"/>
      <c r="L411" s="2"/>
      <c r="M411" s="2"/>
      <c r="N411" s="2"/>
    </row>
    <row r="412" spans="1:14" ht="13.8" x14ac:dyDescent="0.25">
      <c r="A412" s="2"/>
      <c r="B412" s="2"/>
      <c r="C412" s="2"/>
      <c r="D412" s="2"/>
      <c r="E412" s="2"/>
      <c r="F412" s="2"/>
      <c r="G412" s="2"/>
      <c r="H412" s="2"/>
      <c r="I412" s="2"/>
      <c r="J412" s="2"/>
      <c r="K412" s="2"/>
      <c r="L412" s="2"/>
      <c r="M412" s="2"/>
      <c r="N412" s="2"/>
    </row>
    <row r="413" spans="1:14" ht="13.8" x14ac:dyDescent="0.25">
      <c r="A413" s="2"/>
      <c r="B413" s="2"/>
      <c r="C413" s="2"/>
      <c r="D413" s="2"/>
      <c r="E413" s="2"/>
      <c r="F413" s="2"/>
      <c r="G413" s="2"/>
      <c r="H413" s="2"/>
      <c r="I413" s="2"/>
      <c r="J413" s="2"/>
      <c r="K413" s="2"/>
      <c r="L413" s="2"/>
      <c r="M413" s="2"/>
      <c r="N413" s="2"/>
    </row>
    <row r="414" spans="1:14" ht="13.8" x14ac:dyDescent="0.25">
      <c r="A414" s="2"/>
      <c r="B414" s="2"/>
      <c r="C414" s="2"/>
      <c r="D414" s="2"/>
      <c r="E414" s="2"/>
      <c r="F414" s="2"/>
      <c r="G414" s="2"/>
      <c r="H414" s="2"/>
      <c r="I414" s="2"/>
      <c r="J414" s="2"/>
      <c r="K414" s="2"/>
      <c r="L414" s="2"/>
      <c r="M414" s="2"/>
      <c r="N414" s="2"/>
    </row>
    <row r="415" spans="1:14" ht="13.8" x14ac:dyDescent="0.25">
      <c r="A415" s="2"/>
      <c r="B415" s="2"/>
      <c r="C415" s="2"/>
      <c r="D415" s="2"/>
      <c r="E415" s="2"/>
      <c r="F415" s="2"/>
      <c r="G415" s="2"/>
      <c r="H415" s="2"/>
      <c r="I415" s="2"/>
      <c r="J415" s="2"/>
      <c r="K415" s="2"/>
      <c r="L415" s="2"/>
      <c r="M415" s="2"/>
      <c r="N415" s="2"/>
    </row>
    <row r="416" spans="1:14" ht="13.8" x14ac:dyDescent="0.25">
      <c r="A416" s="2"/>
      <c r="B416" s="2"/>
      <c r="C416" s="2"/>
      <c r="D416" s="2"/>
      <c r="E416" s="2"/>
      <c r="F416" s="2"/>
      <c r="G416" s="2"/>
      <c r="H416" s="2"/>
      <c r="I416" s="2"/>
      <c r="J416" s="2"/>
      <c r="K416" s="2"/>
      <c r="L416" s="2"/>
      <c r="M416" s="2"/>
      <c r="N416" s="2"/>
    </row>
    <row r="417" spans="1:14" ht="13.8" x14ac:dyDescent="0.25">
      <c r="A417" s="2"/>
      <c r="B417" s="2"/>
      <c r="C417" s="2"/>
      <c r="D417" s="2"/>
      <c r="E417" s="2"/>
      <c r="F417" s="2"/>
      <c r="G417" s="2"/>
      <c r="H417" s="2"/>
      <c r="I417" s="2"/>
      <c r="J417" s="2"/>
      <c r="K417" s="2"/>
      <c r="L417" s="2"/>
      <c r="M417" s="2"/>
      <c r="N417" s="2"/>
    </row>
    <row r="418" spans="1:14" ht="13.8" x14ac:dyDescent="0.25">
      <c r="A418" s="2"/>
      <c r="B418" s="2"/>
      <c r="C418" s="2"/>
      <c r="D418" s="2"/>
      <c r="E418" s="2"/>
      <c r="F418" s="2"/>
      <c r="G418" s="2"/>
      <c r="H418" s="2"/>
      <c r="I418" s="2"/>
      <c r="J418" s="2"/>
      <c r="K418" s="2"/>
      <c r="L418" s="2"/>
      <c r="M418" s="2"/>
      <c r="N418" s="2"/>
    </row>
    <row r="419" spans="1:14" ht="13.8" x14ac:dyDescent="0.25">
      <c r="A419" s="2"/>
      <c r="B419" s="2"/>
      <c r="C419" s="2"/>
      <c r="D419" s="2"/>
      <c r="E419" s="2"/>
      <c r="F419" s="2"/>
      <c r="G419" s="2"/>
      <c r="H419" s="2"/>
      <c r="I419" s="2"/>
      <c r="J419" s="2"/>
      <c r="K419" s="2"/>
      <c r="L419" s="2"/>
      <c r="M419" s="2"/>
      <c r="N419" s="2"/>
    </row>
    <row r="420" spans="1:14" ht="13.8" x14ac:dyDescent="0.25">
      <c r="A420" s="2"/>
      <c r="B420" s="2"/>
      <c r="C420" s="2"/>
      <c r="D420" s="2"/>
      <c r="E420" s="2"/>
      <c r="F420" s="2"/>
      <c r="G420" s="2"/>
      <c r="H420" s="2"/>
      <c r="I420" s="2"/>
      <c r="J420" s="2"/>
      <c r="K420" s="2"/>
      <c r="L420" s="2"/>
      <c r="M420" s="2"/>
      <c r="N420" s="2"/>
    </row>
    <row r="421" spans="1:14" ht="13.8" x14ac:dyDescent="0.25">
      <c r="A421" s="2"/>
      <c r="B421" s="2"/>
      <c r="C421" s="2"/>
      <c r="D421" s="2"/>
      <c r="E421" s="2"/>
      <c r="F421" s="2"/>
      <c r="G421" s="2"/>
      <c r="H421" s="2"/>
      <c r="I421" s="2"/>
      <c r="J421" s="2"/>
      <c r="K421" s="2"/>
      <c r="L421" s="2"/>
      <c r="M421" s="2"/>
      <c r="N421" s="2"/>
    </row>
    <row r="422" spans="1:14" ht="13.8" x14ac:dyDescent="0.25">
      <c r="A422" s="2"/>
      <c r="B422" s="2"/>
      <c r="C422" s="2"/>
      <c r="D422" s="2"/>
      <c r="E422" s="2"/>
      <c r="F422" s="2"/>
      <c r="G422" s="2"/>
      <c r="H422" s="2"/>
      <c r="I422" s="2"/>
      <c r="J422" s="2"/>
      <c r="K422" s="2"/>
      <c r="L422" s="2"/>
      <c r="M422" s="2"/>
      <c r="N422" s="2"/>
    </row>
    <row r="423" spans="1:14" ht="13.8" x14ac:dyDescent="0.25">
      <c r="A423" s="2"/>
      <c r="B423" s="2"/>
      <c r="C423" s="2"/>
      <c r="D423" s="2"/>
      <c r="E423" s="2"/>
      <c r="F423" s="2"/>
      <c r="G423" s="2"/>
      <c r="H423" s="2"/>
      <c r="I423" s="2"/>
      <c r="J423" s="2"/>
      <c r="K423" s="2"/>
      <c r="L423" s="2"/>
      <c r="M423" s="2"/>
      <c r="N423" s="2"/>
    </row>
    <row r="424" spans="1:14" ht="13.8" x14ac:dyDescent="0.25">
      <c r="A424" s="2"/>
      <c r="B424" s="2"/>
      <c r="C424" s="2"/>
      <c r="D424" s="2"/>
      <c r="E424" s="2"/>
      <c r="F424" s="2"/>
      <c r="G424" s="2"/>
      <c r="H424" s="2"/>
      <c r="I424" s="2"/>
      <c r="J424" s="2"/>
      <c r="K424" s="2"/>
      <c r="L424" s="2"/>
      <c r="M424" s="2"/>
      <c r="N424" s="2"/>
    </row>
    <row r="425" spans="1:14" ht="13.8" x14ac:dyDescent="0.25">
      <c r="A425" s="2"/>
      <c r="B425" s="2"/>
      <c r="C425" s="2"/>
      <c r="D425" s="2"/>
      <c r="E425" s="2"/>
      <c r="F425" s="2"/>
      <c r="G425" s="2"/>
      <c r="H425" s="2"/>
      <c r="I425" s="2"/>
      <c r="J425" s="2"/>
      <c r="K425" s="2"/>
      <c r="L425" s="2"/>
      <c r="M425" s="2"/>
      <c r="N425" s="2"/>
    </row>
    <row r="426" spans="1:14" ht="13.8" x14ac:dyDescent="0.25">
      <c r="A426" s="2"/>
      <c r="B426" s="2"/>
      <c r="C426" s="2"/>
      <c r="D426" s="2"/>
      <c r="E426" s="2"/>
      <c r="F426" s="2"/>
      <c r="G426" s="2"/>
      <c r="H426" s="2"/>
      <c r="I426" s="2"/>
      <c r="J426" s="2"/>
      <c r="K426" s="2"/>
      <c r="L426" s="2"/>
      <c r="M426" s="2"/>
      <c r="N426" s="2"/>
    </row>
    <row r="427" spans="1:14" ht="13.8" x14ac:dyDescent="0.25">
      <c r="A427" s="2"/>
      <c r="B427" s="2"/>
      <c r="C427" s="2"/>
      <c r="D427" s="2"/>
      <c r="E427" s="2"/>
      <c r="F427" s="2"/>
      <c r="G427" s="2"/>
      <c r="H427" s="2"/>
      <c r="I427" s="2"/>
      <c r="J427" s="2"/>
      <c r="K427" s="2"/>
      <c r="L427" s="2"/>
      <c r="M427" s="2"/>
      <c r="N427" s="2"/>
    </row>
    <row r="428" spans="1:14" ht="13.8" x14ac:dyDescent="0.25">
      <c r="A428" s="2"/>
      <c r="B428" s="2"/>
      <c r="C428" s="2"/>
      <c r="D428" s="2"/>
      <c r="E428" s="2"/>
      <c r="F428" s="2"/>
      <c r="G428" s="2"/>
      <c r="H428" s="2"/>
      <c r="I428" s="2"/>
      <c r="J428" s="2"/>
      <c r="K428" s="2"/>
      <c r="L428" s="2"/>
      <c r="M428" s="2"/>
      <c r="N428" s="2"/>
    </row>
    <row r="429" spans="1:14" ht="13.8" x14ac:dyDescent="0.25">
      <c r="A429" s="2"/>
      <c r="B429" s="2"/>
      <c r="C429" s="2"/>
      <c r="D429" s="2"/>
      <c r="E429" s="2"/>
      <c r="F429" s="2"/>
      <c r="G429" s="2"/>
      <c r="H429" s="2"/>
      <c r="I429" s="2"/>
      <c r="J429" s="2"/>
      <c r="K429" s="2"/>
      <c r="L429" s="2"/>
      <c r="M429" s="2"/>
      <c r="N429" s="2"/>
    </row>
    <row r="430" spans="1:14" ht="13.8" x14ac:dyDescent="0.25">
      <c r="A430" s="2"/>
      <c r="B430" s="2"/>
      <c r="C430" s="2"/>
      <c r="D430" s="2"/>
      <c r="E430" s="2"/>
      <c r="F430" s="2"/>
      <c r="G430" s="2"/>
      <c r="H430" s="2"/>
      <c r="I430" s="2"/>
      <c r="J430" s="2"/>
      <c r="K430" s="2"/>
      <c r="L430" s="2"/>
      <c r="M430" s="2"/>
      <c r="N430" s="2"/>
    </row>
    <row r="431" spans="1:14" ht="13.8" x14ac:dyDescent="0.25">
      <c r="A431" s="2"/>
      <c r="B431" s="2"/>
      <c r="C431" s="2"/>
      <c r="D431" s="2"/>
      <c r="E431" s="2"/>
      <c r="F431" s="2"/>
      <c r="G431" s="2"/>
      <c r="H431" s="2"/>
      <c r="I431" s="2"/>
      <c r="J431" s="2"/>
      <c r="K431" s="2"/>
      <c r="L431" s="2"/>
      <c r="M431" s="2"/>
      <c r="N431" s="2"/>
    </row>
    <row r="432" spans="1:14" ht="13.8" x14ac:dyDescent="0.25">
      <c r="A432" s="2"/>
      <c r="B432" s="2"/>
      <c r="C432" s="2"/>
      <c r="D432" s="2"/>
      <c r="E432" s="2"/>
      <c r="F432" s="2"/>
      <c r="G432" s="2"/>
      <c r="H432" s="2"/>
      <c r="I432" s="2"/>
      <c r="J432" s="2"/>
      <c r="K432" s="2"/>
      <c r="L432" s="2"/>
      <c r="M432" s="2"/>
      <c r="N432" s="2"/>
    </row>
    <row r="433" spans="1:14" ht="13.8" x14ac:dyDescent="0.25">
      <c r="A433" s="2"/>
      <c r="B433" s="2"/>
      <c r="C433" s="2"/>
      <c r="D433" s="2"/>
      <c r="E433" s="2"/>
      <c r="F433" s="2"/>
      <c r="G433" s="2"/>
      <c r="H433" s="2"/>
      <c r="I433" s="2"/>
      <c r="J433" s="2"/>
      <c r="K433" s="2"/>
      <c r="L433" s="2"/>
      <c r="M433" s="2"/>
      <c r="N433" s="2"/>
    </row>
    <row r="434" spans="1:14" ht="13.8" x14ac:dyDescent="0.25">
      <c r="A434" s="2"/>
      <c r="B434" s="2"/>
      <c r="C434" s="2"/>
      <c r="D434" s="2"/>
      <c r="E434" s="2"/>
      <c r="F434" s="2"/>
      <c r="G434" s="2"/>
      <c r="H434" s="2"/>
      <c r="I434" s="2"/>
      <c r="J434" s="2"/>
      <c r="K434" s="2"/>
      <c r="L434" s="2"/>
      <c r="M434" s="2"/>
      <c r="N434" s="2"/>
    </row>
    <row r="435" spans="1:14" ht="13.8" x14ac:dyDescent="0.25">
      <c r="A435" s="2"/>
      <c r="B435" s="2"/>
      <c r="C435" s="2"/>
      <c r="D435" s="2"/>
      <c r="E435" s="2"/>
      <c r="F435" s="2"/>
      <c r="G435" s="2"/>
      <c r="H435" s="2"/>
      <c r="I435" s="2"/>
      <c r="J435" s="2"/>
      <c r="K435" s="2"/>
      <c r="L435" s="2"/>
      <c r="M435" s="2"/>
      <c r="N435" s="2"/>
    </row>
    <row r="436" spans="1:14" ht="13.8" x14ac:dyDescent="0.25">
      <c r="A436" s="2"/>
      <c r="B436" s="2"/>
      <c r="C436" s="2"/>
      <c r="D436" s="2"/>
      <c r="E436" s="2"/>
      <c r="F436" s="2"/>
      <c r="G436" s="2"/>
      <c r="H436" s="2"/>
      <c r="I436" s="2"/>
      <c r="J436" s="2"/>
      <c r="K436" s="2"/>
      <c r="L436" s="2"/>
      <c r="M436" s="2"/>
      <c r="N436" s="2"/>
    </row>
    <row r="437" spans="1:14" ht="13.8" x14ac:dyDescent="0.25">
      <c r="A437" s="2"/>
      <c r="B437" s="2"/>
      <c r="C437" s="2"/>
      <c r="D437" s="2"/>
      <c r="E437" s="2"/>
      <c r="F437" s="2"/>
      <c r="G437" s="2"/>
      <c r="H437" s="2"/>
      <c r="I437" s="2"/>
      <c r="J437" s="2"/>
      <c r="K437" s="2"/>
      <c r="L437" s="2"/>
      <c r="M437" s="2"/>
      <c r="N437" s="2"/>
    </row>
    <row r="438" spans="1:14" ht="13.8" x14ac:dyDescent="0.25">
      <c r="A438" s="2"/>
      <c r="B438" s="2"/>
      <c r="C438" s="2"/>
      <c r="D438" s="2"/>
      <c r="E438" s="2"/>
      <c r="F438" s="2"/>
      <c r="G438" s="2"/>
      <c r="H438" s="2"/>
      <c r="I438" s="2"/>
      <c r="J438" s="2"/>
      <c r="K438" s="2"/>
      <c r="L438" s="2"/>
      <c r="M438" s="2"/>
      <c r="N438" s="2"/>
    </row>
    <row r="439" spans="1:14" ht="13.8" x14ac:dyDescent="0.25">
      <c r="A439" s="2"/>
      <c r="B439" s="2"/>
      <c r="C439" s="2"/>
      <c r="D439" s="2"/>
      <c r="E439" s="2"/>
      <c r="F439" s="2"/>
      <c r="G439" s="2"/>
      <c r="H439" s="2"/>
      <c r="I439" s="2"/>
      <c r="J439" s="2"/>
      <c r="K439" s="2"/>
      <c r="L439" s="2"/>
      <c r="M439" s="2"/>
      <c r="N439" s="2"/>
    </row>
    <row r="440" spans="1:14" ht="13.8" x14ac:dyDescent="0.25">
      <c r="A440" s="2"/>
      <c r="B440" s="2"/>
      <c r="C440" s="2"/>
      <c r="D440" s="2"/>
      <c r="E440" s="2"/>
      <c r="F440" s="2"/>
      <c r="G440" s="2"/>
      <c r="H440" s="2"/>
      <c r="I440" s="2"/>
      <c r="J440" s="2"/>
      <c r="K440" s="2"/>
      <c r="L440" s="2"/>
      <c r="M440" s="2"/>
      <c r="N440" s="2"/>
    </row>
    <row r="441" spans="1:14" ht="13.8" x14ac:dyDescent="0.25">
      <c r="A441" s="2"/>
      <c r="B441" s="2"/>
      <c r="C441" s="2"/>
      <c r="D441" s="2"/>
      <c r="E441" s="2"/>
      <c r="F441" s="2"/>
      <c r="G441" s="2"/>
      <c r="H441" s="2"/>
      <c r="I441" s="2"/>
      <c r="J441" s="2"/>
      <c r="K441" s="2"/>
      <c r="L441" s="2"/>
      <c r="M441" s="2"/>
      <c r="N441" s="2"/>
    </row>
    <row r="442" spans="1:14" ht="13.8" x14ac:dyDescent="0.25">
      <c r="A442" s="2"/>
      <c r="B442" s="2"/>
      <c r="C442" s="2"/>
      <c r="D442" s="2"/>
      <c r="E442" s="2"/>
      <c r="F442" s="2"/>
      <c r="G442" s="2"/>
      <c r="H442" s="2"/>
      <c r="I442" s="2"/>
      <c r="J442" s="2"/>
      <c r="K442" s="2"/>
      <c r="L442" s="2"/>
      <c r="M442" s="2"/>
      <c r="N442" s="2"/>
    </row>
    <row r="443" spans="1:14" ht="13.8" x14ac:dyDescent="0.25">
      <c r="A443" s="2"/>
      <c r="B443" s="2"/>
      <c r="C443" s="2"/>
      <c r="D443" s="2"/>
      <c r="E443" s="2"/>
      <c r="F443" s="2"/>
      <c r="G443" s="2"/>
      <c r="H443" s="2"/>
      <c r="I443" s="2"/>
      <c r="J443" s="2"/>
      <c r="K443" s="2"/>
      <c r="L443" s="2"/>
      <c r="M443" s="2"/>
      <c r="N443" s="2"/>
    </row>
    <row r="444" spans="1:14" ht="13.8" x14ac:dyDescent="0.25">
      <c r="A444" s="2"/>
      <c r="B444" s="2"/>
      <c r="C444" s="2"/>
      <c r="D444" s="2"/>
      <c r="E444" s="2"/>
      <c r="F444" s="2"/>
      <c r="G444" s="2"/>
      <c r="H444" s="2"/>
      <c r="I444" s="2"/>
      <c r="J444" s="2"/>
      <c r="K444" s="2"/>
      <c r="L444" s="2"/>
      <c r="M444" s="2"/>
      <c r="N444" s="2"/>
    </row>
    <row r="445" spans="1:14" ht="13.8" x14ac:dyDescent="0.25">
      <c r="A445" s="2"/>
      <c r="B445" s="2"/>
      <c r="C445" s="2"/>
      <c r="D445" s="2"/>
      <c r="E445" s="2"/>
      <c r="F445" s="2"/>
      <c r="G445" s="2"/>
      <c r="H445" s="2"/>
      <c r="I445" s="2"/>
      <c r="J445" s="2"/>
      <c r="K445" s="2"/>
      <c r="L445" s="2"/>
      <c r="M445" s="2"/>
      <c r="N445" s="2"/>
    </row>
    <row r="446" spans="1:14" ht="13.8" x14ac:dyDescent="0.25">
      <c r="A446" s="2"/>
      <c r="B446" s="2"/>
      <c r="C446" s="2"/>
      <c r="D446" s="2"/>
      <c r="E446" s="2"/>
      <c r="F446" s="2"/>
      <c r="G446" s="2"/>
      <c r="H446" s="2"/>
      <c r="I446" s="2"/>
      <c r="J446" s="2"/>
      <c r="K446" s="2"/>
      <c r="L446" s="2"/>
      <c r="M446" s="2"/>
      <c r="N446" s="2"/>
    </row>
    <row r="447" spans="1:14" ht="13.8" x14ac:dyDescent="0.25">
      <c r="A447" s="2"/>
      <c r="B447" s="2"/>
      <c r="C447" s="2"/>
      <c r="D447" s="2"/>
      <c r="E447" s="2"/>
      <c r="F447" s="2"/>
      <c r="G447" s="2"/>
      <c r="H447" s="2"/>
      <c r="I447" s="2"/>
      <c r="J447" s="2"/>
      <c r="K447" s="2"/>
      <c r="L447" s="2"/>
      <c r="M447" s="2"/>
      <c r="N447" s="2"/>
    </row>
    <row r="448" spans="1:14" ht="13.8" x14ac:dyDescent="0.25">
      <c r="A448" s="2"/>
      <c r="B448" s="2"/>
      <c r="C448" s="2"/>
      <c r="D448" s="2"/>
      <c r="E448" s="2"/>
      <c r="F448" s="2"/>
      <c r="G448" s="2"/>
      <c r="H448" s="2"/>
      <c r="I448" s="2"/>
      <c r="J448" s="2"/>
      <c r="K448" s="2"/>
      <c r="L448" s="2"/>
      <c r="M448" s="2"/>
      <c r="N448" s="2"/>
    </row>
    <row r="449" spans="1:14" ht="13.8" x14ac:dyDescent="0.25">
      <c r="A449" s="2"/>
      <c r="B449" s="2"/>
      <c r="C449" s="2"/>
      <c r="D449" s="2"/>
      <c r="E449" s="2"/>
      <c r="F449" s="2"/>
      <c r="G449" s="2"/>
      <c r="H449" s="2"/>
      <c r="I449" s="2"/>
      <c r="J449" s="2"/>
      <c r="K449" s="2"/>
      <c r="L449" s="2"/>
      <c r="M449" s="2"/>
      <c r="N449" s="2"/>
    </row>
    <row r="450" spans="1:14" ht="13.8" x14ac:dyDescent="0.25">
      <c r="A450" s="2"/>
      <c r="B450" s="2"/>
      <c r="C450" s="2"/>
      <c r="D450" s="2"/>
      <c r="E450" s="2"/>
      <c r="F450" s="2"/>
      <c r="G450" s="2"/>
      <c r="H450" s="2"/>
      <c r="I450" s="2"/>
      <c r="J450" s="2"/>
      <c r="K450" s="2"/>
      <c r="L450" s="2"/>
      <c r="M450" s="2"/>
      <c r="N450" s="2"/>
    </row>
    <row r="451" spans="1:14" ht="13.8" x14ac:dyDescent="0.25">
      <c r="A451" s="2"/>
      <c r="B451" s="2"/>
      <c r="C451" s="2"/>
      <c r="D451" s="2"/>
      <c r="E451" s="2"/>
      <c r="F451" s="2"/>
      <c r="G451" s="2"/>
      <c r="H451" s="2"/>
      <c r="I451" s="2"/>
      <c r="J451" s="2"/>
      <c r="K451" s="2"/>
      <c r="L451" s="2"/>
      <c r="M451" s="2"/>
      <c r="N451" s="2"/>
    </row>
    <row r="452" spans="1:14" ht="13.8" x14ac:dyDescent="0.25">
      <c r="A452" s="2"/>
      <c r="B452" s="2"/>
      <c r="C452" s="2"/>
      <c r="D452" s="2"/>
      <c r="E452" s="2"/>
      <c r="F452" s="2"/>
      <c r="G452" s="2"/>
      <c r="H452" s="2"/>
      <c r="I452" s="2"/>
      <c r="J452" s="2"/>
      <c r="K452" s="2"/>
      <c r="L452" s="2"/>
      <c r="M452" s="2"/>
      <c r="N452" s="2"/>
    </row>
    <row r="453" spans="1:14" ht="13.8" x14ac:dyDescent="0.25">
      <c r="A453" s="2"/>
      <c r="B453" s="2"/>
      <c r="C453" s="2"/>
      <c r="D453" s="2"/>
      <c r="E453" s="2"/>
      <c r="F453" s="2"/>
      <c r="G453" s="2"/>
      <c r="H453" s="2"/>
      <c r="I453" s="2"/>
      <c r="J453" s="2"/>
      <c r="K453" s="2"/>
      <c r="L453" s="2"/>
      <c r="M453" s="2"/>
      <c r="N453" s="2"/>
    </row>
    <row r="454" spans="1:14" ht="13.8" x14ac:dyDescent="0.25">
      <c r="A454" s="2"/>
      <c r="B454" s="2"/>
      <c r="C454" s="2"/>
      <c r="D454" s="2"/>
      <c r="E454" s="2"/>
      <c r="F454" s="2"/>
      <c r="G454" s="2"/>
      <c r="H454" s="2"/>
      <c r="I454" s="2"/>
      <c r="J454" s="2"/>
      <c r="K454" s="2"/>
      <c r="L454" s="2"/>
      <c r="M454" s="2"/>
      <c r="N454" s="2"/>
    </row>
    <row r="455" spans="1:14" ht="13.8" x14ac:dyDescent="0.25">
      <c r="A455" s="2"/>
      <c r="B455" s="2"/>
      <c r="C455" s="2"/>
      <c r="D455" s="2"/>
      <c r="E455" s="2"/>
      <c r="F455" s="2"/>
      <c r="G455" s="2"/>
      <c r="H455" s="2"/>
      <c r="I455" s="2"/>
      <c r="J455" s="2"/>
      <c r="K455" s="2"/>
      <c r="L455" s="2"/>
      <c r="M455" s="2"/>
      <c r="N455" s="2"/>
    </row>
    <row r="456" spans="1:14" ht="13.8" x14ac:dyDescent="0.25">
      <c r="A456" s="2"/>
      <c r="B456" s="2"/>
      <c r="C456" s="2"/>
      <c r="D456" s="2"/>
      <c r="E456" s="2"/>
      <c r="F456" s="2"/>
      <c r="G456" s="2"/>
      <c r="H456" s="2"/>
      <c r="I456" s="2"/>
      <c r="J456" s="2"/>
      <c r="K456" s="2"/>
      <c r="L456" s="2"/>
      <c r="M456" s="2"/>
      <c r="N456" s="2"/>
    </row>
    <row r="457" spans="1:14" ht="13.8" x14ac:dyDescent="0.25">
      <c r="A457" s="2"/>
      <c r="B457" s="2"/>
      <c r="C457" s="2"/>
      <c r="D457" s="2"/>
      <c r="E457" s="2"/>
      <c r="F457" s="2"/>
      <c r="G457" s="2"/>
      <c r="H457" s="2"/>
      <c r="I457" s="2"/>
      <c r="J457" s="2"/>
      <c r="K457" s="2"/>
      <c r="L457" s="2"/>
      <c r="M457" s="2"/>
      <c r="N457" s="2"/>
    </row>
    <row r="458" spans="1:14" ht="13.8" x14ac:dyDescent="0.25">
      <c r="A458" s="2"/>
      <c r="B458" s="2"/>
      <c r="C458" s="2"/>
      <c r="D458" s="2"/>
      <c r="E458" s="2"/>
      <c r="F458" s="2"/>
      <c r="G458" s="2"/>
      <c r="H458" s="2"/>
      <c r="I458" s="2"/>
      <c r="J458" s="2"/>
      <c r="K458" s="2"/>
      <c r="L458" s="2"/>
      <c r="M458" s="2"/>
      <c r="N458" s="2"/>
    </row>
    <row r="459" spans="1:14" ht="13.8" x14ac:dyDescent="0.25">
      <c r="A459" s="2"/>
      <c r="B459" s="2"/>
      <c r="C459" s="2"/>
      <c r="D459" s="2"/>
      <c r="E459" s="2"/>
      <c r="F459" s="2"/>
      <c r="G459" s="2"/>
      <c r="H459" s="2"/>
      <c r="I459" s="2"/>
      <c r="J459" s="2"/>
      <c r="K459" s="2"/>
      <c r="L459" s="2"/>
      <c r="M459" s="2"/>
      <c r="N459" s="2"/>
    </row>
    <row r="460" spans="1:14" ht="13.8" x14ac:dyDescent="0.25">
      <c r="A460" s="2"/>
      <c r="B460" s="2"/>
      <c r="C460" s="2"/>
      <c r="D460" s="2"/>
      <c r="E460" s="2"/>
      <c r="F460" s="2"/>
      <c r="G460" s="2"/>
      <c r="H460" s="2"/>
      <c r="I460" s="2"/>
      <c r="J460" s="2"/>
      <c r="K460" s="2"/>
      <c r="L460" s="2"/>
      <c r="M460" s="2"/>
      <c r="N460" s="2"/>
    </row>
    <row r="461" spans="1:14" ht="13.8" x14ac:dyDescent="0.25">
      <c r="A461" s="2"/>
      <c r="B461" s="2"/>
      <c r="C461" s="2"/>
      <c r="D461" s="2"/>
      <c r="E461" s="2"/>
      <c r="F461" s="2"/>
      <c r="G461" s="2"/>
      <c r="H461" s="2"/>
      <c r="I461" s="2"/>
      <c r="J461" s="2"/>
      <c r="K461" s="2"/>
      <c r="L461" s="2"/>
      <c r="M461" s="2"/>
      <c r="N461" s="2"/>
    </row>
    <row r="462" spans="1:14" ht="13.8" x14ac:dyDescent="0.25">
      <c r="A462" s="2"/>
      <c r="B462" s="2"/>
      <c r="C462" s="2"/>
      <c r="D462" s="2"/>
      <c r="E462" s="2"/>
      <c r="F462" s="2"/>
      <c r="G462" s="2"/>
      <c r="H462" s="2"/>
      <c r="I462" s="2"/>
      <c r="J462" s="2"/>
      <c r="K462" s="2"/>
      <c r="L462" s="2"/>
      <c r="M462" s="2"/>
      <c r="N462" s="2"/>
    </row>
    <row r="463" spans="1:14" ht="13.8" x14ac:dyDescent="0.25">
      <c r="A463" s="2"/>
      <c r="B463" s="2"/>
      <c r="C463" s="2"/>
      <c r="D463" s="2"/>
      <c r="E463" s="2"/>
      <c r="F463" s="2"/>
      <c r="G463" s="2"/>
      <c r="H463" s="2"/>
      <c r="I463" s="2"/>
      <c r="J463" s="2"/>
      <c r="K463" s="2"/>
      <c r="L463" s="2"/>
      <c r="M463" s="2"/>
      <c r="N463" s="2"/>
    </row>
    <row r="464" spans="1:14" ht="13.8" x14ac:dyDescent="0.25">
      <c r="A464" s="2"/>
      <c r="B464" s="2"/>
      <c r="C464" s="2"/>
      <c r="D464" s="2"/>
      <c r="E464" s="2"/>
      <c r="F464" s="2"/>
      <c r="G464" s="2"/>
      <c r="H464" s="2"/>
      <c r="I464" s="2"/>
      <c r="J464" s="2"/>
      <c r="K464" s="2"/>
      <c r="L464" s="2"/>
      <c r="M464" s="2"/>
      <c r="N464" s="2"/>
    </row>
    <row r="465" spans="1:14" ht="13.8" x14ac:dyDescent="0.25">
      <c r="A465" s="2"/>
      <c r="B465" s="2"/>
      <c r="C465" s="2"/>
      <c r="D465" s="2"/>
      <c r="E465" s="2"/>
      <c r="F465" s="2"/>
      <c r="G465" s="2"/>
      <c r="H465" s="2"/>
      <c r="I465" s="2"/>
      <c r="J465" s="2"/>
      <c r="K465" s="2"/>
      <c r="L465" s="2"/>
      <c r="M465" s="2"/>
      <c r="N465" s="2"/>
    </row>
    <row r="466" spans="1:14" ht="13.8" x14ac:dyDescent="0.25">
      <c r="A466" s="2"/>
      <c r="B466" s="2"/>
      <c r="C466" s="2"/>
      <c r="D466" s="2"/>
      <c r="E466" s="2"/>
      <c r="F466" s="2"/>
      <c r="G466" s="2"/>
      <c r="H466" s="2"/>
      <c r="I466" s="2"/>
      <c r="J466" s="2"/>
      <c r="K466" s="2"/>
      <c r="L466" s="2"/>
      <c r="M466" s="2"/>
      <c r="N466" s="2"/>
    </row>
    <row r="467" spans="1:14" ht="13.8" x14ac:dyDescent="0.25">
      <c r="A467" s="2"/>
      <c r="B467" s="2"/>
      <c r="C467" s="2"/>
      <c r="D467" s="2"/>
      <c r="E467" s="2"/>
      <c r="F467" s="2"/>
      <c r="G467" s="2"/>
      <c r="H467" s="2"/>
      <c r="I467" s="2"/>
      <c r="J467" s="2"/>
      <c r="K467" s="2"/>
      <c r="L467" s="2"/>
      <c r="M467" s="2"/>
      <c r="N467" s="2"/>
    </row>
    <row r="468" spans="1:14" ht="13.8" x14ac:dyDescent="0.25">
      <c r="A468" s="2"/>
      <c r="B468" s="2"/>
      <c r="C468" s="2"/>
      <c r="D468" s="2"/>
      <c r="E468" s="2"/>
      <c r="F468" s="2"/>
      <c r="G468" s="2"/>
      <c r="H468" s="2"/>
      <c r="I468" s="2"/>
      <c r="J468" s="2"/>
      <c r="K468" s="2"/>
      <c r="L468" s="2"/>
      <c r="M468" s="2"/>
      <c r="N468" s="2"/>
    </row>
    <row r="469" spans="1:14" ht="13.8" x14ac:dyDescent="0.25">
      <c r="A469" s="2"/>
      <c r="B469" s="2"/>
      <c r="C469" s="2"/>
      <c r="D469" s="2"/>
      <c r="E469" s="2"/>
      <c r="F469" s="2"/>
      <c r="G469" s="2"/>
      <c r="H469" s="2"/>
      <c r="I469" s="2"/>
      <c r="J469" s="2"/>
      <c r="K469" s="2"/>
      <c r="L469" s="2"/>
      <c r="M469" s="2"/>
      <c r="N469" s="2"/>
    </row>
    <row r="470" spans="1:14" ht="13.8" x14ac:dyDescent="0.25">
      <c r="A470" s="2"/>
      <c r="B470" s="2"/>
      <c r="C470" s="2"/>
      <c r="D470" s="2"/>
      <c r="E470" s="2"/>
      <c r="F470" s="2"/>
      <c r="G470" s="2"/>
      <c r="H470" s="2"/>
      <c r="I470" s="2"/>
      <c r="J470" s="2"/>
      <c r="K470" s="2"/>
      <c r="L470" s="2"/>
      <c r="M470" s="2"/>
      <c r="N470" s="2"/>
    </row>
    <row r="471" spans="1:14" ht="13.8" x14ac:dyDescent="0.25">
      <c r="A471" s="2"/>
      <c r="B471" s="2"/>
      <c r="C471" s="2"/>
      <c r="D471" s="2"/>
      <c r="E471" s="2"/>
      <c r="F471" s="2"/>
      <c r="G471" s="2"/>
      <c r="H471" s="2"/>
      <c r="I471" s="2"/>
      <c r="J471" s="2"/>
      <c r="K471" s="2"/>
      <c r="L471" s="2"/>
      <c r="M471" s="2"/>
      <c r="N471" s="2"/>
    </row>
    <row r="472" spans="1:14" ht="13.8" x14ac:dyDescent="0.25">
      <c r="A472" s="2"/>
      <c r="B472" s="2"/>
      <c r="C472" s="2"/>
      <c r="D472" s="2"/>
      <c r="E472" s="2"/>
      <c r="F472" s="2"/>
      <c r="G472" s="2"/>
      <c r="H472" s="2"/>
      <c r="I472" s="2"/>
      <c r="J472" s="2"/>
      <c r="K472" s="2"/>
      <c r="L472" s="2"/>
      <c r="M472" s="2"/>
      <c r="N472" s="2"/>
    </row>
    <row r="473" spans="1:14" ht="13.8" x14ac:dyDescent="0.25">
      <c r="A473" s="2"/>
      <c r="B473" s="2"/>
      <c r="C473" s="2"/>
      <c r="D473" s="2"/>
      <c r="E473" s="2"/>
      <c r="F473" s="2"/>
      <c r="G473" s="2"/>
      <c r="H473" s="2"/>
      <c r="I473" s="2"/>
      <c r="J473" s="2"/>
      <c r="K473" s="2"/>
      <c r="L473" s="2"/>
      <c r="M473" s="2"/>
      <c r="N473" s="2"/>
    </row>
    <row r="474" spans="1:14" ht="13.8" x14ac:dyDescent="0.25">
      <c r="A474" s="2"/>
      <c r="B474" s="2"/>
      <c r="C474" s="2"/>
      <c r="D474" s="2"/>
      <c r="E474" s="2"/>
      <c r="F474" s="2"/>
      <c r="G474" s="2"/>
      <c r="H474" s="2"/>
      <c r="I474" s="2"/>
      <c r="J474" s="2"/>
      <c r="K474" s="2"/>
      <c r="L474" s="2"/>
      <c r="M474" s="2"/>
      <c r="N474" s="2"/>
    </row>
    <row r="475" spans="1:14" ht="13.8" x14ac:dyDescent="0.25">
      <c r="A475" s="2"/>
      <c r="B475" s="2"/>
      <c r="C475" s="2"/>
      <c r="D475" s="2"/>
      <c r="E475" s="2"/>
      <c r="F475" s="2"/>
      <c r="G475" s="2"/>
      <c r="H475" s="2"/>
      <c r="I475" s="2"/>
      <c r="J475" s="2"/>
      <c r="K475" s="2"/>
      <c r="L475" s="2"/>
      <c r="M475" s="2"/>
      <c r="N475" s="2"/>
    </row>
    <row r="476" spans="1:14" ht="13.8" x14ac:dyDescent="0.25">
      <c r="A476" s="2"/>
      <c r="B476" s="2"/>
      <c r="C476" s="2"/>
      <c r="D476" s="2"/>
      <c r="E476" s="2"/>
      <c r="F476" s="2"/>
      <c r="G476" s="2"/>
      <c r="H476" s="2"/>
      <c r="I476" s="2"/>
      <c r="J476" s="2"/>
      <c r="K476" s="2"/>
      <c r="L476" s="2"/>
      <c r="M476" s="2"/>
      <c r="N476" s="2"/>
    </row>
    <row r="477" spans="1:14" ht="13.8" x14ac:dyDescent="0.25">
      <c r="A477" s="2"/>
      <c r="B477" s="2"/>
      <c r="C477" s="2"/>
      <c r="D477" s="2"/>
      <c r="E477" s="2"/>
      <c r="F477" s="2"/>
      <c r="G477" s="2"/>
      <c r="H477" s="2"/>
      <c r="I477" s="2"/>
      <c r="J477" s="2"/>
      <c r="K477" s="2"/>
      <c r="L477" s="2"/>
      <c r="M477" s="2"/>
      <c r="N477" s="2"/>
    </row>
    <row r="478" spans="1:14" ht="13.8" x14ac:dyDescent="0.25">
      <c r="A478" s="2"/>
      <c r="B478" s="2"/>
      <c r="C478" s="2"/>
      <c r="D478" s="2"/>
      <c r="E478" s="2"/>
      <c r="F478" s="2"/>
      <c r="G478" s="2"/>
      <c r="H478" s="2"/>
      <c r="I478" s="2"/>
      <c r="J478" s="2"/>
      <c r="K478" s="2"/>
      <c r="L478" s="2"/>
      <c r="M478" s="2"/>
      <c r="N478" s="2"/>
    </row>
    <row r="479" spans="1:14" ht="13.8" x14ac:dyDescent="0.25">
      <c r="A479" s="2"/>
      <c r="B479" s="2"/>
      <c r="C479" s="2"/>
      <c r="D479" s="2"/>
      <c r="E479" s="2"/>
      <c r="F479" s="2"/>
      <c r="G479" s="2"/>
      <c r="H479" s="2"/>
      <c r="I479" s="2"/>
      <c r="J479" s="2"/>
      <c r="K479" s="2"/>
      <c r="L479" s="2"/>
      <c r="M479" s="2"/>
      <c r="N479" s="2"/>
    </row>
    <row r="480" spans="1:14" ht="13.8" x14ac:dyDescent="0.25">
      <c r="A480" s="2"/>
      <c r="B480" s="2"/>
      <c r="C480" s="2"/>
      <c r="D480" s="2"/>
      <c r="E480" s="2"/>
      <c r="F480" s="2"/>
      <c r="G480" s="2"/>
      <c r="H480" s="2"/>
      <c r="I480" s="2"/>
      <c r="J480" s="2"/>
      <c r="K480" s="2"/>
      <c r="L480" s="2"/>
      <c r="M480" s="2"/>
      <c r="N480" s="2"/>
    </row>
    <row r="481" spans="1:14" ht="13.8" x14ac:dyDescent="0.25">
      <c r="A481" s="2"/>
      <c r="B481" s="2"/>
      <c r="C481" s="2"/>
      <c r="D481" s="2"/>
      <c r="E481" s="2"/>
      <c r="F481" s="2"/>
      <c r="G481" s="2"/>
      <c r="H481" s="2"/>
      <c r="I481" s="2"/>
      <c r="J481" s="2"/>
      <c r="K481" s="2"/>
      <c r="L481" s="2"/>
      <c r="M481" s="2"/>
      <c r="N481" s="2"/>
    </row>
    <row r="482" spans="1:14" ht="13.8" x14ac:dyDescent="0.25">
      <c r="A482" s="2"/>
      <c r="B482" s="2"/>
      <c r="C482" s="2"/>
      <c r="D482" s="2"/>
      <c r="E482" s="2"/>
      <c r="F482" s="2"/>
      <c r="G482" s="2"/>
      <c r="H482" s="2"/>
      <c r="I482" s="2"/>
      <c r="J482" s="2"/>
      <c r="K482" s="2"/>
      <c r="L482" s="2"/>
      <c r="M482" s="2"/>
      <c r="N482" s="2"/>
    </row>
    <row r="483" spans="1:14" ht="13.8" x14ac:dyDescent="0.25">
      <c r="A483" s="2"/>
      <c r="B483" s="2"/>
      <c r="C483" s="2"/>
      <c r="D483" s="2"/>
      <c r="E483" s="2"/>
      <c r="F483" s="2"/>
      <c r="G483" s="2"/>
      <c r="H483" s="2"/>
      <c r="I483" s="2"/>
      <c r="J483" s="2"/>
      <c r="K483" s="2"/>
      <c r="L483" s="2"/>
      <c r="M483" s="2"/>
      <c r="N483" s="2"/>
    </row>
    <row r="484" spans="1:14" ht="13.8" x14ac:dyDescent="0.25">
      <c r="A484" s="2"/>
      <c r="B484" s="2"/>
      <c r="C484" s="2"/>
      <c r="D484" s="2"/>
      <c r="E484" s="2"/>
      <c r="F484" s="2"/>
      <c r="G484" s="2"/>
      <c r="H484" s="2"/>
      <c r="I484" s="2"/>
      <c r="J484" s="2"/>
      <c r="K484" s="2"/>
      <c r="L484" s="2"/>
      <c r="M484" s="2"/>
      <c r="N484" s="2"/>
    </row>
    <row r="485" spans="1:14" ht="13.8" x14ac:dyDescent="0.25">
      <c r="A485" s="2"/>
      <c r="B485" s="2"/>
      <c r="C485" s="2"/>
      <c r="D485" s="2"/>
      <c r="E485" s="2"/>
      <c r="F485" s="2"/>
      <c r="G485" s="2"/>
      <c r="H485" s="2"/>
      <c r="I485" s="2"/>
      <c r="J485" s="2"/>
      <c r="K485" s="2"/>
      <c r="L485" s="2"/>
      <c r="M485" s="2"/>
      <c r="N485" s="2"/>
    </row>
    <row r="486" spans="1:14" ht="13.8" x14ac:dyDescent="0.25">
      <c r="A486" s="2"/>
      <c r="B486" s="2"/>
      <c r="C486" s="2"/>
      <c r="D486" s="2"/>
      <c r="E486" s="2"/>
      <c r="F486" s="2"/>
      <c r="G486" s="2"/>
      <c r="H486" s="2"/>
      <c r="I486" s="2"/>
      <c r="J486" s="2"/>
      <c r="K486" s="2"/>
      <c r="L486" s="2"/>
      <c r="M486" s="2"/>
      <c r="N486" s="2"/>
    </row>
    <row r="487" spans="1:14" ht="13.8" x14ac:dyDescent="0.25">
      <c r="A487" s="2"/>
      <c r="B487" s="2"/>
      <c r="C487" s="2"/>
      <c r="D487" s="2"/>
      <c r="E487" s="2"/>
      <c r="F487" s="2"/>
      <c r="G487" s="2"/>
      <c r="H487" s="2"/>
      <c r="I487" s="2"/>
      <c r="J487" s="2"/>
      <c r="K487" s="2"/>
      <c r="L487" s="2"/>
      <c r="M487" s="2"/>
      <c r="N487" s="2"/>
    </row>
    <row r="488" spans="1:14" ht="13.8" x14ac:dyDescent="0.25">
      <c r="A488" s="2"/>
      <c r="B488" s="2"/>
      <c r="C488" s="2"/>
      <c r="D488" s="2"/>
      <c r="E488" s="2"/>
      <c r="F488" s="2"/>
      <c r="G488" s="2"/>
      <c r="H488" s="2"/>
      <c r="I488" s="2"/>
      <c r="J488" s="2"/>
      <c r="K488" s="2"/>
      <c r="L488" s="2"/>
      <c r="M488" s="2"/>
      <c r="N488" s="2"/>
    </row>
    <row r="489" spans="1:14" ht="13.8" x14ac:dyDescent="0.25">
      <c r="A489" s="2"/>
      <c r="B489" s="2"/>
      <c r="C489" s="2"/>
      <c r="D489" s="2"/>
      <c r="E489" s="2"/>
      <c r="F489" s="2"/>
      <c r="G489" s="2"/>
      <c r="H489" s="2"/>
      <c r="I489" s="2"/>
      <c r="J489" s="2"/>
      <c r="K489" s="2"/>
      <c r="L489" s="2"/>
      <c r="M489" s="2"/>
      <c r="N489" s="2"/>
    </row>
    <row r="490" spans="1:14" ht="13.8" x14ac:dyDescent="0.25">
      <c r="A490" s="2"/>
      <c r="B490" s="2"/>
      <c r="C490" s="2"/>
      <c r="D490" s="2"/>
      <c r="E490" s="2"/>
      <c r="F490" s="2"/>
      <c r="G490" s="2"/>
      <c r="H490" s="2"/>
      <c r="I490" s="2"/>
      <c r="J490" s="2"/>
      <c r="K490" s="2"/>
      <c r="L490" s="2"/>
      <c r="M490" s="2"/>
      <c r="N490" s="2"/>
    </row>
    <row r="491" spans="1:14" ht="13.8" x14ac:dyDescent="0.25">
      <c r="A491" s="2"/>
      <c r="B491" s="2"/>
      <c r="C491" s="2"/>
      <c r="D491" s="2"/>
      <c r="E491" s="2"/>
      <c r="F491" s="2"/>
      <c r="G491" s="2"/>
      <c r="H491" s="2"/>
      <c r="I491" s="2"/>
      <c r="J491" s="2"/>
      <c r="K491" s="2"/>
      <c r="L491" s="2"/>
      <c r="M491" s="2"/>
      <c r="N491" s="2"/>
    </row>
    <row r="492" spans="1:14" ht="13.8" x14ac:dyDescent="0.25">
      <c r="A492" s="2"/>
      <c r="B492" s="2"/>
      <c r="C492" s="2"/>
      <c r="D492" s="2"/>
      <c r="E492" s="2"/>
      <c r="F492" s="2"/>
      <c r="G492" s="2"/>
      <c r="H492" s="2"/>
      <c r="I492" s="2"/>
      <c r="J492" s="2"/>
      <c r="K492" s="2"/>
      <c r="L492" s="2"/>
      <c r="M492" s="2"/>
      <c r="N492" s="2"/>
    </row>
    <row r="493" spans="1:14" ht="13.8" x14ac:dyDescent="0.25">
      <c r="A493" s="2"/>
      <c r="B493" s="2"/>
      <c r="C493" s="2"/>
      <c r="D493" s="2"/>
      <c r="E493" s="2"/>
      <c r="F493" s="2"/>
      <c r="G493" s="2"/>
      <c r="H493" s="2"/>
      <c r="I493" s="2"/>
      <c r="J493" s="2"/>
      <c r="K493" s="2"/>
      <c r="L493" s="2"/>
      <c r="M493" s="2"/>
      <c r="N493" s="2"/>
    </row>
    <row r="494" spans="1:14" ht="13.8" x14ac:dyDescent="0.25">
      <c r="A494" s="2"/>
      <c r="B494" s="2"/>
      <c r="C494" s="2"/>
      <c r="D494" s="2"/>
      <c r="E494" s="2"/>
      <c r="F494" s="2"/>
      <c r="G494" s="2"/>
      <c r="H494" s="2"/>
      <c r="I494" s="2"/>
      <c r="J494" s="2"/>
      <c r="K494" s="2"/>
      <c r="L494" s="2"/>
      <c r="M494" s="2"/>
      <c r="N494" s="2"/>
    </row>
    <row r="495" spans="1:14" ht="13.8" x14ac:dyDescent="0.25">
      <c r="A495" s="2"/>
      <c r="B495" s="2"/>
      <c r="C495" s="2"/>
      <c r="D495" s="2"/>
      <c r="E495" s="2"/>
      <c r="F495" s="2"/>
      <c r="G495" s="2"/>
      <c r="H495" s="2"/>
      <c r="I495" s="2"/>
      <c r="J495" s="2"/>
      <c r="K495" s="2"/>
      <c r="L495" s="2"/>
      <c r="M495" s="2"/>
      <c r="N495" s="2"/>
    </row>
    <row r="496" spans="1:14" ht="13.8" x14ac:dyDescent="0.25">
      <c r="A496" s="2"/>
      <c r="B496" s="2"/>
      <c r="C496" s="2"/>
      <c r="D496" s="2"/>
      <c r="E496" s="2"/>
      <c r="F496" s="2"/>
      <c r="G496" s="2"/>
      <c r="H496" s="2"/>
      <c r="I496" s="2"/>
      <c r="J496" s="2"/>
      <c r="K496" s="2"/>
      <c r="L496" s="2"/>
      <c r="M496" s="2"/>
      <c r="N496" s="2"/>
    </row>
    <row r="497" spans="1:14" ht="13.8" x14ac:dyDescent="0.25">
      <c r="A497" s="2"/>
      <c r="B497" s="2"/>
      <c r="C497" s="2"/>
      <c r="D497" s="2"/>
      <c r="E497" s="2"/>
      <c r="F497" s="2"/>
      <c r="G497" s="2"/>
      <c r="H497" s="2"/>
      <c r="I497" s="2"/>
      <c r="J497" s="2"/>
      <c r="K497" s="2"/>
      <c r="L497" s="2"/>
      <c r="M497" s="2"/>
      <c r="N497" s="2"/>
    </row>
    <row r="498" spans="1:14" ht="13.8" x14ac:dyDescent="0.25">
      <c r="A498" s="2"/>
      <c r="B498" s="2"/>
      <c r="C498" s="2"/>
      <c r="D498" s="2"/>
      <c r="E498" s="2"/>
      <c r="F498" s="2"/>
      <c r="G498" s="2"/>
      <c r="H498" s="2"/>
      <c r="I498" s="2"/>
      <c r="J498" s="2"/>
      <c r="K498" s="2"/>
      <c r="L498" s="2"/>
      <c r="M498" s="2"/>
      <c r="N498" s="2"/>
    </row>
    <row r="499" spans="1:14" ht="13.8" x14ac:dyDescent="0.25">
      <c r="A499" s="2"/>
      <c r="B499" s="2"/>
      <c r="C499" s="2"/>
      <c r="D499" s="2"/>
      <c r="E499" s="2"/>
      <c r="F499" s="2"/>
      <c r="G499" s="2"/>
      <c r="H499" s="2"/>
      <c r="I499" s="2"/>
      <c r="J499" s="2"/>
      <c r="K499" s="2"/>
      <c r="L499" s="2"/>
      <c r="M499" s="2"/>
      <c r="N499" s="2"/>
    </row>
    <row r="500" spans="1:14" ht="13.8" x14ac:dyDescent="0.25">
      <c r="A500" s="2"/>
      <c r="B500" s="2"/>
      <c r="C500" s="2"/>
      <c r="D500" s="2"/>
      <c r="E500" s="2"/>
      <c r="F500" s="2"/>
      <c r="G500" s="2"/>
      <c r="H500" s="2"/>
      <c r="I500" s="2"/>
      <c r="J500" s="2"/>
      <c r="K500" s="2"/>
      <c r="L500" s="2"/>
      <c r="M500" s="2"/>
      <c r="N500" s="2"/>
    </row>
    <row r="501" spans="1:14" ht="13.8" x14ac:dyDescent="0.25">
      <c r="A501" s="2"/>
      <c r="B501" s="2"/>
      <c r="C501" s="2"/>
      <c r="D501" s="2"/>
      <c r="E501" s="2"/>
      <c r="F501" s="2"/>
      <c r="G501" s="2"/>
      <c r="H501" s="2"/>
      <c r="I501" s="2"/>
      <c r="J501" s="2"/>
      <c r="K501" s="2"/>
      <c r="L501" s="2"/>
      <c r="M501" s="2"/>
      <c r="N501" s="2"/>
    </row>
    <row r="502" spans="1:14" ht="13.8" x14ac:dyDescent="0.25">
      <c r="A502" s="2"/>
      <c r="B502" s="2"/>
      <c r="C502" s="2"/>
      <c r="D502" s="2"/>
      <c r="E502" s="2"/>
      <c r="F502" s="2"/>
      <c r="G502" s="2"/>
      <c r="H502" s="2"/>
      <c r="I502" s="2"/>
      <c r="J502" s="2"/>
      <c r="K502" s="2"/>
      <c r="L502" s="2"/>
      <c r="M502" s="2"/>
      <c r="N502" s="2"/>
    </row>
    <row r="503" spans="1:14" ht="13.8" x14ac:dyDescent="0.25">
      <c r="A503" s="2"/>
      <c r="B503" s="2"/>
      <c r="C503" s="2"/>
      <c r="D503" s="2"/>
      <c r="E503" s="2"/>
      <c r="F503" s="2"/>
      <c r="G503" s="2"/>
      <c r="H503" s="2"/>
      <c r="I503" s="2"/>
      <c r="J503" s="2"/>
      <c r="K503" s="2"/>
      <c r="L503" s="2"/>
      <c r="M503" s="2"/>
      <c r="N503" s="2"/>
    </row>
    <row r="504" spans="1:14" ht="13.8" x14ac:dyDescent="0.25">
      <c r="A504" s="2"/>
      <c r="B504" s="2"/>
      <c r="C504" s="2"/>
      <c r="D504" s="2"/>
      <c r="E504" s="2"/>
      <c r="F504" s="2"/>
      <c r="G504" s="2"/>
      <c r="H504" s="2"/>
      <c r="I504" s="2"/>
      <c r="J504" s="2"/>
      <c r="K504" s="2"/>
      <c r="L504" s="2"/>
      <c r="M504" s="2"/>
      <c r="N504" s="2"/>
    </row>
    <row r="505" spans="1:14" ht="13.8" x14ac:dyDescent="0.25">
      <c r="A505" s="2"/>
      <c r="B505" s="2"/>
      <c r="C505" s="2"/>
      <c r="D505" s="2"/>
      <c r="E505" s="2"/>
      <c r="F505" s="2"/>
      <c r="G505" s="2"/>
      <c r="H505" s="2"/>
      <c r="I505" s="2"/>
      <c r="J505" s="2"/>
      <c r="K505" s="2"/>
      <c r="L505" s="2"/>
      <c r="M505" s="2"/>
      <c r="N505" s="2"/>
    </row>
    <row r="506" spans="1:14" ht="13.8" x14ac:dyDescent="0.25">
      <c r="A506" s="2"/>
      <c r="B506" s="2"/>
      <c r="C506" s="2"/>
      <c r="D506" s="2"/>
      <c r="E506" s="2"/>
      <c r="F506" s="2"/>
      <c r="G506" s="2"/>
      <c r="H506" s="2"/>
      <c r="I506" s="2"/>
      <c r="J506" s="2"/>
      <c r="K506" s="2"/>
      <c r="L506" s="2"/>
      <c r="M506" s="2"/>
      <c r="N506" s="2"/>
    </row>
    <row r="507" spans="1:14" ht="13.8" x14ac:dyDescent="0.25">
      <c r="A507" s="2"/>
      <c r="B507" s="2"/>
      <c r="C507" s="2"/>
      <c r="D507" s="2"/>
      <c r="E507" s="2"/>
      <c r="F507" s="2"/>
      <c r="G507" s="2"/>
      <c r="H507" s="2"/>
      <c r="I507" s="2"/>
      <c r="J507" s="2"/>
      <c r="K507" s="2"/>
      <c r="L507" s="2"/>
      <c r="M507" s="2"/>
      <c r="N507" s="2"/>
    </row>
    <row r="508" spans="1:14" ht="13.8" x14ac:dyDescent="0.25">
      <c r="A508" s="2"/>
      <c r="B508" s="2"/>
      <c r="C508" s="2"/>
      <c r="D508" s="2"/>
      <c r="E508" s="2"/>
      <c r="F508" s="2"/>
      <c r="G508" s="2"/>
      <c r="H508" s="2"/>
      <c r="I508" s="2"/>
      <c r="J508" s="2"/>
      <c r="K508" s="2"/>
      <c r="L508" s="2"/>
      <c r="M508" s="2"/>
      <c r="N508" s="2"/>
    </row>
    <row r="509" spans="1:14" ht="13.8" x14ac:dyDescent="0.25">
      <c r="A509" s="2"/>
      <c r="B509" s="2"/>
      <c r="C509" s="2"/>
      <c r="D509" s="2"/>
      <c r="E509" s="2"/>
      <c r="F509" s="2"/>
      <c r="G509" s="2"/>
      <c r="H509" s="2"/>
      <c r="I509" s="2"/>
      <c r="J509" s="2"/>
      <c r="K509" s="2"/>
      <c r="L509" s="2"/>
      <c r="M509" s="2"/>
      <c r="N509" s="2"/>
    </row>
    <row r="510" spans="1:14" ht="13.8" x14ac:dyDescent="0.25">
      <c r="A510" s="2"/>
      <c r="B510" s="2"/>
      <c r="C510" s="2"/>
      <c r="D510" s="2"/>
      <c r="E510" s="2"/>
      <c r="F510" s="2"/>
      <c r="G510" s="2"/>
      <c r="H510" s="2"/>
      <c r="I510" s="2"/>
      <c r="J510" s="2"/>
      <c r="K510" s="2"/>
      <c r="L510" s="2"/>
      <c r="M510" s="2"/>
      <c r="N510" s="2"/>
    </row>
    <row r="511" spans="1:14" ht="13.8" x14ac:dyDescent="0.25">
      <c r="A511" s="2"/>
      <c r="B511" s="2"/>
      <c r="C511" s="2"/>
      <c r="D511" s="2"/>
      <c r="E511" s="2"/>
      <c r="F511" s="2"/>
      <c r="G511" s="2"/>
      <c r="H511" s="2"/>
      <c r="I511" s="2"/>
      <c r="J511" s="2"/>
      <c r="K511" s="2"/>
      <c r="L511" s="2"/>
      <c r="M511" s="2"/>
      <c r="N511" s="2"/>
    </row>
    <row r="512" spans="1:14" ht="13.8" x14ac:dyDescent="0.25">
      <c r="A512" s="2"/>
      <c r="B512" s="2"/>
      <c r="C512" s="2"/>
      <c r="D512" s="2"/>
      <c r="E512" s="2"/>
      <c r="F512" s="2"/>
      <c r="G512" s="2"/>
      <c r="H512" s="2"/>
      <c r="I512" s="2"/>
      <c r="J512" s="2"/>
      <c r="K512" s="2"/>
      <c r="L512" s="2"/>
      <c r="M512" s="2"/>
      <c r="N512" s="2"/>
    </row>
    <row r="513" spans="1:14" ht="13.8" x14ac:dyDescent="0.25">
      <c r="A513" s="2"/>
      <c r="B513" s="2"/>
      <c r="C513" s="2"/>
      <c r="D513" s="2"/>
      <c r="E513" s="2"/>
      <c r="F513" s="2"/>
      <c r="G513" s="2"/>
      <c r="H513" s="2"/>
      <c r="I513" s="2"/>
      <c r="J513" s="2"/>
      <c r="K513" s="2"/>
      <c r="L513" s="2"/>
      <c r="M513" s="2"/>
      <c r="N513" s="2"/>
    </row>
    <row r="514" spans="1:14" ht="13.8" x14ac:dyDescent="0.25">
      <c r="A514" s="2"/>
      <c r="B514" s="2"/>
      <c r="C514" s="2"/>
      <c r="D514" s="2"/>
      <c r="E514" s="2"/>
      <c r="F514" s="2"/>
      <c r="G514" s="2"/>
      <c r="H514" s="2"/>
      <c r="I514" s="2"/>
      <c r="J514" s="2"/>
      <c r="K514" s="2"/>
      <c r="L514" s="2"/>
      <c r="M514" s="2"/>
      <c r="N514" s="2"/>
    </row>
    <row r="515" spans="1:14" ht="13.8" x14ac:dyDescent="0.25">
      <c r="A515" s="2"/>
      <c r="B515" s="2"/>
      <c r="C515" s="2"/>
      <c r="D515" s="2"/>
      <c r="E515" s="2"/>
      <c r="F515" s="2"/>
      <c r="G515" s="2"/>
      <c r="H515" s="2"/>
      <c r="I515" s="2"/>
      <c r="J515" s="2"/>
      <c r="K515" s="2"/>
      <c r="L515" s="2"/>
      <c r="M515" s="2"/>
      <c r="N515" s="2"/>
    </row>
    <row r="516" spans="1:14" ht="13.8" x14ac:dyDescent="0.25">
      <c r="A516" s="2"/>
      <c r="B516" s="2"/>
      <c r="C516" s="2"/>
      <c r="D516" s="2"/>
      <c r="E516" s="2"/>
      <c r="F516" s="2"/>
      <c r="G516" s="2"/>
      <c r="H516" s="2"/>
      <c r="I516" s="2"/>
      <c r="J516" s="2"/>
      <c r="K516" s="2"/>
      <c r="L516" s="2"/>
      <c r="M516" s="2"/>
      <c r="N516" s="2"/>
    </row>
    <row r="517" spans="1:14" ht="13.8" x14ac:dyDescent="0.25">
      <c r="A517" s="2"/>
      <c r="B517" s="2"/>
      <c r="C517" s="2"/>
      <c r="D517" s="2"/>
      <c r="E517" s="2"/>
      <c r="F517" s="2"/>
      <c r="G517" s="2"/>
      <c r="H517" s="2"/>
      <c r="I517" s="2"/>
      <c r="J517" s="2"/>
      <c r="K517" s="2"/>
      <c r="L517" s="2"/>
      <c r="M517" s="2"/>
      <c r="N517" s="2"/>
    </row>
    <row r="518" spans="1:14" ht="13.8" x14ac:dyDescent="0.25">
      <c r="A518" s="2"/>
      <c r="B518" s="2"/>
      <c r="C518" s="2"/>
      <c r="D518" s="2"/>
      <c r="E518" s="2"/>
      <c r="F518" s="2"/>
      <c r="G518" s="2"/>
      <c r="H518" s="2"/>
      <c r="I518" s="2"/>
      <c r="J518" s="2"/>
      <c r="K518" s="2"/>
      <c r="L518" s="2"/>
      <c r="M518" s="2"/>
      <c r="N518" s="2"/>
    </row>
    <row r="519" spans="1:14" ht="13.8" x14ac:dyDescent="0.25">
      <c r="A519" s="2"/>
      <c r="B519" s="2"/>
      <c r="C519" s="2"/>
      <c r="D519" s="2"/>
      <c r="E519" s="2"/>
      <c r="F519" s="2"/>
      <c r="G519" s="2"/>
      <c r="H519" s="2"/>
      <c r="I519" s="2"/>
      <c r="J519" s="2"/>
      <c r="K519" s="2"/>
      <c r="L519" s="2"/>
      <c r="M519" s="2"/>
      <c r="N519" s="2"/>
    </row>
    <row r="520" spans="1:14" ht="13.8" x14ac:dyDescent="0.25">
      <c r="A520" s="2"/>
      <c r="B520" s="2"/>
      <c r="C520" s="2"/>
      <c r="D520" s="2"/>
      <c r="E520" s="2"/>
      <c r="F520" s="2"/>
      <c r="G520" s="2"/>
      <c r="H520" s="2"/>
      <c r="I520" s="2"/>
      <c r="J520" s="2"/>
      <c r="K520" s="2"/>
      <c r="L520" s="2"/>
      <c r="M520" s="2"/>
      <c r="N520" s="2"/>
    </row>
    <row r="521" spans="1:14" ht="13.8" x14ac:dyDescent="0.25">
      <c r="A521" s="2"/>
      <c r="B521" s="2"/>
      <c r="C521" s="2"/>
      <c r="D521" s="2"/>
      <c r="E521" s="2"/>
      <c r="F521" s="2"/>
      <c r="G521" s="2"/>
      <c r="H521" s="2"/>
      <c r="I521" s="2"/>
      <c r="J521" s="2"/>
      <c r="K521" s="2"/>
      <c r="L521" s="2"/>
      <c r="M521" s="2"/>
      <c r="N521" s="2"/>
    </row>
    <row r="522" spans="1:14" ht="13.8" x14ac:dyDescent="0.25">
      <c r="A522" s="2"/>
      <c r="B522" s="2"/>
      <c r="C522" s="2"/>
      <c r="D522" s="2"/>
      <c r="E522" s="2"/>
      <c r="F522" s="2"/>
      <c r="G522" s="2"/>
      <c r="H522" s="2"/>
      <c r="I522" s="2"/>
      <c r="J522" s="2"/>
      <c r="K522" s="2"/>
      <c r="L522" s="2"/>
      <c r="M522" s="2"/>
      <c r="N522" s="2"/>
    </row>
    <row r="523" spans="1:14" ht="13.8" x14ac:dyDescent="0.25">
      <c r="A523" s="2"/>
      <c r="B523" s="2"/>
      <c r="C523" s="2"/>
      <c r="D523" s="2"/>
      <c r="E523" s="2"/>
      <c r="F523" s="2"/>
      <c r="G523" s="2"/>
      <c r="H523" s="2"/>
      <c r="I523" s="2"/>
      <c r="J523" s="2"/>
      <c r="K523" s="2"/>
      <c r="L523" s="2"/>
      <c r="M523" s="2"/>
      <c r="N523" s="2"/>
    </row>
    <row r="524" spans="1:14" ht="13.8" x14ac:dyDescent="0.25">
      <c r="A524" s="2"/>
      <c r="B524" s="2"/>
      <c r="C524" s="2"/>
      <c r="D524" s="2"/>
      <c r="E524" s="2"/>
      <c r="F524" s="2"/>
      <c r="G524" s="2"/>
      <c r="H524" s="2"/>
      <c r="I524" s="2"/>
      <c r="J524" s="2"/>
      <c r="K524" s="2"/>
      <c r="L524" s="2"/>
      <c r="M524" s="2"/>
      <c r="N524" s="2"/>
    </row>
    <row r="525" spans="1:14" ht="13.8" x14ac:dyDescent="0.25">
      <c r="A525" s="2"/>
      <c r="B525" s="2"/>
      <c r="C525" s="2"/>
      <c r="D525" s="2"/>
      <c r="E525" s="2"/>
      <c r="F525" s="2"/>
      <c r="G525" s="2"/>
      <c r="H525" s="2"/>
      <c r="I525" s="2"/>
      <c r="J525" s="2"/>
      <c r="K525" s="2"/>
      <c r="L525" s="2"/>
      <c r="M525" s="2"/>
      <c r="N525" s="2"/>
    </row>
    <row r="526" spans="1:14" ht="13.8" x14ac:dyDescent="0.25">
      <c r="A526" s="2"/>
      <c r="B526" s="2"/>
      <c r="C526" s="2"/>
      <c r="D526" s="2"/>
      <c r="E526" s="2"/>
      <c r="F526" s="2"/>
      <c r="G526" s="2"/>
      <c r="H526" s="2"/>
      <c r="I526" s="2"/>
      <c r="J526" s="2"/>
      <c r="K526" s="2"/>
      <c r="L526" s="2"/>
      <c r="M526" s="2"/>
      <c r="N526" s="2"/>
    </row>
    <row r="527" spans="1:14" ht="13.8" x14ac:dyDescent="0.25">
      <c r="A527" s="2"/>
      <c r="B527" s="2"/>
      <c r="C527" s="2"/>
      <c r="D527" s="2"/>
      <c r="E527" s="2"/>
      <c r="F527" s="2"/>
      <c r="G527" s="2"/>
      <c r="H527" s="2"/>
      <c r="I527" s="2"/>
      <c r="J527" s="2"/>
      <c r="K527" s="2"/>
      <c r="L527" s="2"/>
      <c r="M527" s="2"/>
      <c r="N527" s="2"/>
    </row>
    <row r="528" spans="1:14" ht="13.8" x14ac:dyDescent="0.25">
      <c r="A528" s="2"/>
      <c r="B528" s="2"/>
      <c r="C528" s="2"/>
      <c r="D528" s="2"/>
      <c r="E528" s="2"/>
      <c r="F528" s="2"/>
      <c r="G528" s="2"/>
      <c r="H528" s="2"/>
      <c r="I528" s="2"/>
      <c r="J528" s="2"/>
      <c r="K528" s="2"/>
      <c r="L528" s="2"/>
      <c r="M528" s="2"/>
      <c r="N528" s="2"/>
    </row>
    <row r="529" spans="1:14" ht="13.8" x14ac:dyDescent="0.25">
      <c r="A529" s="2"/>
      <c r="B529" s="2"/>
      <c r="C529" s="2"/>
      <c r="D529" s="2"/>
      <c r="E529" s="2"/>
      <c r="F529" s="2"/>
      <c r="G529" s="2"/>
      <c r="H529" s="2"/>
      <c r="I529" s="2"/>
      <c r="J529" s="2"/>
      <c r="K529" s="2"/>
      <c r="L529" s="2"/>
      <c r="M529" s="2"/>
      <c r="N529" s="2"/>
    </row>
    <row r="530" spans="1:14" ht="13.8" x14ac:dyDescent="0.25">
      <c r="A530" s="2"/>
      <c r="B530" s="2"/>
      <c r="C530" s="2"/>
      <c r="D530" s="2"/>
      <c r="E530" s="2"/>
      <c r="F530" s="2"/>
      <c r="G530" s="2"/>
      <c r="H530" s="2"/>
      <c r="I530" s="2"/>
      <c r="J530" s="2"/>
      <c r="K530" s="2"/>
      <c r="L530" s="2"/>
      <c r="M530" s="2"/>
      <c r="N530" s="2"/>
    </row>
    <row r="531" spans="1:14" ht="13.8" x14ac:dyDescent="0.25">
      <c r="A531" s="2"/>
      <c r="B531" s="2"/>
      <c r="C531" s="2"/>
      <c r="D531" s="2"/>
      <c r="E531" s="2"/>
      <c r="F531" s="2"/>
      <c r="G531" s="2"/>
      <c r="H531" s="2"/>
      <c r="I531" s="2"/>
      <c r="J531" s="2"/>
      <c r="K531" s="2"/>
      <c r="L531" s="2"/>
      <c r="M531" s="2"/>
      <c r="N531" s="2"/>
    </row>
    <row r="532" spans="1:14" ht="13.8" x14ac:dyDescent="0.25">
      <c r="A532" s="2"/>
      <c r="B532" s="2"/>
      <c r="C532" s="2"/>
      <c r="D532" s="2"/>
      <c r="E532" s="2"/>
      <c r="F532" s="2"/>
      <c r="G532" s="2"/>
      <c r="H532" s="2"/>
      <c r="I532" s="2"/>
      <c r="J532" s="2"/>
      <c r="K532" s="2"/>
      <c r="L532" s="2"/>
      <c r="M532" s="2"/>
      <c r="N532" s="2"/>
    </row>
    <row r="533" spans="1:14" ht="13.8" x14ac:dyDescent="0.25">
      <c r="A533" s="2"/>
      <c r="B533" s="2"/>
      <c r="C533" s="2"/>
      <c r="D533" s="2"/>
      <c r="E533" s="2"/>
      <c r="F533" s="2"/>
      <c r="G533" s="2"/>
      <c r="H533" s="2"/>
      <c r="I533" s="2"/>
      <c r="J533" s="2"/>
      <c r="K533" s="2"/>
      <c r="L533" s="2"/>
      <c r="M533" s="2"/>
      <c r="N533" s="2"/>
    </row>
    <row r="534" spans="1:14" ht="13.8" x14ac:dyDescent="0.25">
      <c r="A534" s="2"/>
      <c r="B534" s="2"/>
      <c r="C534" s="2"/>
      <c r="D534" s="2"/>
      <c r="E534" s="2"/>
      <c r="F534" s="2"/>
      <c r="G534" s="2"/>
      <c r="H534" s="2"/>
      <c r="I534" s="2"/>
      <c r="J534" s="2"/>
      <c r="K534" s="2"/>
      <c r="L534" s="2"/>
      <c r="M534" s="2"/>
      <c r="N534" s="2"/>
    </row>
    <row r="535" spans="1:14" ht="13.8" x14ac:dyDescent="0.25">
      <c r="A535" s="2"/>
      <c r="B535" s="2"/>
      <c r="C535" s="2"/>
      <c r="D535" s="2"/>
      <c r="E535" s="2"/>
      <c r="F535" s="2"/>
      <c r="G535" s="2"/>
      <c r="H535" s="2"/>
      <c r="I535" s="2"/>
      <c r="J535" s="2"/>
      <c r="K535" s="2"/>
      <c r="L535" s="2"/>
      <c r="M535" s="2"/>
      <c r="N535" s="2"/>
    </row>
    <row r="536" spans="1:14" ht="13.8" x14ac:dyDescent="0.25">
      <c r="A536" s="2"/>
      <c r="B536" s="2"/>
      <c r="C536" s="2"/>
      <c r="D536" s="2"/>
      <c r="E536" s="2"/>
      <c r="F536" s="2"/>
      <c r="G536" s="2"/>
      <c r="H536" s="2"/>
      <c r="I536" s="2"/>
      <c r="J536" s="2"/>
      <c r="K536" s="2"/>
      <c r="L536" s="2"/>
      <c r="M536" s="2"/>
      <c r="N536" s="2"/>
    </row>
    <row r="537" spans="1:14" ht="13.8" x14ac:dyDescent="0.25">
      <c r="A537" s="2"/>
      <c r="B537" s="2"/>
      <c r="C537" s="2"/>
      <c r="D537" s="2"/>
      <c r="E537" s="2"/>
      <c r="F537" s="2"/>
      <c r="G537" s="2"/>
      <c r="H537" s="2"/>
      <c r="I537" s="2"/>
      <c r="J537" s="2"/>
      <c r="K537" s="2"/>
      <c r="L537" s="2"/>
      <c r="M537" s="2"/>
      <c r="N537" s="2"/>
    </row>
    <row r="538" spans="1:14" ht="13.8" x14ac:dyDescent="0.25">
      <c r="A538" s="2"/>
      <c r="B538" s="2"/>
      <c r="C538" s="2"/>
      <c r="D538" s="2"/>
      <c r="E538" s="2"/>
      <c r="F538" s="2"/>
      <c r="G538" s="2"/>
      <c r="H538" s="2"/>
      <c r="I538" s="2"/>
      <c r="J538" s="2"/>
      <c r="K538" s="2"/>
      <c r="L538" s="2"/>
      <c r="M538" s="2"/>
      <c r="N538" s="2"/>
    </row>
    <row r="539" spans="1:14" ht="13.8" x14ac:dyDescent="0.25">
      <c r="A539" s="2"/>
      <c r="B539" s="2"/>
      <c r="C539" s="2"/>
      <c r="D539" s="2"/>
      <c r="E539" s="2"/>
      <c r="F539" s="2"/>
      <c r="G539" s="2"/>
      <c r="H539" s="2"/>
      <c r="I539" s="2"/>
      <c r="J539" s="2"/>
      <c r="K539" s="2"/>
      <c r="L539" s="2"/>
      <c r="M539" s="2"/>
      <c r="N539" s="2"/>
    </row>
    <row r="540" spans="1:14" ht="13.8" x14ac:dyDescent="0.25">
      <c r="A540" s="2"/>
      <c r="B540" s="2"/>
      <c r="C540" s="2"/>
      <c r="D540" s="2"/>
      <c r="E540" s="2"/>
      <c r="F540" s="2"/>
      <c r="G540" s="2"/>
      <c r="H540" s="2"/>
      <c r="I540" s="2"/>
      <c r="J540" s="2"/>
      <c r="K540" s="2"/>
      <c r="L540" s="2"/>
      <c r="M540" s="2"/>
      <c r="N540" s="2"/>
    </row>
    <row r="541" spans="1:14" ht="13.8" x14ac:dyDescent="0.25">
      <c r="A541" s="2"/>
      <c r="B541" s="2"/>
      <c r="C541" s="2"/>
      <c r="D541" s="2"/>
      <c r="E541" s="2"/>
      <c r="F541" s="2"/>
      <c r="G541" s="2"/>
      <c r="H541" s="2"/>
      <c r="I541" s="2"/>
      <c r="J541" s="2"/>
      <c r="K541" s="2"/>
      <c r="L541" s="2"/>
      <c r="M541" s="2"/>
      <c r="N541" s="2"/>
    </row>
    <row r="542" spans="1:14" ht="13.8" x14ac:dyDescent="0.25">
      <c r="A542" s="2"/>
      <c r="B542" s="2"/>
      <c r="C542" s="2"/>
      <c r="D542" s="2"/>
      <c r="E542" s="2"/>
      <c r="F542" s="2"/>
      <c r="G542" s="2"/>
      <c r="H542" s="2"/>
      <c r="I542" s="2"/>
      <c r="J542" s="2"/>
      <c r="K542" s="2"/>
      <c r="L542" s="2"/>
      <c r="M542" s="2"/>
      <c r="N542" s="2"/>
    </row>
    <row r="543" spans="1:14" ht="13.8" x14ac:dyDescent="0.25">
      <c r="A543" s="2"/>
      <c r="B543" s="2"/>
      <c r="C543" s="2"/>
      <c r="D543" s="2"/>
      <c r="E543" s="2"/>
      <c r="F543" s="2"/>
      <c r="G543" s="2"/>
      <c r="H543" s="2"/>
      <c r="I543" s="2"/>
      <c r="J543" s="2"/>
      <c r="K543" s="2"/>
      <c r="L543" s="2"/>
      <c r="M543" s="2"/>
      <c r="N543" s="2"/>
    </row>
    <row r="544" spans="1:14" ht="13.8" x14ac:dyDescent="0.25">
      <c r="A544" s="2"/>
      <c r="B544" s="2"/>
      <c r="C544" s="2"/>
      <c r="D544" s="2"/>
      <c r="E544" s="2"/>
      <c r="F544" s="2"/>
      <c r="G544" s="2"/>
      <c r="H544" s="2"/>
      <c r="I544" s="2"/>
      <c r="J544" s="2"/>
      <c r="K544" s="2"/>
      <c r="L544" s="2"/>
      <c r="M544" s="2"/>
      <c r="N544" s="2"/>
    </row>
    <row r="545" spans="1:14" ht="13.8" x14ac:dyDescent="0.25">
      <c r="A545" s="2"/>
      <c r="B545" s="2"/>
      <c r="C545" s="2"/>
      <c r="D545" s="2"/>
      <c r="E545" s="2"/>
      <c r="F545" s="2"/>
      <c r="G545" s="2"/>
      <c r="H545" s="2"/>
      <c r="I545" s="2"/>
      <c r="J545" s="2"/>
      <c r="K545" s="2"/>
      <c r="L545" s="2"/>
      <c r="M545" s="2"/>
      <c r="N545" s="2"/>
    </row>
    <row r="546" spans="1:14" ht="13.8" x14ac:dyDescent="0.25">
      <c r="A546" s="2"/>
      <c r="B546" s="2"/>
      <c r="C546" s="2"/>
      <c r="D546" s="2"/>
      <c r="E546" s="2"/>
      <c r="F546" s="2"/>
      <c r="G546" s="2"/>
      <c r="H546" s="2"/>
      <c r="I546" s="2"/>
      <c r="J546" s="2"/>
      <c r="K546" s="2"/>
      <c r="L546" s="2"/>
      <c r="M546" s="2"/>
      <c r="N546" s="2"/>
    </row>
    <row r="547" spans="1:14" ht="13.8" x14ac:dyDescent="0.25">
      <c r="A547" s="2"/>
      <c r="B547" s="2"/>
      <c r="C547" s="2"/>
      <c r="D547" s="2"/>
      <c r="E547" s="2"/>
      <c r="F547" s="2"/>
      <c r="G547" s="2"/>
      <c r="H547" s="2"/>
      <c r="I547" s="2"/>
      <c r="J547" s="2"/>
      <c r="K547" s="2"/>
      <c r="L547" s="2"/>
      <c r="M547" s="2"/>
      <c r="N547" s="2"/>
    </row>
    <row r="548" spans="1:14" ht="13.8" x14ac:dyDescent="0.25">
      <c r="A548" s="2"/>
      <c r="B548" s="2"/>
      <c r="C548" s="2"/>
      <c r="D548" s="2"/>
      <c r="E548" s="2"/>
      <c r="F548" s="2"/>
      <c r="G548" s="2"/>
      <c r="H548" s="2"/>
      <c r="I548" s="2"/>
      <c r="J548" s="2"/>
      <c r="K548" s="2"/>
      <c r="L548" s="2"/>
      <c r="M548" s="2"/>
      <c r="N548" s="2"/>
    </row>
    <row r="549" spans="1:14" ht="13.8" x14ac:dyDescent="0.25">
      <c r="A549" s="2"/>
      <c r="B549" s="2"/>
      <c r="C549" s="2"/>
      <c r="D549" s="2"/>
      <c r="E549" s="2"/>
      <c r="F549" s="2"/>
      <c r="G549" s="2"/>
      <c r="H549" s="2"/>
      <c r="I549" s="2"/>
      <c r="J549" s="2"/>
      <c r="K549" s="2"/>
      <c r="L549" s="2"/>
      <c r="M549" s="2"/>
      <c r="N549" s="2"/>
    </row>
    <row r="550" spans="1:14" ht="13.8" x14ac:dyDescent="0.25">
      <c r="A550" s="2"/>
      <c r="B550" s="2"/>
      <c r="C550" s="2"/>
      <c r="D550" s="2"/>
      <c r="E550" s="2"/>
      <c r="F550" s="2"/>
      <c r="G550" s="2"/>
      <c r="H550" s="2"/>
      <c r="I550" s="2"/>
      <c r="J550" s="2"/>
      <c r="K550" s="2"/>
      <c r="L550" s="2"/>
      <c r="M550" s="2"/>
      <c r="N550" s="2"/>
    </row>
    <row r="551" spans="1:14" ht="13.8" x14ac:dyDescent="0.25">
      <c r="A551" s="2"/>
      <c r="B551" s="2"/>
      <c r="C551" s="2"/>
      <c r="D551" s="2"/>
      <c r="E551" s="2"/>
      <c r="F551" s="2"/>
      <c r="G551" s="2"/>
      <c r="H551" s="2"/>
      <c r="I551" s="2"/>
      <c r="J551" s="2"/>
      <c r="K551" s="2"/>
      <c r="L551" s="2"/>
      <c r="M551" s="2"/>
      <c r="N551" s="2"/>
    </row>
    <row r="552" spans="1:14" ht="13.8" x14ac:dyDescent="0.25">
      <c r="A552" s="2"/>
      <c r="B552" s="2"/>
      <c r="C552" s="2"/>
      <c r="D552" s="2"/>
      <c r="E552" s="2"/>
      <c r="F552" s="2"/>
      <c r="G552" s="2"/>
      <c r="H552" s="2"/>
      <c r="I552" s="2"/>
      <c r="J552" s="2"/>
      <c r="K552" s="2"/>
      <c r="L552" s="2"/>
      <c r="M552" s="2"/>
      <c r="N552" s="2"/>
    </row>
    <row r="553" spans="1:14" ht="13.8" x14ac:dyDescent="0.25">
      <c r="A553" s="2"/>
      <c r="B553" s="2"/>
      <c r="C553" s="2"/>
      <c r="D553" s="2"/>
      <c r="E553" s="2"/>
      <c r="F553" s="2"/>
      <c r="G553" s="2"/>
      <c r="H553" s="2"/>
      <c r="I553" s="2"/>
      <c r="J553" s="2"/>
      <c r="K553" s="2"/>
      <c r="L553" s="2"/>
      <c r="M553" s="2"/>
      <c r="N553" s="2"/>
    </row>
    <row r="554" spans="1:14" ht="13.8" x14ac:dyDescent="0.25">
      <c r="A554" s="2"/>
      <c r="B554" s="2"/>
      <c r="C554" s="2"/>
      <c r="D554" s="2"/>
      <c r="E554" s="2"/>
      <c r="F554" s="2"/>
      <c r="G554" s="2"/>
      <c r="H554" s="2"/>
      <c r="I554" s="2"/>
      <c r="J554" s="2"/>
      <c r="K554" s="2"/>
      <c r="L554" s="2"/>
      <c r="M554" s="2"/>
      <c r="N554" s="2"/>
    </row>
    <row r="555" spans="1:14" ht="13.8" x14ac:dyDescent="0.25">
      <c r="A555" s="2"/>
      <c r="B555" s="2"/>
      <c r="C555" s="2"/>
      <c r="D555" s="2"/>
      <c r="E555" s="2"/>
      <c r="F555" s="2"/>
      <c r="G555" s="2"/>
      <c r="H555" s="2"/>
      <c r="I555" s="2"/>
      <c r="J555" s="2"/>
      <c r="K555" s="2"/>
      <c r="L555" s="2"/>
      <c r="M555" s="2"/>
      <c r="N555" s="2"/>
    </row>
    <row r="556" spans="1:14" ht="13.8" x14ac:dyDescent="0.25">
      <c r="A556" s="2"/>
      <c r="B556" s="2"/>
      <c r="C556" s="2"/>
      <c r="D556" s="2"/>
      <c r="E556" s="2"/>
      <c r="F556" s="2"/>
      <c r="G556" s="2"/>
      <c r="H556" s="2"/>
      <c r="I556" s="2"/>
      <c r="J556" s="2"/>
      <c r="K556" s="2"/>
      <c r="L556" s="2"/>
      <c r="M556" s="2"/>
      <c r="N556" s="2"/>
    </row>
    <row r="557" spans="1:14" ht="13.8" x14ac:dyDescent="0.25">
      <c r="A557" s="2"/>
      <c r="B557" s="2"/>
      <c r="C557" s="2"/>
      <c r="D557" s="2"/>
      <c r="E557" s="2"/>
      <c r="F557" s="2"/>
      <c r="G557" s="2"/>
      <c r="H557" s="2"/>
      <c r="I557" s="2"/>
      <c r="J557" s="2"/>
      <c r="K557" s="2"/>
      <c r="L557" s="2"/>
      <c r="M557" s="2"/>
      <c r="N557" s="2"/>
    </row>
    <row r="558" spans="1:14" ht="13.8" x14ac:dyDescent="0.25">
      <c r="A558" s="2"/>
      <c r="B558" s="2"/>
      <c r="C558" s="2"/>
      <c r="D558" s="2"/>
      <c r="E558" s="2"/>
      <c r="F558" s="2"/>
      <c r="G558" s="2"/>
      <c r="H558" s="2"/>
      <c r="I558" s="2"/>
      <c r="J558" s="2"/>
      <c r="K558" s="2"/>
      <c r="L558" s="2"/>
      <c r="M558" s="2"/>
      <c r="N558" s="2"/>
    </row>
    <row r="559" spans="1:14" ht="13.8" x14ac:dyDescent="0.25">
      <c r="A559" s="2"/>
      <c r="B559" s="2"/>
      <c r="C559" s="2"/>
      <c r="D559" s="2"/>
      <c r="E559" s="2"/>
      <c r="F559" s="2"/>
      <c r="G559" s="2"/>
      <c r="H559" s="2"/>
      <c r="I559" s="2"/>
      <c r="J559" s="2"/>
      <c r="K559" s="2"/>
      <c r="L559" s="2"/>
      <c r="M559" s="2"/>
      <c r="N559" s="2"/>
    </row>
    <row r="560" spans="1:14" ht="13.8" x14ac:dyDescent="0.25">
      <c r="A560" s="2"/>
      <c r="B560" s="2"/>
      <c r="C560" s="2"/>
      <c r="D560" s="2"/>
      <c r="E560" s="2"/>
      <c r="F560" s="2"/>
      <c r="G560" s="2"/>
      <c r="H560" s="2"/>
      <c r="I560" s="2"/>
      <c r="J560" s="2"/>
      <c r="K560" s="2"/>
      <c r="L560" s="2"/>
      <c r="M560" s="2"/>
      <c r="N560" s="2"/>
    </row>
    <row r="561" spans="1:14" ht="13.8" x14ac:dyDescent="0.25">
      <c r="A561" s="2"/>
      <c r="B561" s="2"/>
      <c r="C561" s="2"/>
      <c r="D561" s="2"/>
      <c r="E561" s="2"/>
      <c r="F561" s="2"/>
      <c r="G561" s="2"/>
      <c r="H561" s="2"/>
      <c r="I561" s="2"/>
      <c r="J561" s="2"/>
      <c r="K561" s="2"/>
      <c r="L561" s="2"/>
      <c r="M561" s="2"/>
      <c r="N561" s="2"/>
    </row>
    <row r="562" spans="1:14" ht="13.8" x14ac:dyDescent="0.25">
      <c r="A562" s="2"/>
      <c r="B562" s="2"/>
      <c r="C562" s="2"/>
      <c r="D562" s="2"/>
      <c r="E562" s="2"/>
      <c r="F562" s="2"/>
      <c r="G562" s="2"/>
      <c r="H562" s="2"/>
      <c r="I562" s="2"/>
      <c r="J562" s="2"/>
      <c r="K562" s="2"/>
      <c r="L562" s="2"/>
      <c r="M562" s="2"/>
      <c r="N562" s="2"/>
    </row>
    <row r="563" spans="1:14" ht="13.8" x14ac:dyDescent="0.25">
      <c r="A563" s="2"/>
      <c r="B563" s="2"/>
      <c r="C563" s="2"/>
      <c r="D563" s="2"/>
      <c r="E563" s="2"/>
      <c r="F563" s="2"/>
      <c r="G563" s="2"/>
      <c r="H563" s="2"/>
      <c r="I563" s="2"/>
      <c r="J563" s="2"/>
      <c r="K563" s="2"/>
      <c r="L563" s="2"/>
      <c r="M563" s="2"/>
      <c r="N563" s="2"/>
    </row>
    <row r="564" spans="1:14" ht="13.8" x14ac:dyDescent="0.25">
      <c r="A564" s="2"/>
      <c r="B564" s="2"/>
      <c r="C564" s="2"/>
      <c r="D564" s="2"/>
      <c r="E564" s="2"/>
      <c r="F564" s="2"/>
      <c r="G564" s="2"/>
      <c r="H564" s="2"/>
      <c r="I564" s="2"/>
      <c r="J564" s="2"/>
      <c r="K564" s="2"/>
      <c r="L564" s="2"/>
      <c r="M564" s="2"/>
      <c r="N564" s="2"/>
    </row>
    <row r="565" spans="1:14" ht="13.8" x14ac:dyDescent="0.25">
      <c r="A565" s="2"/>
      <c r="B565" s="2"/>
      <c r="C565" s="2"/>
      <c r="D565" s="2"/>
      <c r="E565" s="2"/>
      <c r="F565" s="2"/>
      <c r="G565" s="2"/>
      <c r="H565" s="2"/>
      <c r="I565" s="2"/>
      <c r="J565" s="2"/>
      <c r="K565" s="2"/>
      <c r="L565" s="2"/>
      <c r="M565" s="2"/>
      <c r="N565" s="2"/>
    </row>
    <row r="566" spans="1:14" ht="13.8" x14ac:dyDescent="0.25">
      <c r="A566" s="2"/>
      <c r="B566" s="2"/>
      <c r="C566" s="2"/>
      <c r="D566" s="2"/>
      <c r="E566" s="2"/>
      <c r="F566" s="2"/>
      <c r="G566" s="2"/>
      <c r="H566" s="2"/>
      <c r="I566" s="2"/>
      <c r="J566" s="2"/>
      <c r="K566" s="2"/>
      <c r="L566" s="2"/>
      <c r="M566" s="2"/>
      <c r="N566" s="2"/>
    </row>
    <row r="567" spans="1:14" ht="13.8" x14ac:dyDescent="0.25">
      <c r="A567" s="2"/>
      <c r="B567" s="2"/>
      <c r="C567" s="2"/>
      <c r="D567" s="2"/>
      <c r="E567" s="2"/>
      <c r="F567" s="2"/>
      <c r="G567" s="2"/>
      <c r="H567" s="2"/>
      <c r="I567" s="2"/>
      <c r="J567" s="2"/>
      <c r="K567" s="2"/>
      <c r="L567" s="2"/>
      <c r="M567" s="2"/>
      <c r="N567" s="2"/>
    </row>
    <row r="568" spans="1:14" ht="13.8" x14ac:dyDescent="0.25">
      <c r="A568" s="2"/>
      <c r="B568" s="2"/>
      <c r="C568" s="2"/>
      <c r="D568" s="2"/>
      <c r="E568" s="2"/>
      <c r="F568" s="2"/>
      <c r="G568" s="2"/>
      <c r="H568" s="2"/>
      <c r="I568" s="2"/>
      <c r="J568" s="2"/>
      <c r="K568" s="2"/>
      <c r="L568" s="2"/>
      <c r="M568" s="2"/>
      <c r="N568" s="2"/>
    </row>
    <row r="569" spans="1:14" ht="13.8" x14ac:dyDescent="0.25">
      <c r="A569" s="2"/>
      <c r="B569" s="2"/>
      <c r="C569" s="2"/>
      <c r="D569" s="2"/>
      <c r="E569" s="2"/>
      <c r="F569" s="2"/>
      <c r="G569" s="2"/>
      <c r="H569" s="2"/>
      <c r="I569" s="2"/>
      <c r="J569" s="2"/>
      <c r="K569" s="2"/>
      <c r="L569" s="2"/>
      <c r="M569" s="2"/>
      <c r="N569" s="2"/>
    </row>
    <row r="570" spans="1:14" ht="13.8" x14ac:dyDescent="0.25">
      <c r="A570" s="2"/>
      <c r="B570" s="2"/>
      <c r="C570" s="2"/>
      <c r="D570" s="2"/>
      <c r="E570" s="2"/>
      <c r="F570" s="2"/>
      <c r="G570" s="2"/>
      <c r="H570" s="2"/>
      <c r="I570" s="2"/>
      <c r="J570" s="2"/>
      <c r="K570" s="2"/>
      <c r="L570" s="2"/>
      <c r="M570" s="2"/>
      <c r="N570" s="2"/>
    </row>
    <row r="571" spans="1:14" ht="13.8" x14ac:dyDescent="0.25">
      <c r="A571" s="2"/>
      <c r="B571" s="2"/>
      <c r="C571" s="2"/>
      <c r="D571" s="2"/>
      <c r="E571" s="2"/>
      <c r="F571" s="2"/>
      <c r="G571" s="2"/>
      <c r="H571" s="2"/>
      <c r="I571" s="2"/>
      <c r="J571" s="2"/>
      <c r="K571" s="2"/>
      <c r="L571" s="2"/>
      <c r="M571" s="2"/>
      <c r="N571" s="2"/>
    </row>
    <row r="572" spans="1:14" ht="13.8" x14ac:dyDescent="0.25">
      <c r="A572" s="2"/>
      <c r="B572" s="2"/>
      <c r="C572" s="2"/>
      <c r="D572" s="2"/>
      <c r="E572" s="2"/>
      <c r="F572" s="2"/>
      <c r="G572" s="2"/>
      <c r="H572" s="2"/>
      <c r="I572" s="2"/>
      <c r="J572" s="2"/>
      <c r="K572" s="2"/>
      <c r="L572" s="2"/>
      <c r="M572" s="2"/>
      <c r="N572" s="2"/>
    </row>
    <row r="573" spans="1:14" ht="13.8" x14ac:dyDescent="0.25">
      <c r="A573" s="2"/>
      <c r="B573" s="2"/>
      <c r="C573" s="2"/>
      <c r="D573" s="2"/>
      <c r="E573" s="2"/>
      <c r="F573" s="2"/>
      <c r="G573" s="2"/>
      <c r="H573" s="2"/>
      <c r="I573" s="2"/>
      <c r="J573" s="2"/>
      <c r="K573" s="2"/>
      <c r="L573" s="2"/>
      <c r="M573" s="2"/>
      <c r="N573" s="2"/>
    </row>
    <row r="574" spans="1:14" ht="13.8" x14ac:dyDescent="0.25">
      <c r="A574" s="2"/>
      <c r="B574" s="2"/>
      <c r="C574" s="2"/>
      <c r="D574" s="2"/>
      <c r="E574" s="2"/>
      <c r="F574" s="2"/>
      <c r="G574" s="2"/>
      <c r="H574" s="2"/>
      <c r="I574" s="2"/>
      <c r="J574" s="2"/>
      <c r="K574" s="2"/>
      <c r="L574" s="2"/>
      <c r="M574" s="2"/>
      <c r="N574" s="2"/>
    </row>
    <row r="575" spans="1:14" ht="13.8" x14ac:dyDescent="0.25">
      <c r="A575" s="2"/>
      <c r="B575" s="2"/>
      <c r="C575" s="2"/>
      <c r="D575" s="2"/>
      <c r="E575" s="2"/>
      <c r="F575" s="2"/>
      <c r="G575" s="2"/>
      <c r="H575" s="2"/>
      <c r="I575" s="2"/>
      <c r="J575" s="2"/>
      <c r="K575" s="2"/>
      <c r="L575" s="2"/>
      <c r="M575" s="2"/>
      <c r="N575" s="2"/>
    </row>
    <row r="576" spans="1:14" ht="13.8" x14ac:dyDescent="0.25">
      <c r="A576" s="2"/>
      <c r="B576" s="2"/>
      <c r="C576" s="2"/>
      <c r="D576" s="2"/>
      <c r="E576" s="2"/>
      <c r="F576" s="2"/>
      <c r="G576" s="2"/>
      <c r="H576" s="2"/>
      <c r="I576" s="2"/>
      <c r="J576" s="2"/>
      <c r="K576" s="2"/>
      <c r="L576" s="2"/>
      <c r="M576" s="2"/>
      <c r="N576" s="2"/>
    </row>
    <row r="577" spans="1:14" ht="13.8" x14ac:dyDescent="0.25">
      <c r="A577" s="2"/>
      <c r="B577" s="2"/>
      <c r="C577" s="2"/>
      <c r="D577" s="2"/>
      <c r="E577" s="2"/>
      <c r="F577" s="2"/>
      <c r="G577" s="2"/>
      <c r="H577" s="2"/>
      <c r="I577" s="2"/>
      <c r="J577" s="2"/>
      <c r="K577" s="2"/>
      <c r="L577" s="2"/>
      <c r="M577" s="2"/>
      <c r="N577" s="2"/>
    </row>
    <row r="578" spans="1:14" ht="13.8" x14ac:dyDescent="0.25">
      <c r="A578" s="2"/>
      <c r="B578" s="2"/>
      <c r="C578" s="2"/>
      <c r="D578" s="2"/>
      <c r="E578" s="2"/>
      <c r="F578" s="2"/>
      <c r="G578" s="2"/>
      <c r="H578" s="2"/>
      <c r="I578" s="2"/>
      <c r="J578" s="2"/>
      <c r="K578" s="2"/>
      <c r="L578" s="2"/>
      <c r="M578" s="2"/>
      <c r="N578" s="2"/>
    </row>
    <row r="579" spans="1:14" ht="13.8" x14ac:dyDescent="0.25">
      <c r="A579" s="2"/>
      <c r="B579" s="2"/>
      <c r="C579" s="2"/>
      <c r="D579" s="2"/>
      <c r="E579" s="2"/>
      <c r="F579" s="2"/>
      <c r="G579" s="2"/>
      <c r="H579" s="2"/>
      <c r="I579" s="2"/>
      <c r="J579" s="2"/>
      <c r="K579" s="2"/>
      <c r="L579" s="2"/>
      <c r="M579" s="2"/>
      <c r="N579" s="2"/>
    </row>
    <row r="580" spans="1:14" ht="13.8" x14ac:dyDescent="0.25">
      <c r="A580" s="2"/>
      <c r="B580" s="2"/>
      <c r="C580" s="2"/>
      <c r="D580" s="2"/>
      <c r="E580" s="2"/>
      <c r="F580" s="2"/>
      <c r="G580" s="2"/>
      <c r="H580" s="2"/>
      <c r="I580" s="2"/>
      <c r="J580" s="2"/>
      <c r="K580" s="2"/>
      <c r="L580" s="2"/>
      <c r="M580" s="2"/>
      <c r="N580" s="2"/>
    </row>
    <row r="581" spans="1:14" ht="13.8" x14ac:dyDescent="0.25">
      <c r="A581" s="2"/>
      <c r="B581" s="2"/>
      <c r="C581" s="2"/>
      <c r="D581" s="2"/>
      <c r="E581" s="2"/>
      <c r="F581" s="2"/>
      <c r="G581" s="2"/>
      <c r="H581" s="2"/>
      <c r="I581" s="2"/>
      <c r="J581" s="2"/>
      <c r="K581" s="2"/>
      <c r="L581" s="2"/>
      <c r="M581" s="2"/>
      <c r="N581" s="2"/>
    </row>
    <row r="582" spans="1:14" ht="13.8" x14ac:dyDescent="0.25">
      <c r="A582" s="2"/>
      <c r="B582" s="2"/>
      <c r="C582" s="2"/>
      <c r="D582" s="2"/>
      <c r="E582" s="2"/>
      <c r="F582" s="2"/>
      <c r="G582" s="2"/>
      <c r="H582" s="2"/>
      <c r="I582" s="2"/>
      <c r="J582" s="2"/>
      <c r="K582" s="2"/>
      <c r="L582" s="2"/>
      <c r="M582" s="2"/>
      <c r="N582" s="2"/>
    </row>
    <row r="583" spans="1:14" ht="13.8" x14ac:dyDescent="0.25">
      <c r="A583" s="2"/>
      <c r="B583" s="2"/>
      <c r="C583" s="2"/>
      <c r="D583" s="2"/>
      <c r="E583" s="2"/>
      <c r="F583" s="2"/>
      <c r="G583" s="2"/>
      <c r="H583" s="2"/>
      <c r="I583" s="2"/>
      <c r="J583" s="2"/>
      <c r="K583" s="2"/>
      <c r="L583" s="2"/>
      <c r="M583" s="2"/>
      <c r="N583" s="2"/>
    </row>
    <row r="584" spans="1:14" ht="13.8" x14ac:dyDescent="0.25">
      <c r="A584" s="2"/>
      <c r="B584" s="2"/>
      <c r="C584" s="2"/>
      <c r="D584" s="2"/>
      <c r="E584" s="2"/>
      <c r="F584" s="2"/>
      <c r="G584" s="2"/>
      <c r="H584" s="2"/>
      <c r="I584" s="2"/>
      <c r="J584" s="2"/>
      <c r="K584" s="2"/>
      <c r="L584" s="2"/>
      <c r="M584" s="2"/>
      <c r="N584" s="2"/>
    </row>
    <row r="585" spans="1:14" ht="13.8" x14ac:dyDescent="0.25">
      <c r="A585" s="2"/>
      <c r="B585" s="2"/>
      <c r="C585" s="2"/>
      <c r="D585" s="2"/>
      <c r="E585" s="2"/>
      <c r="F585" s="2"/>
      <c r="G585" s="2"/>
      <c r="H585" s="2"/>
      <c r="I585" s="2"/>
      <c r="J585" s="2"/>
      <c r="K585" s="2"/>
      <c r="L585" s="2"/>
      <c r="M585" s="2"/>
      <c r="N585" s="2"/>
    </row>
    <row r="586" spans="1:14" ht="13.8" x14ac:dyDescent="0.25">
      <c r="A586" s="2"/>
      <c r="B586" s="2"/>
      <c r="C586" s="2"/>
      <c r="D586" s="2"/>
      <c r="E586" s="2"/>
      <c r="F586" s="2"/>
      <c r="G586" s="2"/>
      <c r="H586" s="2"/>
      <c r="I586" s="2"/>
      <c r="J586" s="2"/>
      <c r="K586" s="2"/>
      <c r="L586" s="2"/>
      <c r="M586" s="2"/>
      <c r="N586" s="2"/>
    </row>
    <row r="587" spans="1:14" ht="13.8" x14ac:dyDescent="0.25">
      <c r="A587" s="2"/>
      <c r="B587" s="2"/>
      <c r="C587" s="2"/>
      <c r="D587" s="2"/>
      <c r="E587" s="2"/>
      <c r="F587" s="2"/>
      <c r="G587" s="2"/>
      <c r="H587" s="2"/>
      <c r="I587" s="2"/>
      <c r="J587" s="2"/>
      <c r="K587" s="2"/>
      <c r="L587" s="2"/>
      <c r="M587" s="2"/>
      <c r="N587" s="2"/>
    </row>
    <row r="588" spans="1:14" ht="13.8" x14ac:dyDescent="0.25">
      <c r="A588" s="2"/>
      <c r="B588" s="2"/>
      <c r="C588" s="2"/>
      <c r="D588" s="2"/>
      <c r="E588" s="2"/>
      <c r="F588" s="2"/>
      <c r="G588" s="2"/>
      <c r="H588" s="2"/>
      <c r="I588" s="2"/>
      <c r="J588" s="2"/>
      <c r="K588" s="2"/>
      <c r="L588" s="2"/>
      <c r="M588" s="2"/>
      <c r="N588" s="2"/>
    </row>
    <row r="589" spans="1:14" ht="13.8" x14ac:dyDescent="0.25">
      <c r="A589" s="2"/>
      <c r="B589" s="2"/>
      <c r="C589" s="2"/>
      <c r="D589" s="2"/>
      <c r="E589" s="2"/>
      <c r="F589" s="2"/>
      <c r="G589" s="2"/>
      <c r="H589" s="2"/>
      <c r="I589" s="2"/>
      <c r="J589" s="2"/>
      <c r="K589" s="2"/>
      <c r="L589" s="2"/>
      <c r="M589" s="2"/>
      <c r="N589" s="2"/>
    </row>
    <row r="590" spans="1:14" ht="13.8" x14ac:dyDescent="0.25">
      <c r="A590" s="2"/>
      <c r="B590" s="2"/>
      <c r="C590" s="2"/>
      <c r="D590" s="2"/>
      <c r="E590" s="2"/>
      <c r="F590" s="2"/>
      <c r="G590" s="2"/>
      <c r="H590" s="2"/>
      <c r="I590" s="2"/>
      <c r="J590" s="2"/>
      <c r="K590" s="2"/>
      <c r="L590" s="2"/>
      <c r="M590" s="2"/>
      <c r="N590" s="2"/>
    </row>
    <row r="591" spans="1:14" ht="13.8" x14ac:dyDescent="0.25">
      <c r="A591" s="2"/>
      <c r="B591" s="2"/>
      <c r="C591" s="2"/>
      <c r="D591" s="2"/>
      <c r="E591" s="2"/>
      <c r="F591" s="2"/>
      <c r="G591" s="2"/>
      <c r="H591" s="2"/>
      <c r="I591" s="2"/>
      <c r="J591" s="2"/>
      <c r="K591" s="2"/>
      <c r="L591" s="2"/>
      <c r="M591" s="2"/>
      <c r="N591" s="2"/>
    </row>
    <row r="592" spans="1:14" ht="13.8" x14ac:dyDescent="0.25">
      <c r="A592" s="2"/>
      <c r="B592" s="2"/>
      <c r="C592" s="2"/>
      <c r="D592" s="2"/>
      <c r="E592" s="2"/>
      <c r="F592" s="2"/>
      <c r="G592" s="2"/>
      <c r="H592" s="2"/>
      <c r="I592" s="2"/>
      <c r="J592" s="2"/>
      <c r="K592" s="2"/>
      <c r="L592" s="2"/>
      <c r="M592" s="2"/>
      <c r="N592" s="2"/>
    </row>
    <row r="593" spans="1:14" ht="13.8" x14ac:dyDescent="0.25">
      <c r="A593" s="2"/>
      <c r="B593" s="2"/>
      <c r="C593" s="2"/>
      <c r="D593" s="2"/>
      <c r="E593" s="2"/>
      <c r="F593" s="2"/>
      <c r="G593" s="2"/>
      <c r="H593" s="2"/>
      <c r="I593" s="2"/>
      <c r="J593" s="2"/>
      <c r="K593" s="2"/>
      <c r="L593" s="2"/>
      <c r="M593" s="2"/>
      <c r="N593" s="2"/>
    </row>
    <row r="594" spans="1:14" ht="13.8" x14ac:dyDescent="0.25">
      <c r="A594" s="2"/>
      <c r="B594" s="2"/>
      <c r="C594" s="2"/>
      <c r="D594" s="2"/>
      <c r="E594" s="2"/>
      <c r="F594" s="2"/>
      <c r="G594" s="2"/>
      <c r="H594" s="2"/>
      <c r="I594" s="2"/>
      <c r="J594" s="2"/>
      <c r="K594" s="2"/>
      <c r="L594" s="2"/>
      <c r="M594" s="2"/>
      <c r="N594" s="2"/>
    </row>
    <row r="595" spans="1:14" ht="13.8" x14ac:dyDescent="0.25">
      <c r="A595" s="2"/>
      <c r="B595" s="2"/>
      <c r="C595" s="2"/>
      <c r="D595" s="2"/>
      <c r="E595" s="2"/>
      <c r="F595" s="2"/>
      <c r="G595" s="2"/>
      <c r="H595" s="2"/>
      <c r="I595" s="2"/>
      <c r="J595" s="2"/>
      <c r="K595" s="2"/>
      <c r="L595" s="2"/>
      <c r="M595" s="2"/>
      <c r="N595" s="2"/>
    </row>
    <row r="596" spans="1:14" ht="13.8" x14ac:dyDescent="0.25">
      <c r="A596" s="2"/>
      <c r="B596" s="2"/>
      <c r="C596" s="2"/>
      <c r="D596" s="2"/>
      <c r="E596" s="2"/>
      <c r="F596" s="2"/>
      <c r="G596" s="2"/>
      <c r="H596" s="2"/>
      <c r="I596" s="2"/>
      <c r="J596" s="2"/>
      <c r="K596" s="2"/>
      <c r="L596" s="2"/>
      <c r="M596" s="2"/>
      <c r="N596" s="2"/>
    </row>
    <row r="597" spans="1:14" ht="13.8" x14ac:dyDescent="0.25">
      <c r="A597" s="2"/>
      <c r="B597" s="2"/>
      <c r="C597" s="2"/>
      <c r="D597" s="2"/>
      <c r="E597" s="2"/>
      <c r="F597" s="2"/>
      <c r="G597" s="2"/>
      <c r="H597" s="2"/>
      <c r="I597" s="2"/>
      <c r="J597" s="2"/>
      <c r="K597" s="2"/>
      <c r="L597" s="2"/>
      <c r="M597" s="2"/>
      <c r="N597" s="2"/>
    </row>
    <row r="598" spans="1:14" ht="13.8" x14ac:dyDescent="0.25">
      <c r="A598" s="2"/>
      <c r="B598" s="2"/>
      <c r="C598" s="2"/>
      <c r="D598" s="2"/>
      <c r="E598" s="2"/>
      <c r="F598" s="2"/>
      <c r="G598" s="2"/>
      <c r="H598" s="2"/>
      <c r="I598" s="2"/>
      <c r="J598" s="2"/>
      <c r="K598" s="2"/>
      <c r="L598" s="2"/>
      <c r="M598" s="2"/>
      <c r="N598" s="2"/>
    </row>
    <row r="599" spans="1:14" ht="13.8" x14ac:dyDescent="0.25">
      <c r="A599" s="2"/>
      <c r="B599" s="2"/>
      <c r="C599" s="2"/>
      <c r="D599" s="2"/>
      <c r="E599" s="2"/>
      <c r="F599" s="2"/>
      <c r="G599" s="2"/>
      <c r="H599" s="2"/>
      <c r="I599" s="2"/>
      <c r="J599" s="2"/>
      <c r="K599" s="2"/>
      <c r="L599" s="2"/>
      <c r="M599" s="2"/>
      <c r="N599" s="2"/>
    </row>
    <row r="600" spans="1:14" ht="13.8" x14ac:dyDescent="0.25">
      <c r="A600" s="2"/>
      <c r="B600" s="2"/>
      <c r="C600" s="2"/>
      <c r="D600" s="2"/>
      <c r="E600" s="2"/>
      <c r="F600" s="2"/>
      <c r="G600" s="2"/>
      <c r="H600" s="2"/>
      <c r="I600" s="2"/>
      <c r="J600" s="2"/>
      <c r="K600" s="2"/>
      <c r="L600" s="2"/>
      <c r="M600" s="2"/>
      <c r="N600" s="2"/>
    </row>
    <row r="601" spans="1:14" ht="13.8" x14ac:dyDescent="0.25">
      <c r="A601" s="2"/>
      <c r="B601" s="2"/>
      <c r="C601" s="2"/>
      <c r="D601" s="2"/>
      <c r="E601" s="2"/>
      <c r="F601" s="2"/>
      <c r="G601" s="2"/>
      <c r="H601" s="2"/>
      <c r="I601" s="2"/>
      <c r="J601" s="2"/>
      <c r="K601" s="2"/>
      <c r="L601" s="2"/>
      <c r="M601" s="2"/>
      <c r="N601" s="2"/>
    </row>
    <row r="602" spans="1:14" ht="13.8" x14ac:dyDescent="0.25">
      <c r="A602" s="2"/>
      <c r="B602" s="2"/>
      <c r="C602" s="2"/>
      <c r="D602" s="2"/>
      <c r="E602" s="2"/>
      <c r="F602" s="2"/>
      <c r="G602" s="2"/>
      <c r="H602" s="2"/>
      <c r="I602" s="2"/>
      <c r="J602" s="2"/>
      <c r="K602" s="2"/>
      <c r="L602" s="2"/>
      <c r="M602" s="2"/>
      <c r="N602" s="2"/>
    </row>
    <row r="603" spans="1:14" ht="13.8" x14ac:dyDescent="0.25">
      <c r="A603" s="2"/>
      <c r="B603" s="2"/>
      <c r="C603" s="2"/>
      <c r="D603" s="2"/>
      <c r="E603" s="2"/>
      <c r="F603" s="2"/>
      <c r="G603" s="2"/>
      <c r="H603" s="2"/>
      <c r="I603" s="2"/>
      <c r="J603" s="2"/>
      <c r="K603" s="2"/>
      <c r="L603" s="2"/>
      <c r="M603" s="2"/>
      <c r="N603" s="2"/>
    </row>
    <row r="604" spans="1:14" ht="13.8" x14ac:dyDescent="0.25">
      <c r="A604" s="2"/>
      <c r="B604" s="2"/>
      <c r="C604" s="2"/>
      <c r="D604" s="2"/>
      <c r="E604" s="2"/>
      <c r="F604" s="2"/>
      <c r="G604" s="2"/>
      <c r="H604" s="2"/>
      <c r="I604" s="2"/>
      <c r="J604" s="2"/>
      <c r="K604" s="2"/>
      <c r="L604" s="2"/>
      <c r="M604" s="2"/>
      <c r="N604" s="2"/>
    </row>
    <row r="605" spans="1:14" ht="13.8" x14ac:dyDescent="0.25">
      <c r="A605" s="2"/>
      <c r="B605" s="2"/>
      <c r="C605" s="2"/>
      <c r="D605" s="2"/>
      <c r="E605" s="2"/>
      <c r="F605" s="2"/>
      <c r="G605" s="2"/>
      <c r="H605" s="2"/>
      <c r="I605" s="2"/>
      <c r="J605" s="2"/>
      <c r="K605" s="2"/>
      <c r="L605" s="2"/>
      <c r="M605" s="2"/>
      <c r="N605" s="2"/>
    </row>
    <row r="606" spans="1:14" ht="13.8" x14ac:dyDescent="0.25">
      <c r="A606" s="2"/>
      <c r="B606" s="2"/>
      <c r="C606" s="2"/>
      <c r="D606" s="2"/>
      <c r="E606" s="2"/>
      <c r="F606" s="2"/>
      <c r="G606" s="2"/>
      <c r="H606" s="2"/>
      <c r="I606" s="2"/>
      <c r="J606" s="2"/>
      <c r="K606" s="2"/>
      <c r="L606" s="2"/>
      <c r="M606" s="2"/>
      <c r="N606" s="2"/>
    </row>
    <row r="607" spans="1:14" ht="13.8" x14ac:dyDescent="0.25">
      <c r="A607" s="2"/>
      <c r="B607" s="2"/>
      <c r="C607" s="2"/>
      <c r="D607" s="2"/>
      <c r="E607" s="2"/>
      <c r="F607" s="2"/>
      <c r="G607" s="2"/>
      <c r="H607" s="2"/>
      <c r="I607" s="2"/>
      <c r="J607" s="2"/>
      <c r="K607" s="2"/>
      <c r="L607" s="2"/>
      <c r="M607" s="2"/>
      <c r="N607" s="2"/>
    </row>
    <row r="608" spans="1:14" ht="13.8" x14ac:dyDescent="0.25">
      <c r="A608" s="2"/>
      <c r="B608" s="2"/>
      <c r="C608" s="2"/>
      <c r="D608" s="2"/>
      <c r="E608" s="2"/>
      <c r="F608" s="2"/>
      <c r="G608" s="2"/>
      <c r="H608" s="2"/>
      <c r="I608" s="2"/>
      <c r="J608" s="2"/>
      <c r="K608" s="2"/>
      <c r="L608" s="2"/>
      <c r="M608" s="2"/>
      <c r="N608" s="2"/>
    </row>
    <row r="609" spans="1:14" ht="13.8" x14ac:dyDescent="0.25">
      <c r="A609" s="2"/>
      <c r="B609" s="2"/>
      <c r="C609" s="2"/>
      <c r="D609" s="2"/>
      <c r="E609" s="2"/>
      <c r="F609" s="2"/>
      <c r="G609" s="2"/>
      <c r="H609" s="2"/>
      <c r="I609" s="2"/>
      <c r="J609" s="2"/>
      <c r="K609" s="2"/>
      <c r="L609" s="2"/>
      <c r="M609" s="2"/>
      <c r="N609" s="2"/>
    </row>
    <row r="610" spans="1:14" ht="13.8" x14ac:dyDescent="0.25">
      <c r="A610" s="2"/>
      <c r="B610" s="2"/>
      <c r="C610" s="2"/>
      <c r="D610" s="2"/>
      <c r="E610" s="2"/>
      <c r="F610" s="2"/>
      <c r="G610" s="2"/>
      <c r="H610" s="2"/>
      <c r="I610" s="2"/>
      <c r="J610" s="2"/>
      <c r="K610" s="2"/>
      <c r="L610" s="2"/>
      <c r="M610" s="2"/>
      <c r="N610" s="2"/>
    </row>
    <row r="611" spans="1:14" ht="13.8" x14ac:dyDescent="0.25">
      <c r="A611" s="2"/>
      <c r="B611" s="2"/>
      <c r="C611" s="2"/>
      <c r="D611" s="2"/>
      <c r="E611" s="2"/>
      <c r="F611" s="2"/>
      <c r="G611" s="2"/>
      <c r="H611" s="2"/>
      <c r="I611" s="2"/>
      <c r="J611" s="2"/>
      <c r="K611" s="2"/>
      <c r="L611" s="2"/>
      <c r="M611" s="2"/>
      <c r="N611" s="2"/>
    </row>
    <row r="612" spans="1:14" ht="13.8" x14ac:dyDescent="0.25">
      <c r="A612" s="2"/>
      <c r="B612" s="2"/>
      <c r="C612" s="2"/>
      <c r="D612" s="2"/>
      <c r="E612" s="2"/>
      <c r="F612" s="2"/>
      <c r="G612" s="2"/>
      <c r="H612" s="2"/>
      <c r="I612" s="2"/>
      <c r="J612" s="2"/>
      <c r="K612" s="2"/>
      <c r="L612" s="2"/>
      <c r="M612" s="2"/>
      <c r="N612" s="2"/>
    </row>
    <row r="613" spans="1:14" ht="13.8" x14ac:dyDescent="0.25">
      <c r="A613" s="2"/>
      <c r="B613" s="2"/>
      <c r="C613" s="2"/>
      <c r="D613" s="2"/>
      <c r="E613" s="2"/>
      <c r="F613" s="2"/>
      <c r="G613" s="2"/>
      <c r="H613" s="2"/>
      <c r="I613" s="2"/>
      <c r="J613" s="2"/>
      <c r="K613" s="2"/>
      <c r="L613" s="2"/>
      <c r="M613" s="2"/>
      <c r="N613" s="2"/>
    </row>
    <row r="614" spans="1:14" ht="13.8" x14ac:dyDescent="0.25">
      <c r="A614" s="2"/>
      <c r="B614" s="2"/>
      <c r="C614" s="2"/>
      <c r="D614" s="2"/>
      <c r="E614" s="2"/>
      <c r="F614" s="2"/>
      <c r="G614" s="2"/>
      <c r="H614" s="2"/>
      <c r="I614" s="2"/>
      <c r="J614" s="2"/>
      <c r="K614" s="2"/>
      <c r="L614" s="2"/>
      <c r="M614" s="2"/>
      <c r="N614" s="2"/>
    </row>
    <row r="615" spans="1:14" ht="13.8" x14ac:dyDescent="0.25">
      <c r="A615" s="2"/>
      <c r="B615" s="2"/>
      <c r="C615" s="2"/>
      <c r="D615" s="2"/>
      <c r="E615" s="2"/>
      <c r="F615" s="2"/>
      <c r="G615" s="2"/>
      <c r="H615" s="2"/>
      <c r="I615" s="2"/>
      <c r="J615" s="2"/>
      <c r="K615" s="2"/>
      <c r="L615" s="2"/>
      <c r="M615" s="2"/>
      <c r="N615" s="2"/>
    </row>
    <row r="616" spans="1:14" ht="13.8" x14ac:dyDescent="0.25">
      <c r="A616" s="2"/>
      <c r="B616" s="2"/>
      <c r="C616" s="2"/>
      <c r="D616" s="2"/>
      <c r="E616" s="2"/>
      <c r="F616" s="2"/>
      <c r="G616" s="2"/>
      <c r="H616" s="2"/>
      <c r="I616" s="2"/>
      <c r="J616" s="2"/>
      <c r="K616" s="2"/>
      <c r="L616" s="2"/>
      <c r="M616" s="2"/>
      <c r="N616" s="2"/>
    </row>
    <row r="617" spans="1:14" ht="13.8" x14ac:dyDescent="0.25">
      <c r="A617" s="2"/>
      <c r="B617" s="2"/>
      <c r="C617" s="2"/>
      <c r="D617" s="2"/>
      <c r="E617" s="2"/>
      <c r="F617" s="2"/>
      <c r="G617" s="2"/>
      <c r="H617" s="2"/>
      <c r="I617" s="2"/>
      <c r="J617" s="2"/>
      <c r="K617" s="2"/>
      <c r="L617" s="2"/>
      <c r="M617" s="2"/>
      <c r="N617" s="2"/>
    </row>
    <row r="618" spans="1:14" ht="13.8" x14ac:dyDescent="0.25">
      <c r="A618" s="2"/>
      <c r="B618" s="2"/>
      <c r="C618" s="2"/>
      <c r="D618" s="2"/>
      <c r="E618" s="2"/>
      <c r="F618" s="2"/>
      <c r="G618" s="2"/>
      <c r="H618" s="2"/>
      <c r="I618" s="2"/>
      <c r="J618" s="2"/>
      <c r="K618" s="2"/>
      <c r="L618" s="2"/>
      <c r="M618" s="2"/>
      <c r="N618" s="2"/>
    </row>
    <row r="619" spans="1:14" ht="13.8" x14ac:dyDescent="0.25">
      <c r="A619" s="2"/>
      <c r="B619" s="2"/>
      <c r="C619" s="2"/>
      <c r="D619" s="2"/>
      <c r="E619" s="2"/>
      <c r="F619" s="2"/>
      <c r="G619" s="2"/>
      <c r="H619" s="2"/>
      <c r="I619" s="2"/>
      <c r="J619" s="2"/>
      <c r="K619" s="2"/>
      <c r="L619" s="2"/>
      <c r="M619" s="2"/>
      <c r="N619" s="2"/>
    </row>
    <row r="620" spans="1:14" ht="13.8" x14ac:dyDescent="0.25">
      <c r="A620" s="2"/>
      <c r="B620" s="2"/>
      <c r="C620" s="2"/>
      <c r="D620" s="2"/>
      <c r="E620" s="2"/>
      <c r="F620" s="2"/>
      <c r="G620" s="2"/>
      <c r="H620" s="2"/>
      <c r="I620" s="2"/>
      <c r="J620" s="2"/>
      <c r="K620" s="2"/>
      <c r="L620" s="2"/>
      <c r="M620" s="2"/>
      <c r="N620" s="2"/>
    </row>
    <row r="621" spans="1:14" ht="13.8" x14ac:dyDescent="0.25">
      <c r="A621" s="2"/>
      <c r="B621" s="2"/>
      <c r="C621" s="2"/>
      <c r="D621" s="2"/>
      <c r="E621" s="2"/>
      <c r="F621" s="2"/>
      <c r="G621" s="2"/>
      <c r="H621" s="2"/>
      <c r="I621" s="2"/>
      <c r="J621" s="2"/>
      <c r="K621" s="2"/>
      <c r="L621" s="2"/>
      <c r="M621" s="2"/>
      <c r="N621" s="2"/>
    </row>
    <row r="622" spans="1:14" ht="13.8" x14ac:dyDescent="0.25">
      <c r="A622" s="2"/>
      <c r="B622" s="2"/>
      <c r="C622" s="2"/>
      <c r="D622" s="2"/>
      <c r="E622" s="2"/>
      <c r="F622" s="2"/>
      <c r="G622" s="2"/>
      <c r="H622" s="2"/>
      <c r="I622" s="2"/>
      <c r="J622" s="2"/>
      <c r="K622" s="2"/>
      <c r="L622" s="2"/>
      <c r="M622" s="2"/>
      <c r="N622" s="2"/>
    </row>
    <row r="623" spans="1:14" ht="13.8" x14ac:dyDescent="0.25">
      <c r="A623" s="2"/>
      <c r="B623" s="2"/>
      <c r="C623" s="2"/>
      <c r="D623" s="2"/>
      <c r="E623" s="2"/>
      <c r="F623" s="2"/>
      <c r="G623" s="2"/>
      <c r="H623" s="2"/>
      <c r="I623" s="2"/>
      <c r="J623" s="2"/>
      <c r="K623" s="2"/>
      <c r="L623" s="2"/>
      <c r="M623" s="2"/>
      <c r="N623" s="2"/>
    </row>
    <row r="624" spans="1:14" ht="13.8" x14ac:dyDescent="0.25">
      <c r="A624" s="2"/>
      <c r="B624" s="2"/>
      <c r="C624" s="2"/>
      <c r="D624" s="2"/>
      <c r="E624" s="2"/>
      <c r="F624" s="2"/>
      <c r="G624" s="2"/>
      <c r="H624" s="2"/>
      <c r="I624" s="2"/>
      <c r="J624" s="2"/>
      <c r="K624" s="2"/>
      <c r="L624" s="2"/>
      <c r="M624" s="2"/>
      <c r="N624" s="2"/>
    </row>
    <row r="625" spans="1:14" ht="13.8" x14ac:dyDescent="0.25">
      <c r="A625" s="2"/>
      <c r="B625" s="2"/>
      <c r="C625" s="2"/>
      <c r="D625" s="2"/>
      <c r="E625" s="2"/>
      <c r="F625" s="2"/>
      <c r="G625" s="2"/>
      <c r="H625" s="2"/>
      <c r="I625" s="2"/>
      <c r="J625" s="2"/>
      <c r="K625" s="2"/>
      <c r="L625" s="2"/>
      <c r="M625" s="2"/>
      <c r="N625" s="2"/>
    </row>
    <row r="626" spans="1:14" ht="13.8" x14ac:dyDescent="0.25">
      <c r="A626" s="2"/>
      <c r="B626" s="2"/>
      <c r="C626" s="2"/>
      <c r="D626" s="2"/>
      <c r="E626" s="2"/>
      <c r="F626" s="2"/>
      <c r="G626" s="2"/>
      <c r="H626" s="2"/>
      <c r="I626" s="2"/>
      <c r="J626" s="2"/>
      <c r="K626" s="2"/>
      <c r="L626" s="2"/>
      <c r="M626" s="2"/>
      <c r="N626" s="2"/>
    </row>
    <row r="627" spans="1:14" ht="13.8" x14ac:dyDescent="0.25">
      <c r="A627" s="2"/>
      <c r="B627" s="2"/>
      <c r="C627" s="2"/>
      <c r="D627" s="2"/>
      <c r="E627" s="2"/>
      <c r="F627" s="2"/>
      <c r="G627" s="2"/>
      <c r="H627" s="2"/>
      <c r="I627" s="2"/>
      <c r="J627" s="2"/>
      <c r="K627" s="2"/>
      <c r="L627" s="2"/>
      <c r="M627" s="2"/>
      <c r="N627" s="2"/>
    </row>
    <row r="628" spans="1:14" ht="13.8" x14ac:dyDescent="0.25">
      <c r="A628" s="2"/>
      <c r="B628" s="2"/>
      <c r="C628" s="2"/>
      <c r="D628" s="2"/>
      <c r="E628" s="2"/>
      <c r="F628" s="2"/>
      <c r="G628" s="2"/>
      <c r="H628" s="2"/>
      <c r="I628" s="2"/>
      <c r="J628" s="2"/>
      <c r="K628" s="2"/>
      <c r="L628" s="2"/>
      <c r="M628" s="2"/>
      <c r="N628" s="2"/>
    </row>
    <row r="629" spans="1:14" ht="13.8" x14ac:dyDescent="0.25">
      <c r="A629" s="2"/>
      <c r="B629" s="2"/>
      <c r="C629" s="2"/>
      <c r="D629" s="2"/>
      <c r="E629" s="2"/>
      <c r="F629" s="2"/>
      <c r="G629" s="2"/>
      <c r="H629" s="2"/>
      <c r="I629" s="2"/>
      <c r="J629" s="2"/>
      <c r="K629" s="2"/>
      <c r="L629" s="2"/>
      <c r="M629" s="2"/>
      <c r="N629" s="2"/>
    </row>
    <row r="630" spans="1:14" ht="13.8" x14ac:dyDescent="0.25">
      <c r="A630" s="2"/>
      <c r="B630" s="2"/>
      <c r="C630" s="2"/>
      <c r="D630" s="2"/>
      <c r="E630" s="2"/>
      <c r="F630" s="2"/>
      <c r="G630" s="2"/>
      <c r="H630" s="2"/>
      <c r="I630" s="2"/>
      <c r="J630" s="2"/>
      <c r="K630" s="2"/>
      <c r="L630" s="2"/>
      <c r="M630" s="2"/>
      <c r="N630" s="2"/>
    </row>
    <row r="631" spans="1:14" ht="13.8" x14ac:dyDescent="0.25">
      <c r="A631" s="2"/>
      <c r="B631" s="2"/>
      <c r="C631" s="2"/>
      <c r="D631" s="2"/>
      <c r="E631" s="2"/>
      <c r="F631" s="2"/>
      <c r="G631" s="2"/>
      <c r="H631" s="2"/>
      <c r="I631" s="2"/>
      <c r="J631" s="2"/>
      <c r="K631" s="2"/>
      <c r="L631" s="2"/>
      <c r="M631" s="2"/>
      <c r="N631" s="2"/>
    </row>
    <row r="632" spans="1:14" ht="13.8" x14ac:dyDescent="0.25">
      <c r="A632" s="2"/>
      <c r="B632" s="2"/>
      <c r="C632" s="2"/>
      <c r="D632" s="2"/>
      <c r="E632" s="2"/>
      <c r="F632" s="2"/>
      <c r="G632" s="2"/>
      <c r="H632" s="2"/>
      <c r="I632" s="2"/>
      <c r="J632" s="2"/>
      <c r="K632" s="2"/>
      <c r="L632" s="2"/>
      <c r="M632" s="2"/>
      <c r="N632" s="2"/>
    </row>
    <row r="633" spans="1:14" ht="13.8" x14ac:dyDescent="0.25">
      <c r="A633" s="2"/>
      <c r="B633" s="2"/>
      <c r="C633" s="2"/>
      <c r="D633" s="2"/>
      <c r="E633" s="2"/>
      <c r="F633" s="2"/>
      <c r="G633" s="2"/>
      <c r="H633" s="2"/>
      <c r="I633" s="2"/>
      <c r="J633" s="2"/>
      <c r="K633" s="2"/>
      <c r="L633" s="2"/>
      <c r="M633" s="2"/>
      <c r="N633" s="2"/>
    </row>
    <row r="634" spans="1:14" ht="13.8" x14ac:dyDescent="0.25">
      <c r="A634" s="2"/>
      <c r="B634" s="2"/>
      <c r="C634" s="2"/>
      <c r="D634" s="2"/>
      <c r="E634" s="2"/>
      <c r="F634" s="2"/>
      <c r="G634" s="2"/>
      <c r="H634" s="2"/>
      <c r="I634" s="2"/>
      <c r="J634" s="2"/>
      <c r="K634" s="2"/>
      <c r="L634" s="2"/>
      <c r="M634" s="2"/>
      <c r="N634" s="2"/>
    </row>
    <row r="635" spans="1:14" ht="13.8" x14ac:dyDescent="0.25">
      <c r="A635" s="2"/>
      <c r="B635" s="2"/>
      <c r="C635" s="2"/>
      <c r="D635" s="2"/>
      <c r="E635" s="2"/>
      <c r="F635" s="2"/>
      <c r="G635" s="2"/>
      <c r="H635" s="2"/>
      <c r="I635" s="2"/>
      <c r="J635" s="2"/>
      <c r="K635" s="2"/>
      <c r="L635" s="2"/>
      <c r="M635" s="2"/>
      <c r="N635" s="2"/>
    </row>
    <row r="636" spans="1:14" ht="13.8" x14ac:dyDescent="0.25">
      <c r="A636" s="2"/>
      <c r="B636" s="2"/>
      <c r="C636" s="2"/>
      <c r="D636" s="2"/>
      <c r="E636" s="2"/>
      <c r="F636" s="2"/>
      <c r="G636" s="2"/>
      <c r="H636" s="2"/>
      <c r="I636" s="2"/>
      <c r="J636" s="2"/>
      <c r="K636" s="2"/>
      <c r="L636" s="2"/>
      <c r="M636" s="2"/>
      <c r="N636" s="2"/>
    </row>
    <row r="637" spans="1:14" ht="13.8" x14ac:dyDescent="0.25">
      <c r="A637" s="2"/>
      <c r="B637" s="2"/>
      <c r="C637" s="2"/>
      <c r="D637" s="2"/>
      <c r="E637" s="2"/>
      <c r="F637" s="2"/>
      <c r="G637" s="2"/>
      <c r="H637" s="2"/>
      <c r="I637" s="2"/>
      <c r="J637" s="2"/>
      <c r="K637" s="2"/>
      <c r="L637" s="2"/>
      <c r="M637" s="2"/>
      <c r="N637" s="2"/>
    </row>
    <row r="638" spans="1:14" ht="13.8" x14ac:dyDescent="0.25">
      <c r="A638" s="2"/>
      <c r="B638" s="2"/>
      <c r="C638" s="2"/>
      <c r="D638" s="2"/>
      <c r="E638" s="2"/>
      <c r="F638" s="2"/>
      <c r="G638" s="2"/>
      <c r="H638" s="2"/>
      <c r="I638" s="2"/>
      <c r="J638" s="2"/>
      <c r="K638" s="2"/>
      <c r="L638" s="2"/>
      <c r="M638" s="2"/>
      <c r="N638" s="2"/>
    </row>
    <row r="639" spans="1:14" ht="13.8" x14ac:dyDescent="0.25">
      <c r="A639" s="2"/>
      <c r="B639" s="2"/>
      <c r="C639" s="2"/>
      <c r="D639" s="2"/>
      <c r="E639" s="2"/>
      <c r="F639" s="2"/>
      <c r="G639" s="2"/>
      <c r="H639" s="2"/>
      <c r="I639" s="2"/>
      <c r="J639" s="2"/>
      <c r="K639" s="2"/>
      <c r="L639" s="2"/>
      <c r="M639" s="2"/>
      <c r="N639" s="2"/>
    </row>
    <row r="640" spans="1:14" ht="13.8" x14ac:dyDescent="0.25">
      <c r="A640" s="2"/>
      <c r="B640" s="2"/>
      <c r="C640" s="2"/>
      <c r="D640" s="2"/>
      <c r="E640" s="2"/>
      <c r="F640" s="2"/>
      <c r="G640" s="2"/>
      <c r="H640" s="2"/>
      <c r="I640" s="2"/>
      <c r="J640" s="2"/>
      <c r="K640" s="2"/>
      <c r="L640" s="2"/>
      <c r="M640" s="2"/>
      <c r="N640" s="2"/>
    </row>
    <row r="641" spans="1:14" ht="13.8" x14ac:dyDescent="0.25">
      <c r="A641" s="2"/>
      <c r="B641" s="2"/>
      <c r="C641" s="2"/>
      <c r="D641" s="2"/>
      <c r="E641" s="2"/>
      <c r="F641" s="2"/>
      <c r="G641" s="2"/>
      <c r="H641" s="2"/>
      <c r="I641" s="2"/>
      <c r="J641" s="2"/>
      <c r="K641" s="2"/>
      <c r="L641" s="2"/>
      <c r="M641" s="2"/>
      <c r="N641" s="2"/>
    </row>
    <row r="642" spans="1:14" ht="13.8" x14ac:dyDescent="0.25">
      <c r="A642" s="2"/>
      <c r="B642" s="2"/>
      <c r="C642" s="2"/>
      <c r="D642" s="2"/>
      <c r="E642" s="2"/>
      <c r="F642" s="2"/>
      <c r="G642" s="2"/>
      <c r="H642" s="2"/>
      <c r="I642" s="2"/>
      <c r="J642" s="2"/>
      <c r="K642" s="2"/>
      <c r="L642" s="2"/>
      <c r="M642" s="2"/>
      <c r="N642" s="2"/>
    </row>
    <row r="643" spans="1:14" ht="13.8" x14ac:dyDescent="0.25">
      <c r="A643" s="2"/>
      <c r="B643" s="2"/>
      <c r="C643" s="2"/>
      <c r="D643" s="2"/>
      <c r="E643" s="2"/>
      <c r="F643" s="2"/>
      <c r="G643" s="2"/>
      <c r="H643" s="2"/>
      <c r="I643" s="2"/>
      <c r="J643" s="2"/>
      <c r="K643" s="2"/>
      <c r="L643" s="2"/>
      <c r="M643" s="2"/>
      <c r="N643" s="2"/>
    </row>
    <row r="644" spans="1:14" ht="13.8" x14ac:dyDescent="0.25">
      <c r="A644" s="2"/>
      <c r="B644" s="2"/>
      <c r="C644" s="2"/>
      <c r="D644" s="2"/>
      <c r="E644" s="2"/>
      <c r="F644" s="2"/>
      <c r="G644" s="2"/>
      <c r="H644" s="2"/>
      <c r="I644" s="2"/>
      <c r="J644" s="2"/>
      <c r="K644" s="2"/>
      <c r="L644" s="2"/>
      <c r="M644" s="2"/>
      <c r="N644" s="2"/>
    </row>
    <row r="645" spans="1:14" ht="13.8" x14ac:dyDescent="0.25">
      <c r="A645" s="2"/>
      <c r="B645" s="2"/>
      <c r="C645" s="2"/>
      <c r="D645" s="2"/>
      <c r="E645" s="2"/>
      <c r="F645" s="2"/>
      <c r="G645" s="2"/>
      <c r="H645" s="2"/>
      <c r="I645" s="2"/>
      <c r="J645" s="2"/>
      <c r="K645" s="2"/>
      <c r="L645" s="2"/>
      <c r="M645" s="2"/>
      <c r="N645" s="2"/>
    </row>
    <row r="646" spans="1:14" ht="13.8" x14ac:dyDescent="0.25">
      <c r="A646" s="2"/>
      <c r="B646" s="2"/>
      <c r="C646" s="2"/>
      <c r="D646" s="2"/>
      <c r="E646" s="2"/>
      <c r="F646" s="2"/>
      <c r="G646" s="2"/>
      <c r="H646" s="2"/>
      <c r="I646" s="2"/>
      <c r="J646" s="2"/>
      <c r="K646" s="2"/>
      <c r="L646" s="2"/>
      <c r="M646" s="2"/>
      <c r="N646" s="2"/>
    </row>
    <row r="647" spans="1:14" ht="13.8" x14ac:dyDescent="0.25">
      <c r="A647" s="2"/>
      <c r="B647" s="2"/>
      <c r="C647" s="2"/>
      <c r="D647" s="2"/>
      <c r="E647" s="2"/>
      <c r="F647" s="2"/>
      <c r="G647" s="2"/>
      <c r="H647" s="2"/>
      <c r="I647" s="2"/>
      <c r="J647" s="2"/>
      <c r="K647" s="2"/>
      <c r="L647" s="2"/>
      <c r="M647" s="2"/>
      <c r="N647" s="2"/>
    </row>
    <row r="648" spans="1:14" ht="13.8" x14ac:dyDescent="0.25">
      <c r="A648" s="2"/>
      <c r="B648" s="2"/>
      <c r="C648" s="2"/>
      <c r="D648" s="2"/>
      <c r="E648" s="2"/>
      <c r="F648" s="2"/>
      <c r="G648" s="2"/>
      <c r="H648" s="2"/>
      <c r="I648" s="2"/>
      <c r="J648" s="2"/>
      <c r="K648" s="2"/>
      <c r="L648" s="2"/>
      <c r="M648" s="2"/>
      <c r="N648" s="2"/>
    </row>
    <row r="649" spans="1:14" ht="13.8" x14ac:dyDescent="0.25">
      <c r="A649" s="2"/>
      <c r="B649" s="2"/>
      <c r="C649" s="2"/>
      <c r="D649" s="2"/>
      <c r="E649" s="2"/>
      <c r="F649" s="2"/>
      <c r="G649" s="2"/>
      <c r="H649" s="2"/>
      <c r="I649" s="2"/>
      <c r="J649" s="2"/>
      <c r="K649" s="2"/>
      <c r="L649" s="2"/>
      <c r="M649" s="2"/>
      <c r="N649" s="2"/>
    </row>
    <row r="650" spans="1:14" ht="13.8" x14ac:dyDescent="0.25">
      <c r="A650" s="2"/>
      <c r="B650" s="2"/>
      <c r="C650" s="2"/>
      <c r="D650" s="2"/>
      <c r="E650" s="2"/>
      <c r="F650" s="2"/>
      <c r="G650" s="2"/>
      <c r="H650" s="2"/>
      <c r="I650" s="2"/>
      <c r="J650" s="2"/>
      <c r="K650" s="2"/>
      <c r="L650" s="2"/>
      <c r="M650" s="2"/>
      <c r="N650" s="2"/>
    </row>
    <row r="651" spans="1:14" ht="13.8" x14ac:dyDescent="0.25">
      <c r="A651" s="2"/>
      <c r="B651" s="2"/>
      <c r="C651" s="2"/>
      <c r="D651" s="2"/>
      <c r="E651" s="2"/>
      <c r="F651" s="2"/>
      <c r="G651" s="2"/>
      <c r="H651" s="2"/>
      <c r="I651" s="2"/>
      <c r="J651" s="2"/>
      <c r="K651" s="2"/>
      <c r="L651" s="2"/>
      <c r="M651" s="2"/>
      <c r="N651" s="2"/>
    </row>
    <row r="652" spans="1:14" ht="13.8" x14ac:dyDescent="0.25">
      <c r="A652" s="2"/>
      <c r="B652" s="2"/>
      <c r="C652" s="2"/>
      <c r="D652" s="2"/>
      <c r="E652" s="2"/>
      <c r="F652" s="2"/>
      <c r="G652" s="2"/>
      <c r="H652" s="2"/>
      <c r="I652" s="2"/>
      <c r="J652" s="2"/>
      <c r="K652" s="2"/>
      <c r="L652" s="2"/>
      <c r="M652" s="2"/>
      <c r="N652" s="2"/>
    </row>
    <row r="653" spans="1:14" ht="13.8" x14ac:dyDescent="0.25">
      <c r="A653" s="2"/>
      <c r="B653" s="2"/>
      <c r="C653" s="2"/>
      <c r="D653" s="2"/>
      <c r="E653" s="2"/>
      <c r="F653" s="2"/>
      <c r="G653" s="2"/>
      <c r="H653" s="2"/>
      <c r="I653" s="2"/>
      <c r="J653" s="2"/>
      <c r="K653" s="2"/>
      <c r="L653" s="2"/>
      <c r="M653" s="2"/>
      <c r="N653" s="2"/>
    </row>
    <row r="654" spans="1:14" ht="13.8" x14ac:dyDescent="0.25">
      <c r="A654" s="2"/>
      <c r="B654" s="2"/>
      <c r="C654" s="2"/>
      <c r="D654" s="2"/>
      <c r="E654" s="2"/>
      <c r="F654" s="2"/>
      <c r="G654" s="2"/>
      <c r="H654" s="2"/>
      <c r="I654" s="2"/>
      <c r="J654" s="2"/>
      <c r="K654" s="2"/>
      <c r="L654" s="2"/>
      <c r="M654" s="2"/>
      <c r="N654" s="2"/>
    </row>
    <row r="655" spans="1:14" ht="13.8" x14ac:dyDescent="0.25">
      <c r="A655" s="2"/>
      <c r="B655" s="2"/>
      <c r="C655" s="2"/>
      <c r="D655" s="2"/>
      <c r="E655" s="2"/>
      <c r="F655" s="2"/>
      <c r="G655" s="2"/>
      <c r="H655" s="2"/>
      <c r="I655" s="2"/>
      <c r="J655" s="2"/>
      <c r="K655" s="2"/>
      <c r="L655" s="2"/>
      <c r="M655" s="2"/>
      <c r="N655" s="2"/>
    </row>
    <row r="656" spans="1:14" ht="13.8" x14ac:dyDescent="0.25">
      <c r="A656" s="2"/>
      <c r="B656" s="2"/>
      <c r="C656" s="2"/>
      <c r="D656" s="2"/>
      <c r="E656" s="2"/>
      <c r="F656" s="2"/>
      <c r="G656" s="2"/>
      <c r="H656" s="2"/>
      <c r="I656" s="2"/>
      <c r="J656" s="2"/>
      <c r="K656" s="2"/>
      <c r="L656" s="2"/>
      <c r="M656" s="2"/>
      <c r="N656" s="2"/>
    </row>
    <row r="657" spans="1:14" ht="13.8" x14ac:dyDescent="0.25">
      <c r="A657" s="2"/>
      <c r="B657" s="2"/>
      <c r="C657" s="2"/>
      <c r="D657" s="2"/>
      <c r="E657" s="2"/>
      <c r="F657" s="2"/>
      <c r="G657" s="2"/>
      <c r="H657" s="2"/>
      <c r="I657" s="2"/>
      <c r="J657" s="2"/>
      <c r="K657" s="2"/>
      <c r="L657" s="2"/>
      <c r="M657" s="2"/>
      <c r="N657" s="2"/>
    </row>
    <row r="658" spans="1:14" ht="13.8" x14ac:dyDescent="0.25">
      <c r="A658" s="2"/>
      <c r="B658" s="2"/>
      <c r="C658" s="2"/>
      <c r="D658" s="2"/>
      <c r="E658" s="2"/>
      <c r="F658" s="2"/>
      <c r="G658" s="2"/>
      <c r="H658" s="2"/>
      <c r="I658" s="2"/>
      <c r="J658" s="2"/>
      <c r="K658" s="2"/>
      <c r="L658" s="2"/>
      <c r="M658" s="2"/>
      <c r="N658" s="2"/>
    </row>
    <row r="659" spans="1:14" ht="13.8" x14ac:dyDescent="0.25">
      <c r="A659" s="2"/>
      <c r="B659" s="2"/>
      <c r="C659" s="2"/>
      <c r="D659" s="2"/>
      <c r="E659" s="2"/>
      <c r="F659" s="2"/>
      <c r="G659" s="2"/>
      <c r="H659" s="2"/>
      <c r="I659" s="2"/>
      <c r="J659" s="2"/>
      <c r="K659" s="2"/>
      <c r="L659" s="2"/>
      <c r="M659" s="2"/>
      <c r="N659" s="2"/>
    </row>
    <row r="660" spans="1:14" ht="13.8" x14ac:dyDescent="0.25">
      <c r="A660" s="2"/>
      <c r="B660" s="2"/>
      <c r="C660" s="2"/>
      <c r="D660" s="2"/>
      <c r="E660" s="2"/>
      <c r="F660" s="2"/>
      <c r="G660" s="2"/>
      <c r="H660" s="2"/>
      <c r="I660" s="2"/>
      <c r="J660" s="2"/>
      <c r="K660" s="2"/>
      <c r="L660" s="2"/>
      <c r="M660" s="2"/>
      <c r="N660" s="2"/>
    </row>
    <row r="661" spans="1:14" ht="13.8" x14ac:dyDescent="0.25">
      <c r="A661" s="2"/>
      <c r="B661" s="2"/>
      <c r="C661" s="2"/>
      <c r="D661" s="2"/>
      <c r="E661" s="2"/>
      <c r="F661" s="2"/>
      <c r="G661" s="2"/>
      <c r="H661" s="2"/>
      <c r="I661" s="2"/>
      <c r="J661" s="2"/>
      <c r="K661" s="2"/>
      <c r="L661" s="2"/>
      <c r="M661" s="2"/>
      <c r="N661" s="2"/>
    </row>
    <row r="662" spans="1:14" ht="13.8" x14ac:dyDescent="0.25">
      <c r="A662" s="2"/>
      <c r="B662" s="2"/>
      <c r="C662" s="2"/>
      <c r="D662" s="2"/>
      <c r="E662" s="2"/>
      <c r="F662" s="2"/>
      <c r="G662" s="2"/>
      <c r="H662" s="2"/>
      <c r="I662" s="2"/>
      <c r="J662" s="2"/>
      <c r="K662" s="2"/>
      <c r="L662" s="2"/>
      <c r="M662" s="2"/>
      <c r="N662" s="2"/>
    </row>
    <row r="663" spans="1:14" ht="13.8" x14ac:dyDescent="0.25">
      <c r="A663" s="2"/>
      <c r="B663" s="2"/>
      <c r="C663" s="2"/>
      <c r="D663" s="2"/>
      <c r="E663" s="2"/>
      <c r="F663" s="2"/>
      <c r="G663" s="2"/>
      <c r="H663" s="2"/>
      <c r="I663" s="2"/>
      <c r="J663" s="2"/>
      <c r="K663" s="2"/>
      <c r="L663" s="2"/>
      <c r="M663" s="2"/>
      <c r="N663" s="2"/>
    </row>
    <row r="664" spans="1:14" ht="13.8" x14ac:dyDescent="0.25">
      <c r="A664" s="2"/>
      <c r="B664" s="2"/>
      <c r="C664" s="2"/>
      <c r="D664" s="2"/>
      <c r="E664" s="2"/>
      <c r="F664" s="2"/>
      <c r="G664" s="2"/>
      <c r="H664" s="2"/>
      <c r="I664" s="2"/>
      <c r="J664" s="2"/>
      <c r="K664" s="2"/>
      <c r="L664" s="2"/>
      <c r="M664" s="2"/>
      <c r="N664" s="2"/>
    </row>
    <row r="665" spans="1:14" ht="13.8" x14ac:dyDescent="0.25">
      <c r="A665" s="2"/>
      <c r="B665" s="2"/>
      <c r="C665" s="2"/>
      <c r="D665" s="2"/>
      <c r="E665" s="2"/>
      <c r="F665" s="2"/>
      <c r="G665" s="2"/>
      <c r="H665" s="2"/>
      <c r="I665" s="2"/>
      <c r="J665" s="2"/>
      <c r="K665" s="2"/>
      <c r="L665" s="2"/>
      <c r="M665" s="2"/>
      <c r="N665" s="2"/>
    </row>
    <row r="666" spans="1:14" ht="13.8" x14ac:dyDescent="0.25">
      <c r="A666" s="2"/>
      <c r="B666" s="2"/>
      <c r="C666" s="2"/>
      <c r="D666" s="2"/>
      <c r="E666" s="2"/>
      <c r="F666" s="2"/>
      <c r="G666" s="2"/>
      <c r="H666" s="2"/>
      <c r="I666" s="2"/>
      <c r="J666" s="2"/>
      <c r="K666" s="2"/>
      <c r="L666" s="2"/>
      <c r="M666" s="2"/>
      <c r="N666" s="2"/>
    </row>
    <row r="667" spans="1:14" ht="13.8" x14ac:dyDescent="0.25">
      <c r="A667" s="2"/>
      <c r="B667" s="2"/>
      <c r="C667" s="2"/>
      <c r="D667" s="2"/>
      <c r="E667" s="2"/>
      <c r="F667" s="2"/>
      <c r="G667" s="2"/>
      <c r="H667" s="2"/>
      <c r="I667" s="2"/>
      <c r="J667" s="2"/>
      <c r="K667" s="2"/>
      <c r="L667" s="2"/>
      <c r="M667" s="2"/>
      <c r="N667" s="2"/>
    </row>
    <row r="668" spans="1:14" ht="13.8" x14ac:dyDescent="0.25">
      <c r="A668" s="2"/>
      <c r="B668" s="2"/>
      <c r="C668" s="2"/>
      <c r="D668" s="2"/>
      <c r="E668" s="2"/>
      <c r="F668" s="2"/>
      <c r="G668" s="2"/>
      <c r="H668" s="2"/>
      <c r="I668" s="2"/>
      <c r="J668" s="2"/>
      <c r="K668" s="2"/>
      <c r="L668" s="2"/>
      <c r="M668" s="2"/>
      <c r="N668" s="2"/>
    </row>
    <row r="669" spans="1:14" ht="13.8" x14ac:dyDescent="0.25">
      <c r="A669" s="2"/>
      <c r="B669" s="2"/>
      <c r="C669" s="2"/>
      <c r="D669" s="2"/>
      <c r="E669" s="2"/>
      <c r="F669" s="2"/>
      <c r="G669" s="2"/>
      <c r="H669" s="2"/>
      <c r="I669" s="2"/>
      <c r="J669" s="2"/>
      <c r="K669" s="2"/>
      <c r="L669" s="2"/>
      <c r="M669" s="2"/>
      <c r="N669" s="2"/>
    </row>
    <row r="670" spans="1:14" ht="13.8" x14ac:dyDescent="0.25">
      <c r="A670" s="2"/>
      <c r="B670" s="2"/>
      <c r="C670" s="2"/>
      <c r="D670" s="2"/>
      <c r="E670" s="2"/>
      <c r="F670" s="2"/>
      <c r="G670" s="2"/>
      <c r="H670" s="2"/>
      <c r="I670" s="2"/>
      <c r="J670" s="2"/>
      <c r="K670" s="2"/>
      <c r="L670" s="2"/>
      <c r="M670" s="2"/>
      <c r="N670" s="2"/>
    </row>
    <row r="671" spans="1:14" ht="13.8" x14ac:dyDescent="0.25">
      <c r="A671" s="2"/>
      <c r="B671" s="2"/>
      <c r="C671" s="2"/>
      <c r="D671" s="2"/>
      <c r="E671" s="2"/>
      <c r="F671" s="2"/>
      <c r="G671" s="2"/>
      <c r="H671" s="2"/>
      <c r="I671" s="2"/>
      <c r="J671" s="2"/>
      <c r="K671" s="2"/>
      <c r="L671" s="2"/>
      <c r="M671" s="2"/>
      <c r="N671" s="2"/>
    </row>
    <row r="672" spans="1:14" ht="13.8" x14ac:dyDescent="0.25">
      <c r="A672" s="2"/>
      <c r="B672" s="2"/>
      <c r="C672" s="2"/>
      <c r="D672" s="2"/>
      <c r="E672" s="2"/>
      <c r="F672" s="2"/>
      <c r="G672" s="2"/>
      <c r="H672" s="2"/>
      <c r="I672" s="2"/>
      <c r="J672" s="2"/>
      <c r="K672" s="2"/>
      <c r="L672" s="2"/>
      <c r="M672" s="2"/>
      <c r="N672" s="2"/>
    </row>
    <row r="673" spans="1:14" ht="13.8" x14ac:dyDescent="0.25">
      <c r="A673" s="2"/>
      <c r="B673" s="2"/>
      <c r="C673" s="2"/>
      <c r="D673" s="2"/>
      <c r="E673" s="2"/>
      <c r="F673" s="2"/>
      <c r="G673" s="2"/>
      <c r="H673" s="2"/>
      <c r="I673" s="2"/>
      <c r="J673" s="2"/>
      <c r="K673" s="2"/>
      <c r="L673" s="2"/>
      <c r="M673" s="2"/>
      <c r="N673" s="2"/>
    </row>
    <row r="674" spans="1:14" ht="13.8" x14ac:dyDescent="0.25">
      <c r="A674" s="2"/>
      <c r="B674" s="2"/>
      <c r="C674" s="2"/>
      <c r="D674" s="2"/>
      <c r="E674" s="2"/>
      <c r="F674" s="2"/>
      <c r="G674" s="2"/>
      <c r="H674" s="2"/>
      <c r="I674" s="2"/>
      <c r="J674" s="2"/>
      <c r="K674" s="2"/>
      <c r="L674" s="2"/>
      <c r="M674" s="2"/>
      <c r="N674" s="2"/>
    </row>
    <row r="675" spans="1:14" ht="13.8" x14ac:dyDescent="0.25">
      <c r="A675" s="2"/>
      <c r="B675" s="2"/>
      <c r="C675" s="2"/>
      <c r="D675" s="2"/>
      <c r="E675" s="2"/>
      <c r="F675" s="2"/>
      <c r="G675" s="2"/>
      <c r="H675" s="2"/>
      <c r="I675" s="2"/>
      <c r="J675" s="2"/>
      <c r="K675" s="2"/>
      <c r="L675" s="2"/>
      <c r="M675" s="2"/>
      <c r="N675" s="2"/>
    </row>
    <row r="676" spans="1:14" ht="13.8" x14ac:dyDescent="0.25">
      <c r="A676" s="2"/>
      <c r="B676" s="2"/>
      <c r="C676" s="2"/>
      <c r="D676" s="2"/>
      <c r="E676" s="2"/>
      <c r="F676" s="2"/>
      <c r="G676" s="2"/>
      <c r="H676" s="2"/>
      <c r="I676" s="2"/>
      <c r="J676" s="2"/>
      <c r="K676" s="2"/>
      <c r="L676" s="2"/>
      <c r="M676" s="2"/>
      <c r="N676" s="2"/>
    </row>
    <row r="677" spans="1:14" ht="13.8" x14ac:dyDescent="0.25">
      <c r="A677" s="2"/>
      <c r="B677" s="2"/>
      <c r="C677" s="2"/>
      <c r="D677" s="2"/>
      <c r="E677" s="2"/>
      <c r="F677" s="2"/>
      <c r="G677" s="2"/>
      <c r="H677" s="2"/>
      <c r="I677" s="2"/>
      <c r="J677" s="2"/>
      <c r="K677" s="2"/>
      <c r="L677" s="2"/>
      <c r="M677" s="2"/>
      <c r="N677" s="2"/>
    </row>
    <row r="678" spans="1:14" ht="13.8" x14ac:dyDescent="0.25">
      <c r="A678" s="2"/>
      <c r="B678" s="2"/>
      <c r="C678" s="2"/>
      <c r="D678" s="2"/>
      <c r="E678" s="2"/>
      <c r="F678" s="2"/>
      <c r="G678" s="2"/>
      <c r="H678" s="2"/>
      <c r="I678" s="2"/>
      <c r="J678" s="2"/>
      <c r="K678" s="2"/>
      <c r="L678" s="2"/>
      <c r="M678" s="2"/>
      <c r="N678" s="2"/>
    </row>
    <row r="679" spans="1:14" ht="13.8" x14ac:dyDescent="0.25">
      <c r="A679" s="2"/>
      <c r="B679" s="2"/>
      <c r="C679" s="2"/>
      <c r="D679" s="2"/>
      <c r="E679" s="2"/>
      <c r="F679" s="2"/>
      <c r="G679" s="2"/>
      <c r="H679" s="2"/>
      <c r="I679" s="2"/>
      <c r="J679" s="2"/>
      <c r="K679" s="2"/>
      <c r="L679" s="2"/>
      <c r="M679" s="2"/>
      <c r="N679" s="2"/>
    </row>
    <row r="680" spans="1:14" ht="13.8" x14ac:dyDescent="0.25">
      <c r="A680" s="2"/>
      <c r="B680" s="2"/>
      <c r="C680" s="2"/>
      <c r="D680" s="2"/>
      <c r="E680" s="2"/>
      <c r="F680" s="2"/>
      <c r="G680" s="2"/>
      <c r="H680" s="2"/>
      <c r="I680" s="2"/>
      <c r="J680" s="2"/>
      <c r="K680" s="2"/>
      <c r="L680" s="2"/>
      <c r="M680" s="2"/>
      <c r="N680" s="2"/>
    </row>
    <row r="681" spans="1:14" ht="13.8" x14ac:dyDescent="0.25">
      <c r="A681" s="2"/>
      <c r="B681" s="2"/>
      <c r="C681" s="2"/>
      <c r="D681" s="2"/>
      <c r="E681" s="2"/>
      <c r="F681" s="2"/>
      <c r="G681" s="2"/>
      <c r="H681" s="2"/>
      <c r="I681" s="2"/>
      <c r="J681" s="2"/>
      <c r="K681" s="2"/>
      <c r="L681" s="2"/>
      <c r="M681" s="2"/>
      <c r="N681" s="2"/>
    </row>
    <row r="682" spans="1:14" ht="13.8" x14ac:dyDescent="0.25">
      <c r="A682" s="2"/>
      <c r="B682" s="2"/>
      <c r="C682" s="2"/>
      <c r="D682" s="2"/>
      <c r="E682" s="2"/>
      <c r="F682" s="2"/>
      <c r="G682" s="2"/>
      <c r="H682" s="2"/>
      <c r="I682" s="2"/>
      <c r="J682" s="2"/>
      <c r="K682" s="2"/>
      <c r="L682" s="2"/>
      <c r="M682" s="2"/>
      <c r="N682" s="2"/>
    </row>
    <row r="683" spans="1:14" ht="13.8" x14ac:dyDescent="0.25">
      <c r="A683" s="2"/>
      <c r="B683" s="2"/>
      <c r="C683" s="2"/>
      <c r="D683" s="2"/>
      <c r="E683" s="2"/>
      <c r="F683" s="2"/>
      <c r="G683" s="2"/>
      <c r="H683" s="2"/>
      <c r="I683" s="2"/>
      <c r="J683" s="2"/>
      <c r="K683" s="2"/>
      <c r="L683" s="2"/>
      <c r="M683" s="2"/>
      <c r="N683" s="2"/>
    </row>
    <row r="684" spans="1:14" ht="13.8" x14ac:dyDescent="0.25">
      <c r="A684" s="2"/>
      <c r="B684" s="2"/>
      <c r="C684" s="2"/>
      <c r="D684" s="2"/>
      <c r="E684" s="2"/>
      <c r="F684" s="2"/>
      <c r="G684" s="2"/>
      <c r="H684" s="2"/>
      <c r="I684" s="2"/>
      <c r="J684" s="2"/>
      <c r="K684" s="2"/>
      <c r="L684" s="2"/>
      <c r="M684" s="2"/>
      <c r="N684" s="2"/>
    </row>
    <row r="685" spans="1:14" ht="13.8" x14ac:dyDescent="0.25">
      <c r="A685" s="2"/>
      <c r="B685" s="2"/>
      <c r="C685" s="2"/>
      <c r="D685" s="2"/>
      <c r="E685" s="2"/>
      <c r="F685" s="2"/>
      <c r="G685" s="2"/>
      <c r="H685" s="2"/>
      <c r="I685" s="2"/>
      <c r="J685" s="2"/>
      <c r="K685" s="2"/>
      <c r="L685" s="2"/>
      <c r="M685" s="2"/>
      <c r="N685" s="2"/>
    </row>
    <row r="686" spans="1:14" ht="13.8" x14ac:dyDescent="0.25">
      <c r="A686" s="2"/>
      <c r="B686" s="2"/>
      <c r="C686" s="2"/>
      <c r="D686" s="2"/>
      <c r="E686" s="2"/>
      <c r="F686" s="2"/>
      <c r="G686" s="2"/>
      <c r="H686" s="2"/>
      <c r="I686" s="2"/>
      <c r="J686" s="2"/>
      <c r="K686" s="2"/>
      <c r="L686" s="2"/>
      <c r="M686" s="2"/>
      <c r="N686" s="2"/>
    </row>
    <row r="687" spans="1:14" ht="13.8" x14ac:dyDescent="0.25">
      <c r="A687" s="2"/>
      <c r="B687" s="2"/>
      <c r="C687" s="2"/>
      <c r="D687" s="2"/>
      <c r="E687" s="2"/>
      <c r="F687" s="2"/>
      <c r="G687" s="2"/>
      <c r="H687" s="2"/>
      <c r="I687" s="2"/>
      <c r="J687" s="2"/>
      <c r="K687" s="2"/>
      <c r="L687" s="2"/>
      <c r="M687" s="2"/>
      <c r="N687" s="2"/>
    </row>
    <row r="688" spans="1:14" ht="13.8" x14ac:dyDescent="0.25">
      <c r="A688" s="2"/>
      <c r="B688" s="2"/>
      <c r="C688" s="2"/>
      <c r="D688" s="2"/>
      <c r="E688" s="2"/>
      <c r="F688" s="2"/>
      <c r="G688" s="2"/>
      <c r="H688" s="2"/>
      <c r="I688" s="2"/>
      <c r="J688" s="2"/>
      <c r="K688" s="2"/>
      <c r="L688" s="2"/>
      <c r="M688" s="2"/>
      <c r="N688" s="2"/>
    </row>
    <row r="689" spans="1:14" ht="13.8" x14ac:dyDescent="0.25">
      <c r="A689" s="2"/>
      <c r="B689" s="2"/>
      <c r="C689" s="2"/>
      <c r="D689" s="2"/>
      <c r="E689" s="2"/>
      <c r="F689" s="2"/>
      <c r="G689" s="2"/>
      <c r="H689" s="2"/>
      <c r="I689" s="2"/>
      <c r="J689" s="2"/>
      <c r="K689" s="2"/>
      <c r="L689" s="2"/>
      <c r="M689" s="2"/>
      <c r="N689" s="2"/>
    </row>
    <row r="690" spans="1:14" ht="13.8" x14ac:dyDescent="0.25">
      <c r="A690" s="2"/>
      <c r="B690" s="2"/>
      <c r="C690" s="2"/>
      <c r="D690" s="2"/>
      <c r="E690" s="2"/>
      <c r="F690" s="2"/>
      <c r="G690" s="2"/>
      <c r="H690" s="2"/>
      <c r="I690" s="2"/>
      <c r="J690" s="2"/>
      <c r="K690" s="2"/>
      <c r="L690" s="2"/>
      <c r="M690" s="2"/>
      <c r="N690" s="2"/>
    </row>
    <row r="691" spans="1:14" ht="13.8" x14ac:dyDescent="0.25">
      <c r="A691" s="2"/>
      <c r="B691" s="2"/>
      <c r="C691" s="2"/>
      <c r="D691" s="2"/>
      <c r="E691" s="2"/>
      <c r="F691" s="2"/>
      <c r="G691" s="2"/>
      <c r="H691" s="2"/>
      <c r="I691" s="2"/>
      <c r="J691" s="2"/>
      <c r="K691" s="2"/>
      <c r="L691" s="2"/>
      <c r="M691" s="2"/>
      <c r="N691" s="2"/>
    </row>
    <row r="692" spans="1:14" ht="13.8" x14ac:dyDescent="0.25">
      <c r="A692" s="2"/>
      <c r="B692" s="2"/>
      <c r="C692" s="2"/>
      <c r="D692" s="2"/>
      <c r="E692" s="2"/>
      <c r="F692" s="2"/>
      <c r="G692" s="2"/>
      <c r="H692" s="2"/>
      <c r="I692" s="2"/>
      <c r="J692" s="2"/>
      <c r="K692" s="2"/>
      <c r="L692" s="2"/>
      <c r="M692" s="2"/>
      <c r="N692" s="2"/>
    </row>
    <row r="693" spans="1:14" ht="13.8" x14ac:dyDescent="0.25">
      <c r="A693" s="2"/>
      <c r="B693" s="2"/>
      <c r="C693" s="2"/>
      <c r="D693" s="2"/>
      <c r="E693" s="2"/>
      <c r="F693" s="2"/>
      <c r="G693" s="2"/>
      <c r="H693" s="2"/>
      <c r="I693" s="2"/>
      <c r="J693" s="2"/>
      <c r="K693" s="2"/>
      <c r="L693" s="2"/>
      <c r="M693" s="2"/>
      <c r="N693" s="2"/>
    </row>
    <row r="694" spans="1:14" ht="13.8" x14ac:dyDescent="0.25">
      <c r="A694" s="2"/>
      <c r="B694" s="2"/>
      <c r="C694" s="2"/>
      <c r="D694" s="2"/>
      <c r="E694" s="2"/>
      <c r="F694" s="2"/>
      <c r="G694" s="2"/>
      <c r="H694" s="2"/>
      <c r="I694" s="2"/>
      <c r="J694" s="2"/>
      <c r="K694" s="2"/>
      <c r="L694" s="2"/>
      <c r="M694" s="2"/>
      <c r="N694" s="2"/>
    </row>
    <row r="695" spans="1:14" ht="13.8" x14ac:dyDescent="0.25">
      <c r="A695" s="2"/>
      <c r="B695" s="2"/>
      <c r="C695" s="2"/>
      <c r="D695" s="2"/>
      <c r="E695" s="2"/>
      <c r="F695" s="2"/>
      <c r="G695" s="2"/>
      <c r="H695" s="2"/>
      <c r="I695" s="2"/>
      <c r="J695" s="2"/>
      <c r="K695" s="2"/>
      <c r="L695" s="2"/>
      <c r="M695" s="2"/>
      <c r="N695" s="2"/>
    </row>
    <row r="696" spans="1:14" ht="13.8" x14ac:dyDescent="0.25">
      <c r="A696" s="2"/>
      <c r="B696" s="2"/>
      <c r="C696" s="2"/>
      <c r="D696" s="2"/>
      <c r="E696" s="2"/>
      <c r="F696" s="2"/>
      <c r="G696" s="2"/>
      <c r="H696" s="2"/>
      <c r="I696" s="2"/>
      <c r="J696" s="2"/>
      <c r="K696" s="2"/>
      <c r="L696" s="2"/>
      <c r="M696" s="2"/>
      <c r="N696" s="2"/>
    </row>
    <row r="697" spans="1:14" ht="13.8" x14ac:dyDescent="0.25">
      <c r="A697" s="2"/>
      <c r="B697" s="2"/>
      <c r="C697" s="2"/>
      <c r="D697" s="2"/>
      <c r="E697" s="2"/>
      <c r="F697" s="2"/>
      <c r="G697" s="2"/>
      <c r="H697" s="2"/>
      <c r="I697" s="2"/>
      <c r="J697" s="2"/>
      <c r="K697" s="2"/>
      <c r="L697" s="2"/>
      <c r="M697" s="2"/>
      <c r="N697" s="2"/>
    </row>
    <row r="698" spans="1:14" ht="13.8" x14ac:dyDescent="0.25">
      <c r="A698" s="2"/>
      <c r="B698" s="2"/>
      <c r="C698" s="2"/>
      <c r="D698" s="2"/>
      <c r="E698" s="2"/>
      <c r="F698" s="2"/>
      <c r="G698" s="2"/>
      <c r="H698" s="2"/>
      <c r="I698" s="2"/>
      <c r="J698" s="2"/>
      <c r="K698" s="2"/>
      <c r="L698" s="2"/>
      <c r="M698" s="2"/>
      <c r="N698" s="2"/>
    </row>
    <row r="699" spans="1:14" ht="13.8" x14ac:dyDescent="0.25">
      <c r="A699" s="2"/>
      <c r="B699" s="2"/>
      <c r="C699" s="2"/>
      <c r="D699" s="2"/>
      <c r="E699" s="2"/>
      <c r="F699" s="2"/>
      <c r="G699" s="2"/>
      <c r="H699" s="2"/>
      <c r="I699" s="2"/>
      <c r="J699" s="2"/>
      <c r="K699" s="2"/>
      <c r="L699" s="2"/>
      <c r="M699" s="2"/>
      <c r="N699" s="2"/>
    </row>
    <row r="700" spans="1:14" ht="13.8" x14ac:dyDescent="0.25">
      <c r="A700" s="2"/>
      <c r="B700" s="2"/>
      <c r="C700" s="2"/>
      <c r="D700" s="2"/>
      <c r="E700" s="2"/>
      <c r="F700" s="2"/>
      <c r="G700" s="2"/>
      <c r="H700" s="2"/>
      <c r="I700" s="2"/>
      <c r="J700" s="2"/>
      <c r="K700" s="2"/>
      <c r="L700" s="2"/>
      <c r="M700" s="2"/>
      <c r="N700" s="2"/>
    </row>
    <row r="701" spans="1:14" ht="13.8" x14ac:dyDescent="0.25">
      <c r="A701" s="2"/>
      <c r="B701" s="2"/>
      <c r="C701" s="2"/>
      <c r="D701" s="2"/>
      <c r="E701" s="2"/>
      <c r="F701" s="2"/>
      <c r="G701" s="2"/>
      <c r="H701" s="2"/>
      <c r="I701" s="2"/>
      <c r="J701" s="2"/>
      <c r="K701" s="2"/>
      <c r="L701" s="2"/>
      <c r="M701" s="2"/>
      <c r="N701" s="2"/>
    </row>
    <row r="702" spans="1:14" ht="13.8" x14ac:dyDescent="0.25">
      <c r="A702" s="2"/>
      <c r="B702" s="2"/>
      <c r="C702" s="2"/>
      <c r="D702" s="2"/>
      <c r="E702" s="2"/>
      <c r="F702" s="2"/>
      <c r="G702" s="2"/>
      <c r="H702" s="2"/>
      <c r="I702" s="2"/>
      <c r="J702" s="2"/>
      <c r="K702" s="2"/>
      <c r="L702" s="2"/>
      <c r="M702" s="2"/>
      <c r="N702" s="2"/>
    </row>
    <row r="703" spans="1:14" ht="13.8" x14ac:dyDescent="0.25">
      <c r="A703" s="2"/>
      <c r="B703" s="2"/>
      <c r="C703" s="2"/>
      <c r="D703" s="2"/>
      <c r="E703" s="2"/>
      <c r="F703" s="2"/>
      <c r="G703" s="2"/>
      <c r="H703" s="2"/>
      <c r="I703" s="2"/>
      <c r="J703" s="2"/>
      <c r="K703" s="2"/>
      <c r="L703" s="2"/>
      <c r="M703" s="2"/>
      <c r="N703" s="2"/>
    </row>
    <row r="704" spans="1:14" ht="13.8" x14ac:dyDescent="0.25">
      <c r="A704" s="2"/>
      <c r="B704" s="2"/>
      <c r="C704" s="2"/>
      <c r="D704" s="2"/>
      <c r="E704" s="2"/>
      <c r="F704" s="2"/>
      <c r="G704" s="2"/>
      <c r="H704" s="2"/>
      <c r="I704" s="2"/>
      <c r="J704" s="2"/>
      <c r="K704" s="2"/>
      <c r="L704" s="2"/>
      <c r="M704" s="2"/>
      <c r="N704" s="2"/>
    </row>
    <row r="705" spans="1:14" ht="13.8" x14ac:dyDescent="0.25">
      <c r="A705" s="2"/>
      <c r="B705" s="2"/>
      <c r="C705" s="2"/>
      <c r="D705" s="2"/>
      <c r="E705" s="2"/>
      <c r="F705" s="2"/>
      <c r="G705" s="2"/>
      <c r="H705" s="2"/>
      <c r="I705" s="2"/>
      <c r="J705" s="2"/>
      <c r="K705" s="2"/>
      <c r="L705" s="2"/>
      <c r="M705" s="2"/>
      <c r="N705" s="2"/>
    </row>
    <row r="706" spans="1:14" ht="13.8" x14ac:dyDescent="0.25">
      <c r="A706" s="2"/>
      <c r="B706" s="2"/>
      <c r="C706" s="2"/>
      <c r="D706" s="2"/>
      <c r="E706" s="2"/>
      <c r="F706" s="2"/>
      <c r="G706" s="2"/>
      <c r="H706" s="2"/>
      <c r="I706" s="2"/>
      <c r="J706" s="2"/>
      <c r="K706" s="2"/>
      <c r="L706" s="2"/>
      <c r="M706" s="2"/>
      <c r="N706" s="2"/>
    </row>
    <row r="707" spans="1:14" ht="13.8" x14ac:dyDescent="0.25">
      <c r="A707" s="2"/>
      <c r="B707" s="2"/>
      <c r="C707" s="2"/>
      <c r="D707" s="2"/>
      <c r="E707" s="2"/>
      <c r="F707" s="2"/>
      <c r="G707" s="2"/>
      <c r="H707" s="2"/>
      <c r="I707" s="2"/>
      <c r="J707" s="2"/>
      <c r="K707" s="2"/>
      <c r="L707" s="2"/>
      <c r="M707" s="2"/>
      <c r="N707" s="2"/>
    </row>
    <row r="708" spans="1:14" ht="13.8" x14ac:dyDescent="0.25">
      <c r="A708" s="2"/>
      <c r="B708" s="2"/>
      <c r="C708" s="2"/>
      <c r="D708" s="2"/>
      <c r="E708" s="2"/>
      <c r="F708" s="2"/>
      <c r="G708" s="2"/>
      <c r="H708" s="2"/>
      <c r="I708" s="2"/>
      <c r="J708" s="2"/>
      <c r="K708" s="2"/>
      <c r="L708" s="2"/>
      <c r="M708" s="2"/>
      <c r="N708" s="2"/>
    </row>
    <row r="709" spans="1:14" ht="13.8" x14ac:dyDescent="0.25">
      <c r="A709" s="2"/>
      <c r="B709" s="2"/>
      <c r="C709" s="2"/>
      <c r="D709" s="2"/>
      <c r="E709" s="2"/>
      <c r="F709" s="2"/>
      <c r="G709" s="2"/>
      <c r="H709" s="2"/>
      <c r="I709" s="2"/>
      <c r="J709" s="2"/>
      <c r="K709" s="2"/>
      <c r="L709" s="2"/>
      <c r="M709" s="2"/>
      <c r="N709" s="2"/>
    </row>
    <row r="710" spans="1:14" ht="13.8" x14ac:dyDescent="0.25">
      <c r="A710" s="2"/>
      <c r="B710" s="2"/>
      <c r="C710" s="2"/>
      <c r="D710" s="2"/>
      <c r="E710" s="2"/>
      <c r="F710" s="2"/>
      <c r="G710" s="2"/>
      <c r="H710" s="2"/>
      <c r="I710" s="2"/>
      <c r="J710" s="2"/>
      <c r="K710" s="2"/>
      <c r="L710" s="2"/>
      <c r="M710" s="2"/>
      <c r="N710" s="2"/>
    </row>
    <row r="711" spans="1:14" ht="13.8" x14ac:dyDescent="0.25">
      <c r="A711" s="2"/>
      <c r="B711" s="2"/>
      <c r="C711" s="2"/>
      <c r="D711" s="2"/>
      <c r="E711" s="2"/>
      <c r="F711" s="2"/>
      <c r="G711" s="2"/>
      <c r="H711" s="2"/>
      <c r="I711" s="2"/>
      <c r="J711" s="2"/>
      <c r="K711" s="2"/>
      <c r="L711" s="2"/>
      <c r="M711" s="2"/>
      <c r="N711" s="2"/>
    </row>
    <row r="712" spans="1:14" ht="13.8" x14ac:dyDescent="0.25">
      <c r="A712" s="2"/>
      <c r="B712" s="2"/>
      <c r="C712" s="2"/>
      <c r="D712" s="2"/>
      <c r="E712" s="2"/>
      <c r="F712" s="2"/>
      <c r="G712" s="2"/>
      <c r="H712" s="2"/>
      <c r="I712" s="2"/>
      <c r="J712" s="2"/>
      <c r="K712" s="2"/>
      <c r="L712" s="2"/>
      <c r="M712" s="2"/>
      <c r="N712" s="2"/>
    </row>
    <row r="713" spans="1:14" ht="13.8" x14ac:dyDescent="0.25">
      <c r="A713" s="2"/>
      <c r="B713" s="2"/>
      <c r="C713" s="2"/>
      <c r="D713" s="2"/>
      <c r="E713" s="2"/>
      <c r="F713" s="2"/>
      <c r="G713" s="2"/>
      <c r="H713" s="2"/>
      <c r="I713" s="2"/>
      <c r="J713" s="2"/>
      <c r="K713" s="2"/>
      <c r="L713" s="2"/>
      <c r="M713" s="2"/>
      <c r="N713" s="2"/>
    </row>
    <row r="714" spans="1:14" ht="13.8" x14ac:dyDescent="0.25">
      <c r="A714" s="2"/>
      <c r="B714" s="2"/>
      <c r="C714" s="2"/>
      <c r="D714" s="2"/>
      <c r="E714" s="2"/>
      <c r="F714" s="2"/>
      <c r="G714" s="2"/>
      <c r="H714" s="2"/>
      <c r="I714" s="2"/>
      <c r="J714" s="2"/>
      <c r="K714" s="2"/>
      <c r="L714" s="2"/>
      <c r="M714" s="2"/>
      <c r="N714" s="2"/>
    </row>
    <row r="715" spans="1:14" ht="13.8" x14ac:dyDescent="0.25">
      <c r="A715" s="2"/>
      <c r="B715" s="2"/>
      <c r="C715" s="2"/>
      <c r="D715" s="2"/>
      <c r="E715" s="2"/>
      <c r="F715" s="2"/>
      <c r="G715" s="2"/>
      <c r="H715" s="2"/>
      <c r="I715" s="2"/>
      <c r="J715" s="2"/>
      <c r="K715" s="2"/>
      <c r="L715" s="2"/>
      <c r="M715" s="2"/>
      <c r="N715" s="2"/>
    </row>
    <row r="716" spans="1:14" ht="13.8" x14ac:dyDescent="0.25">
      <c r="A716" s="2"/>
      <c r="B716" s="2"/>
      <c r="C716" s="2"/>
      <c r="D716" s="2"/>
      <c r="E716" s="2"/>
      <c r="F716" s="2"/>
      <c r="G716" s="2"/>
      <c r="H716" s="2"/>
      <c r="I716" s="2"/>
      <c r="J716" s="2"/>
      <c r="K716" s="2"/>
      <c r="L716" s="2"/>
      <c r="M716" s="2"/>
      <c r="N716" s="2"/>
    </row>
    <row r="717" spans="1:14" ht="13.8" x14ac:dyDescent="0.25">
      <c r="A717" s="2"/>
      <c r="B717" s="2"/>
      <c r="C717" s="2"/>
      <c r="D717" s="2"/>
      <c r="E717" s="2"/>
      <c r="F717" s="2"/>
      <c r="G717" s="2"/>
      <c r="H717" s="2"/>
      <c r="I717" s="2"/>
      <c r="J717" s="2"/>
      <c r="K717" s="2"/>
      <c r="L717" s="2"/>
      <c r="M717" s="2"/>
      <c r="N717" s="2"/>
    </row>
    <row r="718" spans="1:14" ht="13.8" x14ac:dyDescent="0.25">
      <c r="A718" s="2"/>
      <c r="B718" s="2"/>
      <c r="C718" s="2"/>
      <c r="D718" s="2"/>
      <c r="E718" s="2"/>
      <c r="F718" s="2"/>
      <c r="G718" s="2"/>
      <c r="H718" s="2"/>
      <c r="I718" s="2"/>
      <c r="J718" s="2"/>
      <c r="K718" s="2"/>
      <c r="L718" s="2"/>
      <c r="M718" s="2"/>
      <c r="N718" s="2"/>
    </row>
    <row r="719" spans="1:14" ht="13.8" x14ac:dyDescent="0.25">
      <c r="A719" s="2"/>
      <c r="B719" s="2"/>
      <c r="C719" s="2"/>
      <c r="D719" s="2"/>
      <c r="E719" s="2"/>
      <c r="F719" s="2"/>
      <c r="G719" s="2"/>
      <c r="H719" s="2"/>
      <c r="I719" s="2"/>
      <c r="J719" s="2"/>
      <c r="K719" s="2"/>
      <c r="L719" s="2"/>
      <c r="M719" s="2"/>
      <c r="N719" s="2"/>
    </row>
    <row r="720" spans="1:14" ht="13.8" x14ac:dyDescent="0.25">
      <c r="A720" s="2"/>
      <c r="B720" s="2"/>
      <c r="C720" s="2"/>
      <c r="D720" s="2"/>
      <c r="E720" s="2"/>
      <c r="F720" s="2"/>
      <c r="G720" s="2"/>
      <c r="H720" s="2"/>
      <c r="I720" s="2"/>
      <c r="J720" s="2"/>
      <c r="K720" s="2"/>
      <c r="L720" s="2"/>
      <c r="M720" s="2"/>
      <c r="N720" s="2"/>
    </row>
    <row r="721" spans="1:14" ht="13.8" x14ac:dyDescent="0.25">
      <c r="A721" s="2"/>
      <c r="B721" s="2"/>
      <c r="C721" s="2"/>
      <c r="D721" s="2"/>
      <c r="E721" s="2"/>
      <c r="F721" s="2"/>
      <c r="G721" s="2"/>
      <c r="H721" s="2"/>
      <c r="I721" s="2"/>
      <c r="J721" s="2"/>
      <c r="K721" s="2"/>
      <c r="L721" s="2"/>
      <c r="M721" s="2"/>
      <c r="N721" s="2"/>
    </row>
    <row r="722" spans="1:14" ht="13.8" x14ac:dyDescent="0.25">
      <c r="A722" s="2"/>
      <c r="B722" s="2"/>
      <c r="C722" s="2"/>
      <c r="D722" s="2"/>
      <c r="E722" s="2"/>
      <c r="F722" s="2"/>
      <c r="G722" s="2"/>
      <c r="H722" s="2"/>
      <c r="I722" s="2"/>
      <c r="J722" s="2"/>
      <c r="K722" s="2"/>
      <c r="L722" s="2"/>
      <c r="M722" s="2"/>
      <c r="N722" s="2"/>
    </row>
    <row r="723" spans="1:14" ht="13.8" x14ac:dyDescent="0.25">
      <c r="A723" s="2"/>
      <c r="B723" s="2"/>
      <c r="C723" s="2"/>
      <c r="D723" s="2"/>
      <c r="E723" s="2"/>
      <c r="F723" s="2"/>
      <c r="G723" s="2"/>
      <c r="H723" s="2"/>
      <c r="I723" s="2"/>
      <c r="J723" s="2"/>
      <c r="K723" s="2"/>
      <c r="L723" s="2"/>
      <c r="M723" s="2"/>
      <c r="N723" s="2"/>
    </row>
    <row r="724" spans="1:14" ht="13.8" x14ac:dyDescent="0.25">
      <c r="A724" s="2"/>
      <c r="B724" s="2"/>
      <c r="C724" s="2"/>
      <c r="D724" s="2"/>
      <c r="E724" s="2"/>
      <c r="F724" s="2"/>
      <c r="G724" s="2"/>
      <c r="H724" s="2"/>
      <c r="I724" s="2"/>
      <c r="J724" s="2"/>
      <c r="K724" s="2"/>
      <c r="L724" s="2"/>
      <c r="M724" s="2"/>
      <c r="N724" s="2"/>
    </row>
    <row r="725" spans="1:14" ht="13.8" x14ac:dyDescent="0.25">
      <c r="A725" s="2"/>
      <c r="B725" s="2"/>
      <c r="C725" s="2"/>
      <c r="D725" s="2"/>
      <c r="E725" s="2"/>
      <c r="F725" s="2"/>
      <c r="G725" s="2"/>
      <c r="H725" s="2"/>
      <c r="I725" s="2"/>
      <c r="J725" s="2"/>
      <c r="K725" s="2"/>
      <c r="L725" s="2"/>
      <c r="M725" s="2"/>
      <c r="N725" s="2"/>
    </row>
    <row r="726" spans="1:14" ht="13.8" x14ac:dyDescent="0.25">
      <c r="A726" s="2"/>
      <c r="B726" s="2"/>
      <c r="C726" s="2"/>
      <c r="D726" s="2"/>
      <c r="E726" s="2"/>
      <c r="F726" s="2"/>
      <c r="G726" s="2"/>
      <c r="H726" s="2"/>
      <c r="I726" s="2"/>
      <c r="J726" s="2"/>
      <c r="K726" s="2"/>
      <c r="L726" s="2"/>
      <c r="M726" s="2"/>
      <c r="N726" s="2"/>
    </row>
    <row r="727" spans="1:14" ht="13.8" x14ac:dyDescent="0.25">
      <c r="A727" s="2"/>
      <c r="B727" s="2"/>
      <c r="C727" s="2"/>
      <c r="D727" s="2"/>
      <c r="E727" s="2"/>
      <c r="F727" s="2"/>
      <c r="G727" s="2"/>
      <c r="H727" s="2"/>
      <c r="I727" s="2"/>
      <c r="J727" s="2"/>
      <c r="K727" s="2"/>
      <c r="L727" s="2"/>
      <c r="M727" s="2"/>
      <c r="N727" s="2"/>
    </row>
    <row r="728" spans="1:14" ht="13.8" x14ac:dyDescent="0.25">
      <c r="A728" s="2"/>
      <c r="B728" s="2"/>
      <c r="C728" s="2"/>
      <c r="D728" s="2"/>
      <c r="E728" s="2"/>
      <c r="F728" s="2"/>
      <c r="G728" s="2"/>
      <c r="H728" s="2"/>
      <c r="I728" s="2"/>
      <c r="J728" s="2"/>
      <c r="K728" s="2"/>
      <c r="L728" s="2"/>
      <c r="M728" s="2"/>
      <c r="N728" s="2"/>
    </row>
    <row r="729" spans="1:14" ht="13.8" x14ac:dyDescent="0.25">
      <c r="A729" s="2"/>
      <c r="B729" s="2"/>
      <c r="C729" s="2"/>
      <c r="D729" s="2"/>
      <c r="E729" s="2"/>
      <c r="F729" s="2"/>
      <c r="G729" s="2"/>
      <c r="H729" s="2"/>
      <c r="I729" s="2"/>
      <c r="J729" s="2"/>
      <c r="K729" s="2"/>
      <c r="L729" s="2"/>
      <c r="M729" s="2"/>
      <c r="N729" s="2"/>
    </row>
    <row r="730" spans="1:14" ht="13.8" x14ac:dyDescent="0.25">
      <c r="A730" s="2"/>
      <c r="B730" s="2"/>
      <c r="C730" s="2"/>
      <c r="D730" s="2"/>
      <c r="E730" s="2"/>
      <c r="F730" s="2"/>
      <c r="G730" s="2"/>
      <c r="H730" s="2"/>
      <c r="I730" s="2"/>
      <c r="J730" s="2"/>
      <c r="K730" s="2"/>
      <c r="L730" s="2"/>
      <c r="M730" s="2"/>
      <c r="N730" s="2"/>
    </row>
    <row r="731" spans="1:14" ht="13.8" x14ac:dyDescent="0.25">
      <c r="A731" s="2"/>
      <c r="B731" s="2"/>
      <c r="C731" s="2"/>
      <c r="D731" s="2"/>
      <c r="E731" s="2"/>
      <c r="F731" s="2"/>
      <c r="G731" s="2"/>
      <c r="H731" s="2"/>
      <c r="I731" s="2"/>
      <c r="J731" s="2"/>
      <c r="K731" s="2"/>
      <c r="L731" s="2"/>
      <c r="M731" s="2"/>
      <c r="N731" s="2"/>
    </row>
    <row r="732" spans="1:14" ht="13.8" x14ac:dyDescent="0.25">
      <c r="A732" s="2"/>
      <c r="B732" s="2"/>
      <c r="C732" s="2"/>
      <c r="D732" s="2"/>
      <c r="E732" s="2"/>
      <c r="F732" s="2"/>
      <c r="G732" s="2"/>
      <c r="H732" s="2"/>
      <c r="I732" s="2"/>
      <c r="J732" s="2"/>
      <c r="K732" s="2"/>
      <c r="L732" s="2"/>
      <c r="M732" s="2"/>
      <c r="N732" s="2"/>
    </row>
    <row r="733" spans="1:14" ht="13.8" x14ac:dyDescent="0.25">
      <c r="A733" s="2"/>
      <c r="B733" s="2"/>
      <c r="C733" s="2"/>
      <c r="D733" s="2"/>
      <c r="E733" s="2"/>
      <c r="F733" s="2"/>
      <c r="G733" s="2"/>
      <c r="H733" s="2"/>
      <c r="I733" s="2"/>
      <c r="J733" s="2"/>
      <c r="K733" s="2"/>
      <c r="L733" s="2"/>
      <c r="M733" s="2"/>
      <c r="N733" s="2"/>
    </row>
    <row r="734" spans="1:14" ht="13.8" x14ac:dyDescent="0.25">
      <c r="A734" s="2"/>
      <c r="B734" s="2"/>
      <c r="C734" s="2"/>
      <c r="D734" s="2"/>
      <c r="E734" s="2"/>
      <c r="F734" s="2"/>
      <c r="G734" s="2"/>
      <c r="H734" s="2"/>
      <c r="I734" s="2"/>
      <c r="J734" s="2"/>
      <c r="K734" s="2"/>
      <c r="L734" s="2"/>
      <c r="M734" s="2"/>
      <c r="N734" s="2"/>
    </row>
    <row r="735" spans="1:14" ht="13.8" x14ac:dyDescent="0.25">
      <c r="A735" s="2"/>
      <c r="B735" s="2"/>
      <c r="C735" s="2"/>
      <c r="D735" s="2"/>
      <c r="E735" s="2"/>
      <c r="F735" s="2"/>
      <c r="G735" s="2"/>
      <c r="H735" s="2"/>
      <c r="I735" s="2"/>
      <c r="J735" s="2"/>
      <c r="K735" s="2"/>
      <c r="L735" s="2"/>
      <c r="M735" s="2"/>
      <c r="N735" s="2"/>
    </row>
    <row r="736" spans="1:14" ht="13.8" x14ac:dyDescent="0.25">
      <c r="A736" s="2"/>
      <c r="B736" s="2"/>
      <c r="C736" s="2"/>
      <c r="D736" s="2"/>
      <c r="E736" s="2"/>
      <c r="F736" s="2"/>
      <c r="G736" s="2"/>
      <c r="H736" s="2"/>
      <c r="I736" s="2"/>
      <c r="J736" s="2"/>
      <c r="K736" s="2"/>
      <c r="L736" s="2"/>
      <c r="M736" s="2"/>
      <c r="N736" s="2"/>
    </row>
    <row r="737" spans="1:14" ht="13.8" x14ac:dyDescent="0.25">
      <c r="A737" s="2"/>
      <c r="B737" s="2"/>
      <c r="C737" s="2"/>
      <c r="D737" s="2"/>
      <c r="E737" s="2"/>
      <c r="F737" s="2"/>
      <c r="G737" s="2"/>
      <c r="H737" s="2"/>
      <c r="I737" s="2"/>
      <c r="J737" s="2"/>
      <c r="K737" s="2"/>
      <c r="L737" s="2"/>
      <c r="M737" s="2"/>
      <c r="N737" s="2"/>
    </row>
    <row r="738" spans="1:14" ht="13.8" x14ac:dyDescent="0.25">
      <c r="A738" s="2"/>
      <c r="B738" s="2"/>
      <c r="C738" s="2"/>
      <c r="D738" s="2"/>
      <c r="E738" s="2"/>
      <c r="F738" s="2"/>
      <c r="G738" s="2"/>
      <c r="H738" s="2"/>
      <c r="I738" s="2"/>
      <c r="J738" s="2"/>
      <c r="K738" s="2"/>
      <c r="L738" s="2"/>
      <c r="M738" s="2"/>
      <c r="N738" s="2"/>
    </row>
    <row r="739" spans="1:14" ht="13.8" x14ac:dyDescent="0.25">
      <c r="A739" s="2"/>
      <c r="B739" s="2"/>
      <c r="C739" s="2"/>
      <c r="D739" s="2"/>
      <c r="E739" s="2"/>
      <c r="F739" s="2"/>
      <c r="G739" s="2"/>
      <c r="H739" s="2"/>
      <c r="I739" s="2"/>
      <c r="J739" s="2"/>
      <c r="K739" s="2"/>
      <c r="L739" s="2"/>
      <c r="M739" s="2"/>
      <c r="N739" s="2"/>
    </row>
    <row r="740" spans="1:14" ht="13.8" x14ac:dyDescent="0.25">
      <c r="A740" s="2"/>
      <c r="B740" s="2"/>
      <c r="C740" s="2"/>
      <c r="D740" s="2"/>
      <c r="E740" s="2"/>
      <c r="F740" s="2"/>
      <c r="G740" s="2"/>
      <c r="H740" s="2"/>
      <c r="I740" s="2"/>
      <c r="J740" s="2"/>
      <c r="K740" s="2"/>
      <c r="L740" s="2"/>
      <c r="M740" s="2"/>
      <c r="N740" s="2"/>
    </row>
    <row r="741" spans="1:14" ht="13.8" x14ac:dyDescent="0.25">
      <c r="A741" s="2"/>
      <c r="B741" s="2"/>
      <c r="C741" s="2"/>
      <c r="D741" s="2"/>
      <c r="E741" s="2"/>
      <c r="F741" s="2"/>
      <c r="G741" s="2"/>
      <c r="H741" s="2"/>
      <c r="I741" s="2"/>
      <c r="J741" s="2"/>
      <c r="K741" s="2"/>
      <c r="L741" s="2"/>
      <c r="M741" s="2"/>
      <c r="N741" s="2"/>
    </row>
    <row r="742" spans="1:14" ht="13.8" x14ac:dyDescent="0.25">
      <c r="A742" s="2"/>
      <c r="B742" s="2"/>
      <c r="C742" s="2"/>
      <c r="D742" s="2"/>
      <c r="E742" s="2"/>
      <c r="F742" s="2"/>
      <c r="G742" s="2"/>
      <c r="H742" s="2"/>
      <c r="I742" s="2"/>
      <c r="J742" s="2"/>
      <c r="K742" s="2"/>
      <c r="L742" s="2"/>
      <c r="M742" s="2"/>
      <c r="N742" s="2"/>
    </row>
    <row r="743" spans="1:14" ht="13.8" x14ac:dyDescent="0.25">
      <c r="A743" s="2"/>
      <c r="B743" s="2"/>
      <c r="C743" s="2"/>
      <c r="D743" s="2"/>
      <c r="E743" s="2"/>
      <c r="F743" s="2"/>
      <c r="G743" s="2"/>
      <c r="H743" s="2"/>
      <c r="I743" s="2"/>
      <c r="J743" s="2"/>
      <c r="K743" s="2"/>
      <c r="L743" s="2"/>
      <c r="M743" s="2"/>
      <c r="N743" s="2"/>
    </row>
    <row r="744" spans="1:14" ht="13.8" x14ac:dyDescent="0.25">
      <c r="A744" s="2"/>
      <c r="B744" s="2"/>
      <c r="C744" s="2"/>
      <c r="D744" s="2"/>
      <c r="E744" s="2"/>
      <c r="F744" s="2"/>
      <c r="G744" s="2"/>
      <c r="H744" s="2"/>
      <c r="I744" s="2"/>
      <c r="J744" s="2"/>
      <c r="K744" s="2"/>
      <c r="L744" s="2"/>
      <c r="M744" s="2"/>
      <c r="N744" s="2"/>
    </row>
    <row r="745" spans="1:14" ht="13.8" x14ac:dyDescent="0.25">
      <c r="A745" s="2"/>
      <c r="B745" s="2"/>
      <c r="C745" s="2"/>
      <c r="D745" s="2"/>
      <c r="E745" s="2"/>
      <c r="F745" s="2"/>
      <c r="G745" s="2"/>
      <c r="H745" s="2"/>
      <c r="I745" s="2"/>
      <c r="J745" s="2"/>
      <c r="K745" s="2"/>
      <c r="L745" s="2"/>
      <c r="M745" s="2"/>
      <c r="N745" s="2"/>
    </row>
    <row r="746" spans="1:14" ht="13.8" x14ac:dyDescent="0.25">
      <c r="A746" s="2"/>
      <c r="B746" s="2"/>
      <c r="C746" s="2"/>
      <c r="D746" s="2"/>
      <c r="E746" s="2"/>
      <c r="F746" s="2"/>
      <c r="G746" s="2"/>
      <c r="H746" s="2"/>
      <c r="I746" s="2"/>
      <c r="J746" s="2"/>
      <c r="K746" s="2"/>
      <c r="L746" s="2"/>
      <c r="M746" s="2"/>
      <c r="N746" s="2"/>
    </row>
    <row r="747" spans="1:14" ht="13.8" x14ac:dyDescent="0.25">
      <c r="A747" s="2"/>
      <c r="B747" s="2"/>
      <c r="C747" s="2"/>
      <c r="D747" s="2"/>
      <c r="E747" s="2"/>
      <c r="F747" s="2"/>
      <c r="G747" s="2"/>
      <c r="H747" s="2"/>
      <c r="I747" s="2"/>
      <c r="J747" s="2"/>
      <c r="K747" s="2"/>
      <c r="L747" s="2"/>
      <c r="M747" s="2"/>
      <c r="N747" s="2"/>
    </row>
    <row r="748" spans="1:14" ht="13.8" x14ac:dyDescent="0.25">
      <c r="A748" s="2"/>
      <c r="B748" s="2"/>
      <c r="C748" s="2"/>
      <c r="D748" s="2"/>
      <c r="E748" s="2"/>
      <c r="F748" s="2"/>
      <c r="G748" s="2"/>
      <c r="H748" s="2"/>
      <c r="I748" s="2"/>
      <c r="J748" s="2"/>
      <c r="K748" s="2"/>
      <c r="L748" s="2"/>
      <c r="M748" s="2"/>
      <c r="N748" s="2"/>
    </row>
    <row r="749" spans="1:14" ht="13.8" x14ac:dyDescent="0.25">
      <c r="A749" s="2"/>
      <c r="B749" s="2"/>
      <c r="C749" s="2"/>
      <c r="D749" s="2"/>
      <c r="E749" s="2"/>
      <c r="F749" s="2"/>
      <c r="G749" s="2"/>
      <c r="H749" s="2"/>
      <c r="I749" s="2"/>
      <c r="J749" s="2"/>
      <c r="K749" s="2"/>
      <c r="L749" s="2"/>
      <c r="M749" s="2"/>
      <c r="N749" s="2"/>
    </row>
    <row r="750" spans="1:14" ht="13.8" x14ac:dyDescent="0.25">
      <c r="A750" s="2"/>
      <c r="B750" s="2"/>
      <c r="C750" s="2"/>
      <c r="D750" s="2"/>
      <c r="E750" s="2"/>
      <c r="F750" s="2"/>
      <c r="G750" s="2"/>
      <c r="H750" s="2"/>
      <c r="I750" s="2"/>
      <c r="J750" s="2"/>
      <c r="K750" s="2"/>
      <c r="L750" s="2"/>
      <c r="M750" s="2"/>
      <c r="N750" s="2"/>
    </row>
    <row r="751" spans="1:14" ht="13.8" x14ac:dyDescent="0.25">
      <c r="A751" s="2"/>
      <c r="B751" s="2"/>
      <c r="C751" s="2"/>
      <c r="D751" s="2"/>
      <c r="E751" s="2"/>
      <c r="F751" s="2"/>
      <c r="G751" s="2"/>
      <c r="H751" s="2"/>
      <c r="I751" s="2"/>
      <c r="J751" s="2"/>
      <c r="K751" s="2"/>
      <c r="L751" s="2"/>
      <c r="M751" s="2"/>
      <c r="N751" s="2"/>
    </row>
    <row r="752" spans="1:14" ht="13.8" x14ac:dyDescent="0.25">
      <c r="A752" s="2"/>
      <c r="B752" s="2"/>
      <c r="C752" s="2"/>
      <c r="D752" s="2"/>
      <c r="E752" s="2"/>
      <c r="F752" s="2"/>
      <c r="G752" s="2"/>
      <c r="H752" s="2"/>
      <c r="I752" s="2"/>
      <c r="J752" s="2"/>
      <c r="K752" s="2"/>
      <c r="L752" s="2"/>
      <c r="M752" s="2"/>
      <c r="N752" s="2"/>
    </row>
    <row r="753" spans="1:14" ht="13.8" x14ac:dyDescent="0.25">
      <c r="A753" s="2"/>
      <c r="B753" s="2"/>
      <c r="C753" s="2"/>
      <c r="D753" s="2"/>
      <c r="E753" s="2"/>
      <c r="F753" s="2"/>
      <c r="G753" s="2"/>
      <c r="H753" s="2"/>
      <c r="I753" s="2"/>
      <c r="J753" s="2"/>
      <c r="K753" s="2"/>
      <c r="L753" s="2"/>
      <c r="M753" s="2"/>
      <c r="N753" s="2"/>
    </row>
    <row r="754" spans="1:14" ht="13.8" x14ac:dyDescent="0.25">
      <c r="A754" s="2"/>
      <c r="B754" s="2"/>
      <c r="C754" s="2"/>
      <c r="D754" s="2"/>
      <c r="E754" s="2"/>
      <c r="F754" s="2"/>
      <c r="G754" s="2"/>
      <c r="H754" s="2"/>
      <c r="I754" s="2"/>
      <c r="J754" s="2"/>
      <c r="K754" s="2"/>
      <c r="L754" s="2"/>
      <c r="M754" s="2"/>
      <c r="N754" s="2"/>
    </row>
    <row r="755" spans="1:14" ht="13.8" x14ac:dyDescent="0.25">
      <c r="A755" s="2"/>
      <c r="B755" s="2"/>
      <c r="C755" s="2"/>
      <c r="D755" s="2"/>
      <c r="E755" s="2"/>
      <c r="F755" s="2"/>
      <c r="G755" s="2"/>
      <c r="H755" s="2"/>
      <c r="I755" s="2"/>
      <c r="J755" s="2"/>
      <c r="K755" s="2"/>
      <c r="L755" s="2"/>
      <c r="M755" s="2"/>
      <c r="N755" s="2"/>
    </row>
    <row r="756" spans="1:14" ht="13.8" x14ac:dyDescent="0.25">
      <c r="A756" s="2"/>
      <c r="B756" s="2"/>
      <c r="C756" s="2"/>
      <c r="D756" s="2"/>
      <c r="E756" s="2"/>
      <c r="F756" s="2"/>
      <c r="G756" s="2"/>
      <c r="H756" s="2"/>
      <c r="I756" s="2"/>
      <c r="J756" s="2"/>
      <c r="K756" s="2"/>
      <c r="L756" s="2"/>
      <c r="M756" s="2"/>
      <c r="N756" s="2"/>
    </row>
    <row r="757" spans="1:14" ht="13.8" x14ac:dyDescent="0.25">
      <c r="A757" s="2"/>
      <c r="B757" s="2"/>
      <c r="C757" s="2"/>
      <c r="D757" s="2"/>
      <c r="E757" s="2"/>
      <c r="F757" s="2"/>
      <c r="G757" s="2"/>
      <c r="H757" s="2"/>
      <c r="I757" s="2"/>
      <c r="J757" s="2"/>
      <c r="K757" s="2"/>
      <c r="L757" s="2"/>
      <c r="M757" s="2"/>
      <c r="N757" s="2"/>
    </row>
    <row r="758" spans="1:14" ht="13.8" x14ac:dyDescent="0.25">
      <c r="A758" s="2"/>
      <c r="B758" s="2"/>
      <c r="C758" s="2"/>
      <c r="D758" s="2"/>
      <c r="E758" s="2"/>
      <c r="F758" s="2"/>
      <c r="G758" s="2"/>
      <c r="H758" s="2"/>
      <c r="I758" s="2"/>
      <c r="J758" s="2"/>
      <c r="K758" s="2"/>
      <c r="L758" s="2"/>
      <c r="M758" s="2"/>
      <c r="N758" s="2"/>
    </row>
    <row r="759" spans="1:14" ht="13.8" x14ac:dyDescent="0.25">
      <c r="A759" s="2"/>
      <c r="B759" s="2"/>
      <c r="C759" s="2"/>
      <c r="D759" s="2"/>
      <c r="E759" s="2"/>
      <c r="F759" s="2"/>
      <c r="G759" s="2"/>
      <c r="H759" s="2"/>
      <c r="I759" s="2"/>
      <c r="J759" s="2"/>
      <c r="K759" s="2"/>
      <c r="L759" s="2"/>
      <c r="M759" s="2"/>
      <c r="N759" s="2"/>
    </row>
    <row r="760" spans="1:14" ht="13.8" x14ac:dyDescent="0.25">
      <c r="A760" s="2"/>
      <c r="B760" s="2"/>
      <c r="C760" s="2"/>
      <c r="D760" s="2"/>
      <c r="E760" s="2"/>
      <c r="F760" s="2"/>
      <c r="G760" s="2"/>
      <c r="H760" s="2"/>
      <c r="I760" s="2"/>
      <c r="J760" s="2"/>
      <c r="K760" s="2"/>
      <c r="L760" s="2"/>
      <c r="M760" s="2"/>
      <c r="N760" s="2"/>
    </row>
    <row r="761" spans="1:14" ht="13.8" x14ac:dyDescent="0.25">
      <c r="A761" s="2"/>
      <c r="B761" s="2"/>
      <c r="C761" s="2"/>
      <c r="D761" s="2"/>
      <c r="E761" s="2"/>
      <c r="F761" s="2"/>
      <c r="G761" s="2"/>
      <c r="H761" s="2"/>
      <c r="I761" s="2"/>
      <c r="J761" s="2"/>
      <c r="K761" s="2"/>
      <c r="L761" s="2"/>
      <c r="M761" s="2"/>
      <c r="N761" s="2"/>
    </row>
    <row r="762" spans="1:14" ht="13.8" x14ac:dyDescent="0.25">
      <c r="A762" s="2"/>
      <c r="B762" s="2"/>
      <c r="C762" s="2"/>
      <c r="D762" s="2"/>
      <c r="E762" s="2"/>
      <c r="F762" s="2"/>
      <c r="G762" s="2"/>
      <c r="H762" s="2"/>
      <c r="I762" s="2"/>
      <c r="J762" s="2"/>
      <c r="K762" s="2"/>
      <c r="L762" s="2"/>
      <c r="M762" s="2"/>
      <c r="N762" s="2"/>
    </row>
    <row r="763" spans="1:14" ht="13.8" x14ac:dyDescent="0.25">
      <c r="A763" s="2"/>
      <c r="B763" s="2"/>
      <c r="C763" s="2"/>
      <c r="D763" s="2"/>
      <c r="E763" s="2"/>
      <c r="F763" s="2"/>
      <c r="G763" s="2"/>
      <c r="H763" s="2"/>
      <c r="I763" s="2"/>
      <c r="J763" s="2"/>
      <c r="K763" s="2"/>
      <c r="L763" s="2"/>
      <c r="M763" s="2"/>
      <c r="N763" s="2"/>
    </row>
    <row r="764" spans="1:14" ht="13.8" x14ac:dyDescent="0.25">
      <c r="A764" s="2"/>
      <c r="B764" s="2"/>
      <c r="C764" s="2"/>
      <c r="D764" s="2"/>
      <c r="E764" s="2"/>
      <c r="F764" s="2"/>
      <c r="G764" s="2"/>
      <c r="H764" s="2"/>
      <c r="I764" s="2"/>
      <c r="J764" s="2"/>
      <c r="K764" s="2"/>
      <c r="L764" s="2"/>
      <c r="M764" s="2"/>
      <c r="N764" s="2"/>
    </row>
    <row r="765" spans="1:14" ht="13.8" x14ac:dyDescent="0.25">
      <c r="A765" s="2"/>
      <c r="B765" s="2"/>
      <c r="C765" s="2"/>
      <c r="D765" s="2"/>
      <c r="E765" s="2"/>
      <c r="F765" s="2"/>
      <c r="G765" s="2"/>
      <c r="H765" s="2"/>
      <c r="I765" s="2"/>
      <c r="J765" s="2"/>
      <c r="K765" s="2"/>
      <c r="L765" s="2"/>
      <c r="M765" s="2"/>
      <c r="N765" s="2"/>
    </row>
    <row r="766" spans="1:14" ht="13.8" x14ac:dyDescent="0.25">
      <c r="A766" s="2"/>
      <c r="B766" s="2"/>
      <c r="C766" s="2"/>
      <c r="D766" s="2"/>
      <c r="E766" s="2"/>
      <c r="F766" s="2"/>
      <c r="G766" s="2"/>
      <c r="H766" s="2"/>
      <c r="I766" s="2"/>
      <c r="J766" s="2"/>
      <c r="K766" s="2"/>
      <c r="L766" s="2"/>
      <c r="M766" s="2"/>
      <c r="N766" s="2"/>
    </row>
    <row r="767" spans="1:14" ht="13.8" x14ac:dyDescent="0.25">
      <c r="A767" s="2"/>
      <c r="B767" s="2"/>
      <c r="C767" s="2"/>
      <c r="D767" s="2"/>
      <c r="E767" s="2"/>
      <c r="F767" s="2"/>
      <c r="G767" s="2"/>
      <c r="H767" s="2"/>
      <c r="I767" s="2"/>
      <c r="J767" s="2"/>
      <c r="K767" s="2"/>
      <c r="L767" s="2"/>
      <c r="M767" s="2"/>
      <c r="N767" s="2"/>
    </row>
    <row r="768" spans="1:14" ht="13.8" x14ac:dyDescent="0.25">
      <c r="A768" s="2"/>
      <c r="B768" s="2"/>
      <c r="C768" s="2"/>
      <c r="D768" s="2"/>
      <c r="E768" s="2"/>
      <c r="F768" s="2"/>
      <c r="G768" s="2"/>
      <c r="H768" s="2"/>
      <c r="I768" s="2"/>
      <c r="J768" s="2"/>
      <c r="K768" s="2"/>
      <c r="L768" s="2"/>
      <c r="M768" s="2"/>
      <c r="N768" s="2"/>
    </row>
    <row r="769" spans="1:14" ht="13.8" x14ac:dyDescent="0.25">
      <c r="A769" s="2"/>
      <c r="B769" s="2"/>
      <c r="C769" s="2"/>
      <c r="D769" s="2"/>
      <c r="E769" s="2"/>
      <c r="F769" s="2"/>
      <c r="G769" s="2"/>
      <c r="H769" s="2"/>
      <c r="I769" s="2"/>
      <c r="J769" s="2"/>
      <c r="K769" s="2"/>
      <c r="L769" s="2"/>
      <c r="M769" s="2"/>
      <c r="N769" s="2"/>
    </row>
    <row r="770" spans="1:14" ht="13.8" x14ac:dyDescent="0.25">
      <c r="A770" s="2"/>
      <c r="B770" s="2"/>
      <c r="C770" s="2"/>
      <c r="D770" s="2"/>
      <c r="E770" s="2"/>
      <c r="F770" s="2"/>
      <c r="G770" s="2"/>
      <c r="H770" s="2"/>
      <c r="I770" s="2"/>
      <c r="J770" s="2"/>
      <c r="K770" s="2"/>
      <c r="L770" s="2"/>
      <c r="M770" s="2"/>
      <c r="N770" s="2"/>
    </row>
    <row r="771" spans="1:14" ht="13.8" x14ac:dyDescent="0.25">
      <c r="A771" s="2"/>
      <c r="B771" s="2"/>
      <c r="C771" s="2"/>
      <c r="D771" s="2"/>
      <c r="E771" s="2"/>
      <c r="F771" s="2"/>
      <c r="G771" s="2"/>
      <c r="H771" s="2"/>
      <c r="I771" s="2"/>
      <c r="J771" s="2"/>
      <c r="K771" s="2"/>
      <c r="L771" s="2"/>
      <c r="M771" s="2"/>
      <c r="N771" s="2"/>
    </row>
    <row r="772" spans="1:14" ht="13.8" x14ac:dyDescent="0.25">
      <c r="A772" s="2"/>
      <c r="B772" s="2"/>
      <c r="C772" s="2"/>
      <c r="D772" s="2"/>
      <c r="E772" s="2"/>
      <c r="F772" s="2"/>
      <c r="G772" s="2"/>
      <c r="H772" s="2"/>
      <c r="I772" s="2"/>
      <c r="J772" s="2"/>
      <c r="K772" s="2"/>
      <c r="L772" s="2"/>
      <c r="M772" s="2"/>
      <c r="N772" s="2"/>
    </row>
    <row r="773" spans="1:14" ht="13.8" x14ac:dyDescent="0.25">
      <c r="A773" s="2"/>
      <c r="B773" s="2"/>
      <c r="C773" s="2"/>
      <c r="D773" s="2"/>
      <c r="E773" s="2"/>
      <c r="F773" s="2"/>
      <c r="G773" s="2"/>
      <c r="H773" s="2"/>
      <c r="I773" s="2"/>
      <c r="J773" s="2"/>
      <c r="K773" s="2"/>
      <c r="L773" s="2"/>
      <c r="M773" s="2"/>
      <c r="N773" s="2"/>
    </row>
    <row r="774" spans="1:14" ht="13.8" x14ac:dyDescent="0.25">
      <c r="A774" s="2"/>
      <c r="B774" s="2"/>
      <c r="C774" s="2"/>
      <c r="D774" s="2"/>
      <c r="E774" s="2"/>
      <c r="F774" s="2"/>
      <c r="G774" s="2"/>
      <c r="H774" s="2"/>
      <c r="I774" s="2"/>
      <c r="J774" s="2"/>
      <c r="K774" s="2"/>
      <c r="L774" s="2"/>
      <c r="M774" s="2"/>
      <c r="N774" s="2"/>
    </row>
    <row r="775" spans="1:14" ht="13.8" x14ac:dyDescent="0.25">
      <c r="A775" s="2"/>
      <c r="B775" s="2"/>
      <c r="C775" s="2"/>
      <c r="D775" s="2"/>
      <c r="E775" s="2"/>
      <c r="F775" s="2"/>
      <c r="G775" s="2"/>
      <c r="H775" s="2"/>
      <c r="I775" s="2"/>
      <c r="J775" s="2"/>
      <c r="K775" s="2"/>
      <c r="L775" s="2"/>
      <c r="M775" s="2"/>
      <c r="N775" s="2"/>
    </row>
    <row r="776" spans="1:14" ht="13.8" x14ac:dyDescent="0.25">
      <c r="A776" s="2"/>
      <c r="B776" s="2"/>
      <c r="C776" s="2"/>
      <c r="D776" s="2"/>
      <c r="E776" s="2"/>
      <c r="F776" s="2"/>
      <c r="G776" s="2"/>
      <c r="H776" s="2"/>
      <c r="I776" s="2"/>
      <c r="J776" s="2"/>
      <c r="K776" s="2"/>
      <c r="L776" s="2"/>
      <c r="M776" s="2"/>
      <c r="N776" s="2"/>
    </row>
    <row r="777" spans="1:14" ht="13.8" x14ac:dyDescent="0.25">
      <c r="A777" s="2"/>
      <c r="B777" s="2"/>
      <c r="C777" s="2"/>
      <c r="D777" s="2"/>
      <c r="E777" s="2"/>
      <c r="F777" s="2"/>
      <c r="G777" s="2"/>
      <c r="H777" s="2"/>
      <c r="I777" s="2"/>
      <c r="J777" s="2"/>
      <c r="K777" s="2"/>
      <c r="L777" s="2"/>
      <c r="M777" s="2"/>
      <c r="N777" s="2"/>
    </row>
    <row r="778" spans="1:14" ht="13.8" x14ac:dyDescent="0.25">
      <c r="A778" s="2"/>
      <c r="B778" s="2"/>
      <c r="C778" s="2"/>
      <c r="D778" s="2"/>
      <c r="E778" s="2"/>
      <c r="F778" s="2"/>
      <c r="G778" s="2"/>
      <c r="H778" s="2"/>
      <c r="I778" s="2"/>
      <c r="J778" s="2"/>
      <c r="K778" s="2"/>
      <c r="L778" s="2"/>
      <c r="M778" s="2"/>
      <c r="N778" s="2"/>
    </row>
    <row r="779" spans="1:14" ht="13.8" x14ac:dyDescent="0.25">
      <c r="A779" s="2"/>
      <c r="B779" s="2"/>
      <c r="C779" s="2"/>
      <c r="D779" s="2"/>
      <c r="E779" s="2"/>
      <c r="F779" s="2"/>
      <c r="G779" s="2"/>
      <c r="H779" s="2"/>
      <c r="I779" s="2"/>
      <c r="J779" s="2"/>
      <c r="K779" s="2"/>
      <c r="L779" s="2"/>
      <c r="M779" s="2"/>
      <c r="N779" s="2"/>
    </row>
    <row r="780" spans="1:14" ht="13.8" x14ac:dyDescent="0.25">
      <c r="A780" s="2"/>
      <c r="B780" s="2"/>
      <c r="C780" s="2"/>
      <c r="D780" s="2"/>
      <c r="E780" s="2"/>
      <c r="F780" s="2"/>
      <c r="G780" s="2"/>
      <c r="H780" s="2"/>
      <c r="I780" s="2"/>
      <c r="J780" s="2"/>
      <c r="K780" s="2"/>
      <c r="L780" s="2"/>
      <c r="M780" s="2"/>
      <c r="N780" s="2"/>
    </row>
    <row r="781" spans="1:14" ht="13.8" x14ac:dyDescent="0.25">
      <c r="A781" s="2"/>
      <c r="B781" s="2"/>
      <c r="C781" s="2"/>
      <c r="D781" s="2"/>
      <c r="E781" s="2"/>
      <c r="F781" s="2"/>
      <c r="G781" s="2"/>
      <c r="H781" s="2"/>
      <c r="I781" s="2"/>
      <c r="J781" s="2"/>
      <c r="K781" s="2"/>
      <c r="L781" s="2"/>
      <c r="M781" s="2"/>
      <c r="N781" s="2"/>
    </row>
    <row r="782" spans="1:14" ht="13.8" x14ac:dyDescent="0.25">
      <c r="A782" s="2"/>
      <c r="B782" s="2"/>
      <c r="C782" s="2"/>
      <c r="D782" s="2"/>
      <c r="E782" s="2"/>
      <c r="F782" s="2"/>
      <c r="G782" s="2"/>
      <c r="H782" s="2"/>
      <c r="I782" s="2"/>
      <c r="J782" s="2"/>
      <c r="K782" s="2"/>
      <c r="L782" s="2"/>
      <c r="M782" s="2"/>
      <c r="N782" s="2"/>
    </row>
    <row r="783" spans="1:14" ht="13.8" x14ac:dyDescent="0.25">
      <c r="A783" s="2"/>
      <c r="B783" s="2"/>
      <c r="C783" s="2"/>
      <c r="D783" s="2"/>
      <c r="E783" s="2"/>
      <c r="F783" s="2"/>
      <c r="G783" s="2"/>
      <c r="H783" s="2"/>
      <c r="I783" s="2"/>
      <c r="J783" s="2"/>
      <c r="K783" s="2"/>
      <c r="L783" s="2"/>
      <c r="M783" s="2"/>
      <c r="N783" s="2"/>
    </row>
    <row r="784" spans="1:14" ht="13.8" x14ac:dyDescent="0.25">
      <c r="A784" s="2"/>
      <c r="B784" s="2"/>
      <c r="C784" s="2"/>
      <c r="D784" s="2"/>
      <c r="E784" s="2"/>
      <c r="F784" s="2"/>
      <c r="G784" s="2"/>
      <c r="H784" s="2"/>
      <c r="I784" s="2"/>
      <c r="J784" s="2"/>
      <c r="K784" s="2"/>
      <c r="L784" s="2"/>
      <c r="M784" s="2"/>
      <c r="N784" s="2"/>
    </row>
    <row r="785" spans="1:14" ht="13.8" x14ac:dyDescent="0.25">
      <c r="A785" s="2"/>
      <c r="B785" s="2"/>
      <c r="C785" s="2"/>
      <c r="D785" s="2"/>
      <c r="E785" s="2"/>
      <c r="F785" s="2"/>
      <c r="G785" s="2"/>
      <c r="H785" s="2"/>
      <c r="I785" s="2"/>
      <c r="J785" s="2"/>
      <c r="K785" s="2"/>
      <c r="L785" s="2"/>
      <c r="M785" s="2"/>
      <c r="N785" s="2"/>
    </row>
    <row r="786" spans="1:14" ht="13.8" x14ac:dyDescent="0.25">
      <c r="A786" s="2"/>
      <c r="B786" s="2"/>
      <c r="C786" s="2"/>
      <c r="D786" s="2"/>
      <c r="E786" s="2"/>
      <c r="F786" s="2"/>
      <c r="G786" s="2"/>
      <c r="H786" s="2"/>
      <c r="I786" s="2"/>
      <c r="J786" s="2"/>
      <c r="K786" s="2"/>
      <c r="L786" s="2"/>
      <c r="M786" s="2"/>
      <c r="N786" s="2"/>
    </row>
    <row r="787" spans="1:14" ht="13.8" x14ac:dyDescent="0.25">
      <c r="A787" s="2"/>
      <c r="B787" s="2"/>
      <c r="C787" s="2"/>
      <c r="D787" s="2"/>
      <c r="E787" s="2"/>
      <c r="F787" s="2"/>
      <c r="G787" s="2"/>
      <c r="H787" s="2"/>
      <c r="I787" s="2"/>
      <c r="J787" s="2"/>
      <c r="K787" s="2"/>
      <c r="L787" s="2"/>
      <c r="M787" s="2"/>
      <c r="N787" s="2"/>
    </row>
    <row r="788" spans="1:14" ht="13.8" x14ac:dyDescent="0.25">
      <c r="A788" s="2"/>
      <c r="B788" s="2"/>
      <c r="C788" s="2"/>
      <c r="D788" s="2"/>
      <c r="E788" s="2"/>
      <c r="F788" s="2"/>
      <c r="G788" s="2"/>
      <c r="H788" s="2"/>
      <c r="I788" s="2"/>
      <c r="J788" s="2"/>
      <c r="K788" s="2"/>
      <c r="L788" s="2"/>
      <c r="M788" s="2"/>
      <c r="N788" s="2"/>
    </row>
    <row r="789" spans="1:14" ht="13.8" x14ac:dyDescent="0.25">
      <c r="A789" s="2"/>
      <c r="B789" s="2"/>
      <c r="C789" s="2"/>
      <c r="D789" s="2"/>
      <c r="E789" s="2"/>
      <c r="F789" s="2"/>
      <c r="G789" s="2"/>
      <c r="H789" s="2"/>
      <c r="I789" s="2"/>
      <c r="J789" s="2"/>
      <c r="K789" s="2"/>
      <c r="L789" s="2"/>
      <c r="M789" s="2"/>
      <c r="N789" s="2"/>
    </row>
    <row r="790" spans="1:14" ht="13.8" x14ac:dyDescent="0.25">
      <c r="A790" s="2"/>
      <c r="B790" s="2"/>
      <c r="C790" s="2"/>
      <c r="D790" s="2"/>
      <c r="E790" s="2"/>
      <c r="F790" s="2"/>
      <c r="G790" s="2"/>
      <c r="H790" s="2"/>
      <c r="I790" s="2"/>
      <c r="J790" s="2"/>
      <c r="K790" s="2"/>
      <c r="L790" s="2"/>
      <c r="M790" s="2"/>
      <c r="N790" s="2"/>
    </row>
    <row r="791" spans="1:14" ht="13.8" x14ac:dyDescent="0.25">
      <c r="A791" s="2"/>
      <c r="B791" s="2"/>
      <c r="C791" s="2"/>
      <c r="D791" s="2"/>
      <c r="E791" s="2"/>
      <c r="F791" s="2"/>
      <c r="G791" s="2"/>
      <c r="H791" s="2"/>
      <c r="I791" s="2"/>
      <c r="J791" s="2"/>
      <c r="K791" s="2"/>
      <c r="L791" s="2"/>
      <c r="M791" s="2"/>
      <c r="N791" s="2"/>
    </row>
    <row r="792" spans="1:14" ht="13.8" x14ac:dyDescent="0.25">
      <c r="A792" s="2"/>
      <c r="B792" s="2"/>
      <c r="C792" s="2"/>
      <c r="D792" s="2"/>
      <c r="E792" s="2"/>
      <c r="F792" s="2"/>
      <c r="G792" s="2"/>
      <c r="H792" s="2"/>
      <c r="I792" s="2"/>
      <c r="J792" s="2"/>
      <c r="K792" s="2"/>
      <c r="L792" s="2"/>
      <c r="M792" s="2"/>
      <c r="N792" s="2"/>
    </row>
    <row r="793" spans="1:14" ht="13.8" x14ac:dyDescent="0.25">
      <c r="A793" s="2"/>
      <c r="B793" s="2"/>
      <c r="C793" s="2"/>
      <c r="D793" s="2"/>
      <c r="E793" s="2"/>
      <c r="F793" s="2"/>
      <c r="G793" s="2"/>
      <c r="H793" s="2"/>
      <c r="I793" s="2"/>
      <c r="J793" s="2"/>
      <c r="K793" s="2"/>
      <c r="L793" s="2"/>
      <c r="M793" s="2"/>
      <c r="N793" s="2"/>
    </row>
    <row r="794" spans="1:14" ht="13.8" x14ac:dyDescent="0.25">
      <c r="A794" s="2"/>
      <c r="B794" s="2"/>
      <c r="C794" s="2"/>
      <c r="D794" s="2"/>
      <c r="E794" s="2"/>
      <c r="F794" s="2"/>
      <c r="G794" s="2"/>
      <c r="H794" s="2"/>
      <c r="I794" s="2"/>
      <c r="J794" s="2"/>
      <c r="K794" s="2"/>
      <c r="L794" s="2"/>
      <c r="M794" s="2"/>
      <c r="N794" s="2"/>
    </row>
    <row r="795" spans="1:14" ht="13.8" x14ac:dyDescent="0.25">
      <c r="A795" s="2"/>
      <c r="B795" s="2"/>
      <c r="C795" s="2"/>
      <c r="D795" s="2"/>
      <c r="E795" s="2"/>
      <c r="F795" s="2"/>
      <c r="G795" s="2"/>
      <c r="H795" s="2"/>
      <c r="I795" s="2"/>
      <c r="J795" s="2"/>
      <c r="K795" s="2"/>
      <c r="L795" s="2"/>
      <c r="M795" s="2"/>
      <c r="N795" s="2"/>
    </row>
    <row r="796" spans="1:14" ht="13.8" x14ac:dyDescent="0.25">
      <c r="A796" s="2"/>
      <c r="B796" s="2"/>
      <c r="C796" s="2"/>
      <c r="D796" s="2"/>
      <c r="E796" s="2"/>
      <c r="F796" s="2"/>
      <c r="G796" s="2"/>
      <c r="H796" s="2"/>
      <c r="I796" s="2"/>
      <c r="J796" s="2"/>
      <c r="K796" s="2"/>
      <c r="L796" s="2"/>
      <c r="M796" s="2"/>
      <c r="N796" s="2"/>
    </row>
    <row r="797" spans="1:14" ht="13.8" x14ac:dyDescent="0.25">
      <c r="A797" s="2"/>
      <c r="B797" s="2"/>
      <c r="C797" s="2"/>
      <c r="D797" s="2"/>
      <c r="E797" s="2"/>
      <c r="F797" s="2"/>
      <c r="G797" s="2"/>
      <c r="H797" s="2"/>
      <c r="I797" s="2"/>
      <c r="J797" s="2"/>
      <c r="K797" s="2"/>
      <c r="L797" s="2"/>
      <c r="M797" s="2"/>
      <c r="N797" s="2"/>
    </row>
    <row r="798" spans="1:14" ht="13.8" x14ac:dyDescent="0.25">
      <c r="A798" s="2"/>
      <c r="B798" s="2"/>
      <c r="C798" s="2"/>
      <c r="D798" s="2"/>
      <c r="E798" s="2"/>
      <c r="F798" s="2"/>
      <c r="G798" s="2"/>
      <c r="H798" s="2"/>
      <c r="I798" s="2"/>
      <c r="J798" s="2"/>
      <c r="K798" s="2"/>
      <c r="L798" s="2"/>
      <c r="M798" s="2"/>
      <c r="N798" s="2"/>
    </row>
    <row r="799" spans="1:14" ht="13.8" x14ac:dyDescent="0.25">
      <c r="A799" s="2"/>
      <c r="B799" s="2"/>
      <c r="C799" s="2"/>
      <c r="D799" s="2"/>
      <c r="E799" s="2"/>
      <c r="F799" s="2"/>
      <c r="G799" s="2"/>
      <c r="H799" s="2"/>
      <c r="I799" s="2"/>
      <c r="J799" s="2"/>
      <c r="K799" s="2"/>
      <c r="L799" s="2"/>
      <c r="M799" s="2"/>
      <c r="N799" s="2"/>
    </row>
    <row r="800" spans="1:14" ht="13.8" x14ac:dyDescent="0.25">
      <c r="A800" s="2"/>
      <c r="B800" s="2"/>
      <c r="C800" s="2"/>
      <c r="D800" s="2"/>
      <c r="E800" s="2"/>
      <c r="F800" s="2"/>
      <c r="G800" s="2"/>
      <c r="H800" s="2"/>
      <c r="I800" s="2"/>
      <c r="J800" s="2"/>
      <c r="K800" s="2"/>
      <c r="L800" s="2"/>
      <c r="M800" s="2"/>
      <c r="N800" s="2"/>
    </row>
    <row r="801" spans="1:14" ht="13.8" x14ac:dyDescent="0.25">
      <c r="A801" s="2"/>
      <c r="B801" s="2"/>
      <c r="C801" s="2"/>
      <c r="D801" s="2"/>
      <c r="E801" s="2"/>
      <c r="F801" s="2"/>
      <c r="G801" s="2"/>
      <c r="H801" s="2"/>
      <c r="I801" s="2"/>
      <c r="J801" s="2"/>
      <c r="K801" s="2"/>
      <c r="L801" s="2"/>
      <c r="M801" s="2"/>
      <c r="N801" s="2"/>
    </row>
    <row r="802" spans="1:14" ht="13.8" x14ac:dyDescent="0.25">
      <c r="A802" s="2"/>
      <c r="B802" s="2"/>
      <c r="C802" s="2"/>
      <c r="D802" s="2"/>
      <c r="E802" s="2"/>
      <c r="F802" s="2"/>
      <c r="G802" s="2"/>
      <c r="H802" s="2"/>
      <c r="I802" s="2"/>
      <c r="J802" s="2"/>
      <c r="K802" s="2"/>
      <c r="L802" s="2"/>
      <c r="M802" s="2"/>
      <c r="N802" s="2"/>
    </row>
    <row r="803" spans="1:14" ht="13.8" x14ac:dyDescent="0.25">
      <c r="A803" s="2"/>
      <c r="B803" s="2"/>
      <c r="C803" s="2"/>
      <c r="D803" s="2"/>
      <c r="E803" s="2"/>
      <c r="F803" s="2"/>
      <c r="G803" s="2"/>
      <c r="H803" s="2"/>
      <c r="I803" s="2"/>
      <c r="J803" s="2"/>
      <c r="K803" s="2"/>
      <c r="L803" s="2"/>
      <c r="M803" s="2"/>
      <c r="N803" s="2"/>
    </row>
    <row r="804" spans="1:14" ht="13.8" x14ac:dyDescent="0.25">
      <c r="A804" s="2"/>
      <c r="B804" s="2"/>
      <c r="C804" s="2"/>
      <c r="D804" s="2"/>
      <c r="E804" s="2"/>
      <c r="F804" s="2"/>
      <c r="G804" s="2"/>
      <c r="H804" s="2"/>
      <c r="I804" s="2"/>
      <c r="J804" s="2"/>
      <c r="K804" s="2"/>
      <c r="L804" s="2"/>
      <c r="M804" s="2"/>
      <c r="N804" s="2"/>
    </row>
    <row r="805" spans="1:14" ht="13.8" x14ac:dyDescent="0.25">
      <c r="A805" s="2"/>
      <c r="B805" s="2"/>
      <c r="C805" s="2"/>
      <c r="D805" s="2"/>
      <c r="E805" s="2"/>
      <c r="F805" s="2"/>
      <c r="G805" s="2"/>
      <c r="H805" s="2"/>
      <c r="I805" s="2"/>
      <c r="J805" s="2"/>
      <c r="K805" s="2"/>
      <c r="L805" s="2"/>
      <c r="M805" s="2"/>
      <c r="N805" s="2"/>
    </row>
    <row r="806" spans="1:14" ht="13.8" x14ac:dyDescent="0.25">
      <c r="A806" s="2"/>
      <c r="B806" s="2"/>
      <c r="C806" s="2"/>
      <c r="D806" s="2"/>
      <c r="E806" s="2"/>
      <c r="F806" s="2"/>
      <c r="G806" s="2"/>
      <c r="H806" s="2"/>
      <c r="I806" s="2"/>
      <c r="J806" s="2"/>
      <c r="K806" s="2"/>
      <c r="L806" s="2"/>
      <c r="M806" s="2"/>
      <c r="N806" s="2"/>
    </row>
    <row r="807" spans="1:14" ht="13.8" x14ac:dyDescent="0.25">
      <c r="A807" s="2"/>
      <c r="B807" s="2"/>
      <c r="C807" s="2"/>
      <c r="D807" s="2"/>
      <c r="E807" s="2"/>
      <c r="F807" s="2"/>
      <c r="G807" s="2"/>
      <c r="H807" s="2"/>
      <c r="I807" s="2"/>
      <c r="J807" s="2"/>
      <c r="K807" s="2"/>
      <c r="L807" s="2"/>
      <c r="M807" s="2"/>
      <c r="N807" s="2"/>
    </row>
    <row r="808" spans="1:14" ht="13.8" x14ac:dyDescent="0.25">
      <c r="A808" s="2"/>
      <c r="B808" s="2"/>
      <c r="C808" s="2"/>
      <c r="D808" s="2"/>
      <c r="E808" s="2"/>
      <c r="F808" s="2"/>
      <c r="G808" s="2"/>
      <c r="H808" s="2"/>
      <c r="I808" s="2"/>
      <c r="J808" s="2"/>
      <c r="K808" s="2"/>
      <c r="L808" s="2"/>
      <c r="M808" s="2"/>
      <c r="N808" s="2"/>
    </row>
    <row r="809" spans="1:14" ht="13.8" x14ac:dyDescent="0.25">
      <c r="A809" s="2"/>
      <c r="B809" s="2"/>
      <c r="C809" s="2"/>
      <c r="D809" s="2"/>
      <c r="E809" s="2"/>
      <c r="F809" s="2"/>
      <c r="G809" s="2"/>
      <c r="H809" s="2"/>
      <c r="I809" s="2"/>
      <c r="J809" s="2"/>
      <c r="K809" s="2"/>
      <c r="L809" s="2"/>
      <c r="M809" s="2"/>
      <c r="N809" s="2"/>
    </row>
    <row r="810" spans="1:14" ht="13.8" x14ac:dyDescent="0.25">
      <c r="A810" s="2"/>
      <c r="B810" s="2"/>
      <c r="C810" s="2"/>
      <c r="D810" s="2"/>
      <c r="E810" s="2"/>
      <c r="F810" s="2"/>
      <c r="G810" s="2"/>
      <c r="H810" s="2"/>
      <c r="I810" s="2"/>
      <c r="J810" s="2"/>
      <c r="K810" s="2"/>
      <c r="L810" s="2"/>
      <c r="M810" s="2"/>
      <c r="N810" s="2"/>
    </row>
    <row r="811" spans="1:14" ht="13.8" x14ac:dyDescent="0.25">
      <c r="A811" s="2"/>
      <c r="B811" s="2"/>
      <c r="C811" s="2"/>
      <c r="D811" s="2"/>
      <c r="E811" s="2"/>
      <c r="F811" s="2"/>
      <c r="G811" s="2"/>
      <c r="H811" s="2"/>
      <c r="I811" s="2"/>
      <c r="J811" s="2"/>
      <c r="K811" s="2"/>
      <c r="L811" s="2"/>
      <c r="M811" s="2"/>
      <c r="N811" s="2"/>
    </row>
    <row r="812" spans="1:14" ht="13.8" x14ac:dyDescent="0.25">
      <c r="A812" s="2"/>
      <c r="B812" s="2"/>
      <c r="C812" s="2"/>
      <c r="D812" s="2"/>
      <c r="E812" s="2"/>
      <c r="F812" s="2"/>
      <c r="G812" s="2"/>
      <c r="H812" s="2"/>
      <c r="I812" s="2"/>
      <c r="J812" s="2"/>
      <c r="K812" s="2"/>
      <c r="L812" s="2"/>
      <c r="M812" s="2"/>
      <c r="N812" s="2"/>
    </row>
    <row r="813" spans="1:14" ht="13.8" x14ac:dyDescent="0.25">
      <c r="A813" s="2"/>
      <c r="B813" s="2"/>
      <c r="C813" s="2"/>
      <c r="D813" s="2"/>
      <c r="E813" s="2"/>
      <c r="F813" s="2"/>
      <c r="G813" s="2"/>
      <c r="H813" s="2"/>
      <c r="I813" s="2"/>
      <c r="J813" s="2"/>
      <c r="K813" s="2"/>
      <c r="L813" s="2"/>
      <c r="M813" s="2"/>
      <c r="N813" s="2"/>
    </row>
    <row r="814" spans="1:14" ht="13.8" x14ac:dyDescent="0.25">
      <c r="A814" s="2"/>
      <c r="B814" s="2"/>
      <c r="C814" s="2"/>
      <c r="D814" s="2"/>
      <c r="E814" s="2"/>
      <c r="F814" s="2"/>
      <c r="G814" s="2"/>
      <c r="H814" s="2"/>
      <c r="I814" s="2"/>
      <c r="J814" s="2"/>
      <c r="K814" s="2"/>
      <c r="L814" s="2"/>
      <c r="M814" s="2"/>
      <c r="N814" s="2"/>
    </row>
    <row r="815" spans="1:14" ht="13.8" x14ac:dyDescent="0.25">
      <c r="A815" s="2"/>
      <c r="B815" s="2"/>
      <c r="C815" s="2"/>
      <c r="D815" s="2"/>
      <c r="E815" s="2"/>
      <c r="F815" s="2"/>
      <c r="G815" s="2"/>
      <c r="H815" s="2"/>
      <c r="I815" s="2"/>
      <c r="J815" s="2"/>
      <c r="K815" s="2"/>
      <c r="L815" s="2"/>
      <c r="M815" s="2"/>
      <c r="N815" s="2"/>
    </row>
    <row r="816" spans="1:14" ht="13.8" x14ac:dyDescent="0.25">
      <c r="A816" s="2"/>
      <c r="B816" s="2"/>
      <c r="C816" s="2"/>
      <c r="D816" s="2"/>
      <c r="E816" s="2"/>
      <c r="F816" s="2"/>
      <c r="G816" s="2"/>
      <c r="H816" s="2"/>
      <c r="I816" s="2"/>
      <c r="J816" s="2"/>
      <c r="K816" s="2"/>
      <c r="L816" s="2"/>
      <c r="M816" s="2"/>
      <c r="N816" s="2"/>
    </row>
    <row r="817" spans="1:14" ht="13.8" x14ac:dyDescent="0.25">
      <c r="A817" s="2"/>
      <c r="B817" s="2"/>
      <c r="C817" s="2"/>
      <c r="D817" s="2"/>
      <c r="E817" s="2"/>
      <c r="F817" s="2"/>
      <c r="G817" s="2"/>
      <c r="H817" s="2"/>
      <c r="I817" s="2"/>
      <c r="J817" s="2"/>
      <c r="K817" s="2"/>
      <c r="L817" s="2"/>
      <c r="M817" s="2"/>
      <c r="N817" s="2"/>
    </row>
    <row r="818" spans="1:14" ht="13.8" x14ac:dyDescent="0.25">
      <c r="A818" s="2"/>
      <c r="B818" s="2"/>
      <c r="C818" s="2"/>
      <c r="D818" s="2"/>
      <c r="E818" s="2"/>
      <c r="F818" s="2"/>
      <c r="G818" s="2"/>
      <c r="H818" s="2"/>
      <c r="I818" s="2"/>
      <c r="J818" s="2"/>
      <c r="K818" s="2"/>
      <c r="L818" s="2"/>
      <c r="M818" s="2"/>
      <c r="N818" s="2"/>
    </row>
    <row r="819" spans="1:14" ht="13.8" x14ac:dyDescent="0.25">
      <c r="A819" s="2"/>
      <c r="B819" s="2"/>
      <c r="C819" s="2"/>
      <c r="D819" s="2"/>
      <c r="E819" s="2"/>
      <c r="F819" s="2"/>
      <c r="G819" s="2"/>
      <c r="H819" s="2"/>
      <c r="I819" s="2"/>
      <c r="J819" s="2"/>
      <c r="K819" s="2"/>
      <c r="L819" s="2"/>
      <c r="M819" s="2"/>
      <c r="N819" s="2"/>
    </row>
    <row r="820" spans="1:14" ht="13.8" x14ac:dyDescent="0.25">
      <c r="A820" s="2"/>
      <c r="B820" s="2"/>
      <c r="C820" s="2"/>
      <c r="D820" s="2"/>
      <c r="E820" s="2"/>
      <c r="F820" s="2"/>
      <c r="G820" s="2"/>
      <c r="H820" s="2"/>
      <c r="I820" s="2"/>
      <c r="J820" s="2"/>
      <c r="K820" s="2"/>
      <c r="L820" s="2"/>
      <c r="M820" s="2"/>
      <c r="N820" s="2"/>
    </row>
    <row r="821" spans="1:14" ht="13.8" x14ac:dyDescent="0.25">
      <c r="A821" s="2"/>
      <c r="B821" s="2"/>
      <c r="C821" s="2"/>
      <c r="D821" s="2"/>
      <c r="E821" s="2"/>
      <c r="F821" s="2"/>
      <c r="G821" s="2"/>
      <c r="H821" s="2"/>
      <c r="I821" s="2"/>
      <c r="J821" s="2"/>
      <c r="K821" s="2"/>
      <c r="L821" s="2"/>
      <c r="M821" s="2"/>
      <c r="N821" s="2"/>
    </row>
    <row r="822" spans="1:14" ht="13.8" x14ac:dyDescent="0.25">
      <c r="A822" s="2"/>
      <c r="B822" s="2"/>
      <c r="C822" s="2"/>
      <c r="D822" s="2"/>
      <c r="E822" s="2"/>
      <c r="F822" s="2"/>
      <c r="G822" s="2"/>
      <c r="H822" s="2"/>
      <c r="I822" s="2"/>
      <c r="J822" s="2"/>
      <c r="K822" s="2"/>
      <c r="L822" s="2"/>
      <c r="M822" s="2"/>
      <c r="N822" s="2"/>
    </row>
    <row r="823" spans="1:14" ht="13.8" x14ac:dyDescent="0.25">
      <c r="A823" s="2"/>
      <c r="B823" s="2"/>
      <c r="C823" s="2"/>
      <c r="D823" s="2"/>
      <c r="E823" s="2"/>
      <c r="F823" s="2"/>
      <c r="G823" s="2"/>
      <c r="H823" s="2"/>
      <c r="I823" s="2"/>
      <c r="J823" s="2"/>
      <c r="K823" s="2"/>
      <c r="L823" s="2"/>
      <c r="M823" s="2"/>
      <c r="N823" s="2"/>
    </row>
    <row r="824" spans="1:14" ht="13.8" x14ac:dyDescent="0.25">
      <c r="A824" s="2"/>
      <c r="B824" s="2"/>
      <c r="C824" s="2"/>
      <c r="D824" s="2"/>
      <c r="E824" s="2"/>
      <c r="F824" s="2"/>
      <c r="G824" s="2"/>
      <c r="H824" s="2"/>
      <c r="I824" s="2"/>
      <c r="J824" s="2"/>
      <c r="K824" s="2"/>
      <c r="L824" s="2"/>
      <c r="M824" s="2"/>
      <c r="N824" s="2"/>
    </row>
    <row r="825" spans="1:14" ht="13.8" x14ac:dyDescent="0.25">
      <c r="A825" s="2"/>
      <c r="B825" s="2"/>
      <c r="C825" s="2"/>
      <c r="D825" s="2"/>
      <c r="E825" s="2"/>
      <c r="F825" s="2"/>
      <c r="G825" s="2"/>
      <c r="H825" s="2"/>
      <c r="I825" s="2"/>
      <c r="J825" s="2"/>
      <c r="K825" s="2"/>
      <c r="L825" s="2"/>
      <c r="M825" s="2"/>
      <c r="N825" s="2"/>
    </row>
    <row r="826" spans="1:14" ht="13.8" x14ac:dyDescent="0.25">
      <c r="A826" s="2"/>
      <c r="B826" s="2"/>
      <c r="C826" s="2"/>
      <c r="D826" s="2"/>
      <c r="E826" s="2"/>
      <c r="F826" s="2"/>
      <c r="G826" s="2"/>
      <c r="H826" s="2"/>
      <c r="I826" s="2"/>
      <c r="J826" s="2"/>
      <c r="K826" s="2"/>
      <c r="L826" s="2"/>
      <c r="M826" s="2"/>
      <c r="N826" s="2"/>
    </row>
    <row r="827" spans="1:14" ht="13.8" x14ac:dyDescent="0.25">
      <c r="A827" s="2"/>
      <c r="B827" s="2"/>
      <c r="C827" s="2"/>
      <c r="D827" s="2"/>
      <c r="E827" s="2"/>
      <c r="F827" s="2"/>
      <c r="G827" s="2"/>
      <c r="H827" s="2"/>
      <c r="I827" s="2"/>
      <c r="J827" s="2"/>
      <c r="K827" s="2"/>
      <c r="L827" s="2"/>
      <c r="M827" s="2"/>
      <c r="N827" s="2"/>
    </row>
    <row r="828" spans="1:14" ht="13.8" x14ac:dyDescent="0.25">
      <c r="A828" s="2"/>
      <c r="B828" s="2"/>
      <c r="C828" s="2"/>
      <c r="D828" s="2"/>
      <c r="E828" s="2"/>
      <c r="F828" s="2"/>
      <c r="G828" s="2"/>
      <c r="H828" s="2"/>
      <c r="I828" s="2"/>
      <c r="J828" s="2"/>
      <c r="K828" s="2"/>
      <c r="L828" s="2"/>
      <c r="M828" s="2"/>
      <c r="N828" s="2"/>
    </row>
    <row r="829" spans="1:14" ht="13.8" x14ac:dyDescent="0.25">
      <c r="A829" s="2"/>
      <c r="B829" s="2"/>
      <c r="C829" s="2"/>
      <c r="D829" s="2"/>
      <c r="E829" s="2"/>
      <c r="F829" s="2"/>
      <c r="G829" s="2"/>
      <c r="H829" s="2"/>
      <c r="I829" s="2"/>
      <c r="J829" s="2"/>
      <c r="K829" s="2"/>
      <c r="L829" s="2"/>
      <c r="M829" s="2"/>
      <c r="N829" s="2"/>
    </row>
    <row r="830" spans="1:14" ht="13.8" x14ac:dyDescent="0.25">
      <c r="A830" s="2"/>
      <c r="B830" s="2"/>
      <c r="C830" s="2"/>
      <c r="D830" s="2"/>
      <c r="E830" s="2"/>
      <c r="F830" s="2"/>
      <c r="G830" s="2"/>
      <c r="H830" s="2"/>
      <c r="I830" s="2"/>
      <c r="J830" s="2"/>
      <c r="K830" s="2"/>
      <c r="L830" s="2"/>
      <c r="M830" s="2"/>
      <c r="N830" s="2"/>
    </row>
    <row r="831" spans="1:14" ht="13.8" x14ac:dyDescent="0.25">
      <c r="A831" s="2"/>
      <c r="B831" s="2"/>
      <c r="C831" s="2"/>
      <c r="D831" s="2"/>
      <c r="E831" s="2"/>
      <c r="F831" s="2"/>
      <c r="G831" s="2"/>
      <c r="H831" s="2"/>
      <c r="I831" s="2"/>
      <c r="J831" s="2"/>
      <c r="K831" s="2"/>
      <c r="L831" s="2"/>
      <c r="M831" s="2"/>
      <c r="N831" s="2"/>
    </row>
    <row r="832" spans="1:14" ht="13.8" x14ac:dyDescent="0.25">
      <c r="A832" s="2"/>
      <c r="B832" s="2"/>
      <c r="C832" s="2"/>
      <c r="D832" s="2"/>
      <c r="E832" s="2"/>
      <c r="F832" s="2"/>
      <c r="G832" s="2"/>
      <c r="H832" s="2"/>
      <c r="I832" s="2"/>
      <c r="J832" s="2"/>
      <c r="K832" s="2"/>
      <c r="L832" s="2"/>
      <c r="M832" s="2"/>
      <c r="N832" s="2"/>
    </row>
    <row r="833" spans="1:14" ht="13.8" x14ac:dyDescent="0.25">
      <c r="A833" s="2"/>
      <c r="B833" s="2"/>
      <c r="C833" s="2"/>
      <c r="D833" s="2"/>
      <c r="E833" s="2"/>
      <c r="F833" s="2"/>
      <c r="G833" s="2"/>
      <c r="H833" s="2"/>
      <c r="I833" s="2"/>
      <c r="J833" s="2"/>
      <c r="K833" s="2"/>
      <c r="L833" s="2"/>
      <c r="M833" s="2"/>
      <c r="N833" s="2"/>
    </row>
    <row r="834" spans="1:14" ht="13.8" x14ac:dyDescent="0.25">
      <c r="A834" s="2"/>
      <c r="B834" s="2"/>
      <c r="C834" s="2"/>
      <c r="D834" s="2"/>
      <c r="E834" s="2"/>
      <c r="F834" s="2"/>
      <c r="G834" s="2"/>
      <c r="H834" s="2"/>
      <c r="I834" s="2"/>
      <c r="J834" s="2"/>
      <c r="K834" s="2"/>
      <c r="L834" s="2"/>
      <c r="M834" s="2"/>
      <c r="N834" s="2"/>
    </row>
    <row r="835" spans="1:14" ht="13.8" x14ac:dyDescent="0.25">
      <c r="A835" s="2"/>
      <c r="B835" s="2"/>
      <c r="C835" s="2"/>
      <c r="D835" s="2"/>
      <c r="E835" s="2"/>
      <c r="F835" s="2"/>
      <c r="G835" s="2"/>
      <c r="H835" s="2"/>
      <c r="I835" s="2"/>
      <c r="J835" s="2"/>
      <c r="K835" s="2"/>
      <c r="L835" s="2"/>
      <c r="M835" s="2"/>
      <c r="N835" s="2"/>
    </row>
    <row r="836" spans="1:14" ht="13.8" x14ac:dyDescent="0.25">
      <c r="A836" s="2"/>
      <c r="B836" s="2"/>
      <c r="C836" s="2"/>
      <c r="D836" s="2"/>
      <c r="E836" s="2"/>
      <c r="F836" s="2"/>
      <c r="G836" s="2"/>
      <c r="H836" s="2"/>
      <c r="I836" s="2"/>
      <c r="J836" s="2"/>
      <c r="K836" s="2"/>
      <c r="L836" s="2"/>
      <c r="M836" s="2"/>
      <c r="N836" s="2"/>
    </row>
    <row r="837" spans="1:14" ht="13.8" x14ac:dyDescent="0.25">
      <c r="A837" s="2"/>
      <c r="B837" s="2"/>
      <c r="C837" s="2"/>
      <c r="D837" s="2"/>
      <c r="E837" s="2"/>
      <c r="F837" s="2"/>
      <c r="G837" s="2"/>
      <c r="H837" s="2"/>
      <c r="I837" s="2"/>
      <c r="J837" s="2"/>
      <c r="K837" s="2"/>
      <c r="L837" s="2"/>
      <c r="M837" s="2"/>
      <c r="N837" s="2"/>
    </row>
    <row r="838" spans="1:14" ht="13.8" x14ac:dyDescent="0.25">
      <c r="A838" s="2"/>
      <c r="B838" s="2"/>
      <c r="C838" s="2"/>
      <c r="D838" s="2"/>
      <c r="E838" s="2"/>
      <c r="F838" s="2"/>
      <c r="G838" s="2"/>
      <c r="H838" s="2"/>
      <c r="I838" s="2"/>
      <c r="J838" s="2"/>
      <c r="K838" s="2"/>
      <c r="L838" s="2"/>
      <c r="M838" s="2"/>
      <c r="N838" s="2"/>
    </row>
    <row r="839" spans="1:14" ht="13.8" x14ac:dyDescent="0.25">
      <c r="A839" s="2"/>
      <c r="B839" s="2"/>
      <c r="C839" s="2"/>
      <c r="D839" s="2"/>
      <c r="E839" s="2"/>
      <c r="F839" s="2"/>
      <c r="G839" s="2"/>
      <c r="H839" s="2"/>
      <c r="I839" s="2"/>
      <c r="J839" s="2"/>
      <c r="K839" s="2"/>
      <c r="L839" s="2"/>
      <c r="M839" s="2"/>
      <c r="N839" s="2"/>
    </row>
    <row r="840" spans="1:14" ht="13.8" x14ac:dyDescent="0.25">
      <c r="A840" s="2"/>
      <c r="B840" s="2"/>
      <c r="C840" s="2"/>
      <c r="D840" s="2"/>
      <c r="E840" s="2"/>
      <c r="F840" s="2"/>
      <c r="G840" s="2"/>
      <c r="H840" s="2"/>
      <c r="I840" s="2"/>
      <c r="J840" s="2"/>
      <c r="K840" s="2"/>
      <c r="L840" s="2"/>
      <c r="M840" s="2"/>
      <c r="N840" s="2"/>
    </row>
    <row r="841" spans="1:14" ht="13.8" x14ac:dyDescent="0.25">
      <c r="A841" s="2"/>
      <c r="B841" s="2"/>
      <c r="C841" s="2"/>
      <c r="D841" s="2"/>
      <c r="E841" s="2"/>
      <c r="F841" s="2"/>
      <c r="G841" s="2"/>
      <c r="H841" s="2"/>
      <c r="I841" s="2"/>
      <c r="J841" s="2"/>
      <c r="K841" s="2"/>
      <c r="L841" s="2"/>
      <c r="M841" s="2"/>
      <c r="N841" s="2"/>
    </row>
    <row r="842" spans="1:14" ht="13.8" x14ac:dyDescent="0.25">
      <c r="A842" s="2"/>
      <c r="B842" s="2"/>
      <c r="C842" s="2"/>
      <c r="D842" s="2"/>
      <c r="E842" s="2"/>
      <c r="F842" s="2"/>
      <c r="G842" s="2"/>
      <c r="H842" s="2"/>
      <c r="I842" s="2"/>
      <c r="J842" s="2"/>
      <c r="K842" s="2"/>
      <c r="L842" s="2"/>
      <c r="M842" s="2"/>
      <c r="N842" s="2"/>
    </row>
    <row r="843" spans="1:14" ht="13.8" x14ac:dyDescent="0.25">
      <c r="A843" s="2"/>
      <c r="B843" s="2"/>
      <c r="C843" s="2"/>
      <c r="D843" s="2"/>
      <c r="E843" s="2"/>
      <c r="F843" s="2"/>
      <c r="G843" s="2"/>
      <c r="H843" s="2"/>
      <c r="I843" s="2"/>
      <c r="J843" s="2"/>
      <c r="K843" s="2"/>
      <c r="L843" s="2"/>
      <c r="M843" s="2"/>
      <c r="N843" s="2"/>
    </row>
    <row r="844" spans="1:14" ht="13.8" x14ac:dyDescent="0.25">
      <c r="A844" s="2"/>
      <c r="B844" s="2"/>
      <c r="C844" s="2"/>
      <c r="D844" s="2"/>
      <c r="E844" s="2"/>
      <c r="F844" s="2"/>
      <c r="G844" s="2"/>
      <c r="H844" s="2"/>
      <c r="I844" s="2"/>
      <c r="J844" s="2"/>
      <c r="K844" s="2"/>
      <c r="L844" s="2"/>
      <c r="M844" s="2"/>
      <c r="N844" s="2"/>
    </row>
    <row r="845" spans="1:14" ht="13.8" x14ac:dyDescent="0.25">
      <c r="A845" s="2"/>
      <c r="B845" s="2"/>
      <c r="C845" s="2"/>
      <c r="D845" s="2"/>
      <c r="E845" s="2"/>
      <c r="F845" s="2"/>
      <c r="G845" s="2"/>
      <c r="H845" s="2"/>
      <c r="I845" s="2"/>
      <c r="J845" s="2"/>
      <c r="K845" s="2"/>
      <c r="L845" s="2"/>
      <c r="M845" s="2"/>
      <c r="N845" s="2"/>
    </row>
    <row r="846" spans="1:14" ht="13.8" x14ac:dyDescent="0.25">
      <c r="A846" s="2"/>
      <c r="B846" s="2"/>
      <c r="C846" s="2"/>
      <c r="D846" s="2"/>
      <c r="E846" s="2"/>
      <c r="F846" s="2"/>
      <c r="G846" s="2"/>
      <c r="H846" s="2"/>
      <c r="I846" s="2"/>
      <c r="J846" s="2"/>
      <c r="K846" s="2"/>
      <c r="L846" s="2"/>
      <c r="M846" s="2"/>
      <c r="N846" s="2"/>
    </row>
    <row r="847" spans="1:14" ht="13.8" x14ac:dyDescent="0.25">
      <c r="A847" s="2"/>
      <c r="B847" s="2"/>
      <c r="C847" s="2"/>
      <c r="D847" s="2"/>
      <c r="E847" s="2"/>
      <c r="F847" s="2"/>
      <c r="G847" s="2"/>
      <c r="H847" s="2"/>
      <c r="I847" s="2"/>
      <c r="J847" s="2"/>
      <c r="K847" s="2"/>
      <c r="L847" s="2"/>
      <c r="M847" s="2"/>
      <c r="N847" s="2"/>
    </row>
    <row r="848" spans="1:14" ht="13.8" x14ac:dyDescent="0.25">
      <c r="A848" s="2"/>
      <c r="B848" s="2"/>
      <c r="C848" s="2"/>
      <c r="D848" s="2"/>
      <c r="E848" s="2"/>
      <c r="F848" s="2"/>
      <c r="G848" s="2"/>
      <c r="H848" s="2"/>
      <c r="I848" s="2"/>
      <c r="J848" s="2"/>
      <c r="K848" s="2"/>
      <c r="L848" s="2"/>
      <c r="M848" s="2"/>
      <c r="N848" s="2"/>
    </row>
    <row r="849" spans="1:14" ht="13.8" x14ac:dyDescent="0.25">
      <c r="A849" s="2"/>
      <c r="B849" s="2"/>
      <c r="C849" s="2"/>
      <c r="D849" s="2"/>
      <c r="E849" s="2"/>
      <c r="F849" s="2"/>
      <c r="G849" s="2"/>
      <c r="H849" s="2"/>
      <c r="I849" s="2"/>
      <c r="J849" s="2"/>
      <c r="K849" s="2"/>
      <c r="L849" s="2"/>
      <c r="M849" s="2"/>
      <c r="N849" s="2"/>
    </row>
    <row r="850" spans="1:14" ht="13.8" x14ac:dyDescent="0.25">
      <c r="A850" s="2"/>
      <c r="B850" s="2"/>
      <c r="C850" s="2"/>
      <c r="D850" s="2"/>
      <c r="E850" s="2"/>
      <c r="F850" s="2"/>
      <c r="G850" s="2"/>
      <c r="H850" s="2"/>
      <c r="I850" s="2"/>
      <c r="J850" s="2"/>
      <c r="K850" s="2"/>
      <c r="L850" s="2"/>
      <c r="M850" s="2"/>
      <c r="N850" s="2"/>
    </row>
    <row r="851" spans="1:14" ht="13.8" x14ac:dyDescent="0.25">
      <c r="A851" s="2"/>
      <c r="B851" s="2"/>
      <c r="C851" s="2"/>
      <c r="D851" s="2"/>
      <c r="E851" s="2"/>
      <c r="F851" s="2"/>
      <c r="G851" s="2"/>
      <c r="H851" s="2"/>
      <c r="I851" s="2"/>
      <c r="J851" s="2"/>
      <c r="K851" s="2"/>
      <c r="L851" s="2"/>
      <c r="M851" s="2"/>
      <c r="N851" s="2"/>
    </row>
    <row r="852" spans="1:14" ht="13.8" x14ac:dyDescent="0.25">
      <c r="A852" s="2"/>
      <c r="B852" s="2"/>
      <c r="C852" s="2"/>
      <c r="D852" s="2"/>
      <c r="E852" s="2"/>
      <c r="F852" s="2"/>
      <c r="G852" s="2"/>
      <c r="H852" s="2"/>
      <c r="I852" s="2"/>
      <c r="J852" s="2"/>
      <c r="K852" s="2"/>
      <c r="L852" s="2"/>
      <c r="M852" s="2"/>
      <c r="N852" s="2"/>
    </row>
    <row r="853" spans="1:14" ht="13.8" x14ac:dyDescent="0.25">
      <c r="A853" s="2"/>
      <c r="B853" s="2"/>
      <c r="C853" s="2"/>
      <c r="D853" s="2"/>
      <c r="E853" s="2"/>
      <c r="F853" s="2"/>
      <c r="G853" s="2"/>
      <c r="H853" s="2"/>
      <c r="I853" s="2"/>
      <c r="J853" s="2"/>
      <c r="K853" s="2"/>
      <c r="L853" s="2"/>
      <c r="M853" s="2"/>
      <c r="N853" s="2"/>
    </row>
    <row r="854" spans="1:14" ht="13.8" x14ac:dyDescent="0.25">
      <c r="A854" s="2"/>
      <c r="B854" s="2"/>
      <c r="C854" s="2"/>
      <c r="D854" s="2"/>
      <c r="E854" s="2"/>
      <c r="F854" s="2"/>
      <c r="G854" s="2"/>
      <c r="H854" s="2"/>
      <c r="I854" s="2"/>
      <c r="J854" s="2"/>
      <c r="K854" s="2"/>
      <c r="L854" s="2"/>
      <c r="M854" s="2"/>
      <c r="N854" s="2"/>
    </row>
    <row r="855" spans="1:14" ht="13.8" x14ac:dyDescent="0.25">
      <c r="A855" s="2"/>
      <c r="B855" s="2"/>
      <c r="C855" s="2"/>
      <c r="D855" s="2"/>
      <c r="E855" s="2"/>
      <c r="F855" s="2"/>
      <c r="G855" s="2"/>
      <c r="H855" s="2"/>
      <c r="I855" s="2"/>
      <c r="J855" s="2"/>
      <c r="K855" s="2"/>
      <c r="L855" s="2"/>
      <c r="M855" s="2"/>
      <c r="N855" s="2"/>
    </row>
    <row r="856" spans="1:14" ht="13.8" x14ac:dyDescent="0.25">
      <c r="A856" s="2"/>
      <c r="B856" s="2"/>
      <c r="C856" s="2"/>
      <c r="D856" s="2"/>
      <c r="E856" s="2"/>
      <c r="F856" s="2"/>
      <c r="G856" s="2"/>
      <c r="H856" s="2"/>
      <c r="I856" s="2"/>
      <c r="J856" s="2"/>
      <c r="K856" s="2"/>
      <c r="L856" s="2"/>
      <c r="M856" s="2"/>
      <c r="N856" s="2"/>
    </row>
    <row r="857" spans="1:14" ht="13.8" x14ac:dyDescent="0.25">
      <c r="A857" s="2"/>
      <c r="B857" s="2"/>
      <c r="C857" s="2"/>
      <c r="D857" s="2"/>
      <c r="E857" s="2"/>
      <c r="F857" s="2"/>
      <c r="G857" s="2"/>
      <c r="H857" s="2"/>
      <c r="I857" s="2"/>
      <c r="J857" s="2"/>
      <c r="K857" s="2"/>
      <c r="L857" s="2"/>
      <c r="M857" s="2"/>
      <c r="N857" s="2"/>
    </row>
    <row r="858" spans="1:14" ht="13.8" x14ac:dyDescent="0.25">
      <c r="A858" s="2"/>
      <c r="B858" s="2"/>
      <c r="C858" s="2"/>
      <c r="D858" s="2"/>
      <c r="E858" s="2"/>
      <c r="F858" s="2"/>
      <c r="G858" s="2"/>
      <c r="H858" s="2"/>
      <c r="I858" s="2"/>
      <c r="J858" s="2"/>
      <c r="K858" s="2"/>
      <c r="L858" s="2"/>
      <c r="M858" s="2"/>
      <c r="N858" s="2"/>
    </row>
    <row r="859" spans="1:14" ht="13.8" x14ac:dyDescent="0.25">
      <c r="A859" s="2"/>
      <c r="B859" s="2"/>
      <c r="C859" s="2"/>
      <c r="D859" s="2"/>
      <c r="E859" s="2"/>
      <c r="F859" s="2"/>
      <c r="G859" s="2"/>
      <c r="H859" s="2"/>
      <c r="I859" s="2"/>
      <c r="J859" s="2"/>
      <c r="K859" s="2"/>
      <c r="L859" s="2"/>
      <c r="M859" s="2"/>
      <c r="N859" s="2"/>
    </row>
    <row r="860" spans="1:14" ht="13.8" x14ac:dyDescent="0.25">
      <c r="A860" s="2"/>
      <c r="B860" s="2"/>
      <c r="C860" s="2"/>
      <c r="D860" s="2"/>
      <c r="E860" s="2"/>
      <c r="F860" s="2"/>
      <c r="G860" s="2"/>
      <c r="H860" s="2"/>
      <c r="I860" s="2"/>
      <c r="J860" s="2"/>
      <c r="K860" s="2"/>
      <c r="L860" s="2"/>
      <c r="M860" s="2"/>
      <c r="N860" s="2"/>
    </row>
    <row r="861" spans="1:14" ht="13.8" x14ac:dyDescent="0.25">
      <c r="A861" s="2"/>
      <c r="B861" s="2"/>
      <c r="C861" s="2"/>
      <c r="D861" s="2"/>
      <c r="E861" s="2"/>
      <c r="F861" s="2"/>
      <c r="G861" s="2"/>
      <c r="H861" s="2"/>
      <c r="I861" s="2"/>
      <c r="J861" s="2"/>
      <c r="K861" s="2"/>
      <c r="L861" s="2"/>
      <c r="M861" s="2"/>
      <c r="N861" s="2"/>
    </row>
    <row r="862" spans="1:14" ht="13.8" x14ac:dyDescent="0.25">
      <c r="A862" s="2"/>
      <c r="B862" s="2"/>
      <c r="C862" s="2"/>
      <c r="D862" s="2"/>
      <c r="E862" s="2"/>
      <c r="F862" s="2"/>
      <c r="G862" s="2"/>
      <c r="H862" s="2"/>
      <c r="I862" s="2"/>
      <c r="J862" s="2"/>
      <c r="K862" s="2"/>
      <c r="L862" s="2"/>
      <c r="M862" s="2"/>
      <c r="N862" s="2"/>
    </row>
    <row r="863" spans="1:14" ht="13.8" x14ac:dyDescent="0.25">
      <c r="A863" s="2"/>
      <c r="B863" s="2"/>
      <c r="C863" s="2"/>
      <c r="D863" s="2"/>
      <c r="E863" s="2"/>
      <c r="F863" s="2"/>
      <c r="G863" s="2"/>
      <c r="H863" s="2"/>
      <c r="I863" s="2"/>
      <c r="J863" s="2"/>
      <c r="K863" s="2"/>
      <c r="L863" s="2"/>
      <c r="M863" s="2"/>
      <c r="N863" s="2"/>
    </row>
    <row r="864" spans="1:14" ht="13.8" x14ac:dyDescent="0.25">
      <c r="A864" s="2"/>
      <c r="B864" s="2"/>
      <c r="C864" s="2"/>
      <c r="D864" s="2"/>
      <c r="E864" s="2"/>
      <c r="F864" s="2"/>
      <c r="G864" s="2"/>
      <c r="H864" s="2"/>
      <c r="I864" s="2"/>
      <c r="J864" s="2"/>
      <c r="K864" s="2"/>
      <c r="L864" s="2"/>
      <c r="M864" s="2"/>
      <c r="N864" s="2"/>
    </row>
    <row r="865" spans="1:14" ht="13.8" x14ac:dyDescent="0.25">
      <c r="A865" s="2"/>
      <c r="B865" s="2"/>
      <c r="C865" s="2"/>
      <c r="D865" s="2"/>
      <c r="E865" s="2"/>
      <c r="F865" s="2"/>
      <c r="G865" s="2"/>
      <c r="H865" s="2"/>
      <c r="I865" s="2"/>
      <c r="J865" s="2"/>
      <c r="K865" s="2"/>
      <c r="L865" s="2"/>
      <c r="M865" s="2"/>
      <c r="N865" s="2"/>
    </row>
    <row r="866" spans="1:14" ht="13.8" x14ac:dyDescent="0.25">
      <c r="A866" s="2"/>
      <c r="B866" s="2"/>
      <c r="C866" s="2"/>
      <c r="D866" s="2"/>
      <c r="E866" s="2"/>
      <c r="F866" s="2"/>
      <c r="G866" s="2"/>
      <c r="H866" s="2"/>
      <c r="I866" s="2"/>
      <c r="J866" s="2"/>
      <c r="K866" s="2"/>
      <c r="L866" s="2"/>
      <c r="M866" s="2"/>
      <c r="N866" s="2"/>
    </row>
    <row r="867" spans="1:14" ht="13.8" x14ac:dyDescent="0.25">
      <c r="A867" s="2"/>
      <c r="B867" s="2"/>
      <c r="C867" s="2"/>
      <c r="D867" s="2"/>
      <c r="E867" s="2"/>
      <c r="F867" s="2"/>
      <c r="G867" s="2"/>
      <c r="H867" s="2"/>
      <c r="I867" s="2"/>
      <c r="J867" s="2"/>
      <c r="K867" s="2"/>
      <c r="L867" s="2"/>
      <c r="M867" s="2"/>
      <c r="N867" s="2"/>
    </row>
    <row r="868" spans="1:14" ht="13.8" x14ac:dyDescent="0.25">
      <c r="A868" s="2"/>
      <c r="B868" s="2"/>
      <c r="C868" s="2"/>
      <c r="D868" s="2"/>
      <c r="E868" s="2"/>
      <c r="F868" s="2"/>
      <c r="G868" s="2"/>
      <c r="H868" s="2"/>
      <c r="I868" s="2"/>
      <c r="J868" s="2"/>
      <c r="K868" s="2"/>
      <c r="L868" s="2"/>
      <c r="M868" s="2"/>
      <c r="N868" s="2"/>
    </row>
    <row r="869" spans="1:14" ht="13.8" x14ac:dyDescent="0.25">
      <c r="A869" s="2"/>
      <c r="B869" s="2"/>
      <c r="C869" s="2"/>
      <c r="D869" s="2"/>
      <c r="E869" s="2"/>
      <c r="F869" s="2"/>
      <c r="G869" s="2"/>
      <c r="H869" s="2"/>
      <c r="I869" s="2"/>
      <c r="J869" s="2"/>
      <c r="K869" s="2"/>
      <c r="L869" s="2"/>
      <c r="M869" s="2"/>
      <c r="N869" s="2"/>
    </row>
    <row r="870" spans="1:14" ht="13.8" x14ac:dyDescent="0.25">
      <c r="A870" s="2"/>
      <c r="B870" s="2"/>
      <c r="C870" s="2"/>
      <c r="D870" s="2"/>
      <c r="E870" s="2"/>
      <c r="F870" s="2"/>
      <c r="G870" s="2"/>
      <c r="H870" s="2"/>
      <c r="I870" s="2"/>
      <c r="J870" s="2"/>
      <c r="K870" s="2"/>
      <c r="L870" s="2"/>
      <c r="M870" s="2"/>
      <c r="N870" s="2"/>
    </row>
    <row r="871" spans="1:14" ht="13.8" x14ac:dyDescent="0.25">
      <c r="A871" s="2"/>
      <c r="B871" s="2"/>
      <c r="C871" s="2"/>
      <c r="D871" s="2"/>
      <c r="E871" s="2"/>
      <c r="F871" s="2"/>
      <c r="G871" s="2"/>
      <c r="H871" s="2"/>
      <c r="I871" s="2"/>
      <c r="J871" s="2"/>
      <c r="K871" s="2"/>
      <c r="L871" s="2"/>
      <c r="M871" s="2"/>
      <c r="N871" s="2"/>
    </row>
    <row r="872" spans="1:14" ht="13.8" x14ac:dyDescent="0.25">
      <c r="A872" s="2"/>
      <c r="B872" s="2"/>
      <c r="C872" s="2"/>
      <c r="D872" s="2"/>
      <c r="E872" s="2"/>
      <c r="F872" s="2"/>
      <c r="G872" s="2"/>
      <c r="H872" s="2"/>
      <c r="I872" s="2"/>
      <c r="J872" s="2"/>
      <c r="K872" s="2"/>
      <c r="L872" s="2"/>
      <c r="M872" s="2"/>
      <c r="N872" s="2"/>
    </row>
    <row r="873" spans="1:14" ht="13.8" x14ac:dyDescent="0.25">
      <c r="A873" s="2"/>
      <c r="B873" s="2"/>
      <c r="C873" s="2"/>
      <c r="D873" s="2"/>
      <c r="E873" s="2"/>
      <c r="F873" s="2"/>
      <c r="G873" s="2"/>
      <c r="H873" s="2"/>
      <c r="I873" s="2"/>
      <c r="J873" s="2"/>
      <c r="K873" s="2"/>
      <c r="L873" s="2"/>
      <c r="M873" s="2"/>
      <c r="N873" s="2"/>
    </row>
    <row r="874" spans="1:14" ht="13.8" x14ac:dyDescent="0.25">
      <c r="A874" s="2"/>
      <c r="B874" s="2"/>
      <c r="C874" s="2"/>
      <c r="D874" s="2"/>
      <c r="E874" s="2"/>
      <c r="F874" s="2"/>
      <c r="G874" s="2"/>
      <c r="H874" s="2"/>
      <c r="I874" s="2"/>
      <c r="J874" s="2"/>
      <c r="K874" s="2"/>
      <c r="L874" s="2"/>
      <c r="M874" s="2"/>
      <c r="N874" s="2"/>
    </row>
    <row r="875" spans="1:14" ht="13.8" x14ac:dyDescent="0.25">
      <c r="A875" s="2"/>
      <c r="B875" s="2"/>
      <c r="C875" s="2"/>
      <c r="D875" s="2"/>
      <c r="E875" s="2"/>
      <c r="F875" s="2"/>
      <c r="G875" s="2"/>
      <c r="H875" s="2"/>
      <c r="I875" s="2"/>
      <c r="J875" s="2"/>
      <c r="K875" s="2"/>
      <c r="L875" s="2"/>
      <c r="M875" s="2"/>
      <c r="N875" s="2"/>
    </row>
    <row r="876" spans="1:14" ht="13.8" x14ac:dyDescent="0.25">
      <c r="A876" s="2"/>
      <c r="B876" s="2"/>
      <c r="C876" s="2"/>
      <c r="D876" s="2"/>
      <c r="E876" s="2"/>
      <c r="F876" s="2"/>
      <c r="G876" s="2"/>
      <c r="H876" s="2"/>
      <c r="I876" s="2"/>
      <c r="J876" s="2"/>
      <c r="K876" s="2"/>
      <c r="L876" s="2"/>
      <c r="M876" s="2"/>
      <c r="N876" s="2"/>
    </row>
    <row r="877" spans="1:14" ht="13.8" x14ac:dyDescent="0.25">
      <c r="A877" s="2"/>
      <c r="B877" s="2"/>
      <c r="C877" s="2"/>
      <c r="D877" s="2"/>
      <c r="E877" s="2"/>
      <c r="F877" s="2"/>
      <c r="G877" s="2"/>
      <c r="H877" s="2"/>
      <c r="I877" s="2"/>
      <c r="J877" s="2"/>
      <c r="K877" s="2"/>
      <c r="L877" s="2"/>
      <c r="M877" s="2"/>
      <c r="N877" s="2"/>
    </row>
    <row r="878" spans="1:14" ht="13.8" x14ac:dyDescent="0.25">
      <c r="A878" s="2"/>
      <c r="B878" s="2"/>
      <c r="C878" s="2"/>
      <c r="D878" s="2"/>
      <c r="E878" s="2"/>
      <c r="F878" s="2"/>
      <c r="G878" s="2"/>
      <c r="H878" s="2"/>
      <c r="I878" s="2"/>
      <c r="J878" s="2"/>
      <c r="K878" s="2"/>
      <c r="L878" s="2"/>
      <c r="M878" s="2"/>
      <c r="N878" s="2"/>
    </row>
    <row r="879" spans="1:14" ht="13.8" x14ac:dyDescent="0.25">
      <c r="A879" s="2"/>
      <c r="B879" s="2"/>
      <c r="C879" s="2"/>
      <c r="D879" s="2"/>
      <c r="E879" s="2"/>
      <c r="F879" s="2"/>
      <c r="G879" s="2"/>
      <c r="H879" s="2"/>
      <c r="I879" s="2"/>
      <c r="J879" s="2"/>
      <c r="K879" s="2"/>
      <c r="L879" s="2"/>
      <c r="M879" s="2"/>
      <c r="N879" s="2"/>
    </row>
    <row r="880" spans="1:14" ht="13.8" x14ac:dyDescent="0.25">
      <c r="A880" s="2"/>
      <c r="B880" s="2"/>
      <c r="C880" s="2"/>
      <c r="D880" s="2"/>
      <c r="E880" s="2"/>
      <c r="F880" s="2"/>
      <c r="G880" s="2"/>
      <c r="H880" s="2"/>
      <c r="I880" s="2"/>
      <c r="J880" s="2"/>
      <c r="K880" s="2"/>
      <c r="L880" s="2"/>
      <c r="M880" s="2"/>
      <c r="N880" s="2"/>
    </row>
    <row r="881" spans="1:14" ht="13.8" x14ac:dyDescent="0.25">
      <c r="A881" s="2"/>
      <c r="B881" s="2"/>
      <c r="C881" s="2"/>
      <c r="D881" s="2"/>
      <c r="E881" s="2"/>
      <c r="F881" s="2"/>
      <c r="G881" s="2"/>
      <c r="H881" s="2"/>
      <c r="I881" s="2"/>
      <c r="J881" s="2"/>
      <c r="K881" s="2"/>
      <c r="L881" s="2"/>
      <c r="M881" s="2"/>
      <c r="N881" s="2"/>
    </row>
    <row r="882" spans="1:14" ht="13.8" x14ac:dyDescent="0.25">
      <c r="A882" s="2"/>
      <c r="B882" s="2"/>
      <c r="C882" s="2"/>
      <c r="D882" s="2"/>
      <c r="E882" s="2"/>
      <c r="F882" s="2"/>
      <c r="G882" s="2"/>
      <c r="H882" s="2"/>
      <c r="I882" s="2"/>
      <c r="J882" s="2"/>
      <c r="K882" s="2"/>
      <c r="L882" s="2"/>
      <c r="M882" s="2"/>
      <c r="N882" s="2"/>
    </row>
    <row r="883" spans="1:14" ht="13.8" x14ac:dyDescent="0.25">
      <c r="A883" s="2"/>
      <c r="B883" s="2"/>
      <c r="C883" s="2"/>
      <c r="D883" s="2"/>
      <c r="E883" s="2"/>
      <c r="F883" s="2"/>
      <c r="G883" s="2"/>
      <c r="H883" s="2"/>
      <c r="I883" s="2"/>
      <c r="J883" s="2"/>
      <c r="K883" s="2"/>
      <c r="L883" s="2"/>
      <c r="M883" s="2"/>
      <c r="N883" s="2"/>
    </row>
    <row r="884" spans="1:14" ht="13.8" x14ac:dyDescent="0.25">
      <c r="A884" s="2"/>
      <c r="B884" s="2"/>
      <c r="C884" s="2"/>
      <c r="D884" s="2"/>
      <c r="E884" s="2"/>
      <c r="F884" s="2"/>
      <c r="G884" s="2"/>
      <c r="H884" s="2"/>
      <c r="I884" s="2"/>
      <c r="J884" s="2"/>
      <c r="K884" s="2"/>
      <c r="L884" s="2"/>
      <c r="M884" s="2"/>
      <c r="N884" s="2"/>
    </row>
    <row r="885" spans="1:14" ht="13.8" x14ac:dyDescent="0.25">
      <c r="A885" s="2"/>
      <c r="B885" s="2"/>
      <c r="C885" s="2"/>
      <c r="D885" s="2"/>
      <c r="E885" s="2"/>
      <c r="F885" s="2"/>
      <c r="G885" s="2"/>
      <c r="H885" s="2"/>
      <c r="I885" s="2"/>
      <c r="J885" s="2"/>
      <c r="K885" s="2"/>
      <c r="L885" s="2"/>
      <c r="M885" s="2"/>
      <c r="N885" s="2"/>
    </row>
    <row r="886" spans="1:14" ht="13.8" x14ac:dyDescent="0.25">
      <c r="A886" s="2"/>
      <c r="B886" s="2"/>
      <c r="C886" s="2"/>
      <c r="D886" s="2"/>
      <c r="E886" s="2"/>
      <c r="F886" s="2"/>
      <c r="G886" s="2"/>
      <c r="H886" s="2"/>
      <c r="I886" s="2"/>
      <c r="J886" s="2"/>
      <c r="K886" s="2"/>
      <c r="L886" s="2"/>
      <c r="M886" s="2"/>
      <c r="N886" s="2"/>
    </row>
    <row r="887" spans="1:14" ht="13.8" x14ac:dyDescent="0.25">
      <c r="A887" s="2"/>
      <c r="B887" s="2"/>
      <c r="C887" s="2"/>
      <c r="D887" s="2"/>
      <c r="E887" s="2"/>
      <c r="F887" s="2"/>
      <c r="G887" s="2"/>
      <c r="H887" s="2"/>
      <c r="I887" s="2"/>
      <c r="J887" s="2"/>
      <c r="K887" s="2"/>
      <c r="L887" s="2"/>
      <c r="M887" s="2"/>
      <c r="N887" s="2"/>
    </row>
    <row r="888" spans="1:14" ht="13.8" x14ac:dyDescent="0.25">
      <c r="A888" s="2"/>
      <c r="B888" s="2"/>
      <c r="C888" s="2"/>
      <c r="D888" s="2"/>
      <c r="E888" s="2"/>
      <c r="F888" s="2"/>
      <c r="G888" s="2"/>
      <c r="H888" s="2"/>
      <c r="I888" s="2"/>
      <c r="J888" s="2"/>
      <c r="K888" s="2"/>
      <c r="L888" s="2"/>
      <c r="M888" s="2"/>
      <c r="N888" s="2"/>
    </row>
    <row r="889" spans="1:14" ht="13.8" x14ac:dyDescent="0.25">
      <c r="A889" s="2"/>
      <c r="B889" s="2"/>
      <c r="C889" s="2"/>
      <c r="D889" s="2"/>
      <c r="E889" s="2"/>
      <c r="F889" s="2"/>
      <c r="G889" s="2"/>
      <c r="H889" s="2"/>
      <c r="I889" s="2"/>
      <c r="J889" s="2"/>
      <c r="K889" s="2"/>
      <c r="L889" s="2"/>
      <c r="M889" s="2"/>
      <c r="N889" s="2"/>
    </row>
    <row r="890" spans="1:14" ht="13.8" x14ac:dyDescent="0.25">
      <c r="A890" s="2"/>
      <c r="B890" s="2"/>
      <c r="C890" s="2"/>
      <c r="D890" s="2"/>
      <c r="E890" s="2"/>
      <c r="F890" s="2"/>
      <c r="G890" s="2"/>
      <c r="H890" s="2"/>
      <c r="I890" s="2"/>
      <c r="J890" s="2"/>
      <c r="K890" s="2"/>
      <c r="L890" s="2"/>
      <c r="M890" s="2"/>
      <c r="N890" s="2"/>
    </row>
    <row r="891" spans="1:14" ht="13.8" x14ac:dyDescent="0.25">
      <c r="A891" s="2"/>
      <c r="B891" s="2"/>
      <c r="C891" s="2"/>
      <c r="D891" s="2"/>
      <c r="E891" s="2"/>
      <c r="F891" s="2"/>
      <c r="G891" s="2"/>
      <c r="H891" s="2"/>
      <c r="I891" s="2"/>
      <c r="J891" s="2"/>
      <c r="K891" s="2"/>
      <c r="L891" s="2"/>
      <c r="M891" s="2"/>
      <c r="N891" s="2"/>
    </row>
    <row r="892" spans="1:14" ht="13.8" x14ac:dyDescent="0.25">
      <c r="A892" s="2"/>
      <c r="B892" s="2"/>
      <c r="C892" s="2"/>
      <c r="D892" s="2"/>
      <c r="E892" s="2"/>
      <c r="F892" s="2"/>
      <c r="G892" s="2"/>
      <c r="H892" s="2"/>
      <c r="I892" s="2"/>
      <c r="J892" s="2"/>
      <c r="K892" s="2"/>
      <c r="L892" s="2"/>
      <c r="M892" s="2"/>
      <c r="N892" s="2"/>
    </row>
    <row r="893" spans="1:14" ht="13.8" x14ac:dyDescent="0.25">
      <c r="A893" s="2"/>
      <c r="B893" s="2"/>
      <c r="C893" s="2"/>
      <c r="D893" s="2"/>
      <c r="E893" s="2"/>
      <c r="F893" s="2"/>
      <c r="G893" s="2"/>
      <c r="H893" s="2"/>
      <c r="I893" s="2"/>
      <c r="J893" s="2"/>
      <c r="K893" s="2"/>
      <c r="L893" s="2"/>
      <c r="M893" s="2"/>
      <c r="N893" s="2"/>
    </row>
    <row r="894" spans="1:14" ht="13.8" x14ac:dyDescent="0.25">
      <c r="A894" s="2"/>
      <c r="B894" s="2"/>
      <c r="C894" s="2"/>
      <c r="D894" s="2"/>
      <c r="E894" s="2"/>
      <c r="F894" s="2"/>
      <c r="G894" s="2"/>
      <c r="H894" s="2"/>
      <c r="I894" s="2"/>
      <c r="J894" s="2"/>
      <c r="K894" s="2"/>
      <c r="L894" s="2"/>
      <c r="M894" s="2"/>
      <c r="N894" s="2"/>
    </row>
    <row r="895" spans="1:14" ht="13.8" x14ac:dyDescent="0.25">
      <c r="A895" s="2"/>
      <c r="B895" s="2"/>
      <c r="C895" s="2"/>
      <c r="D895" s="2"/>
      <c r="E895" s="2"/>
      <c r="F895" s="2"/>
      <c r="G895" s="2"/>
      <c r="H895" s="2"/>
      <c r="I895" s="2"/>
      <c r="J895" s="2"/>
      <c r="K895" s="2"/>
      <c r="L895" s="2"/>
      <c r="M895" s="2"/>
      <c r="N895" s="2"/>
    </row>
    <row r="896" spans="1:14" ht="13.8" x14ac:dyDescent="0.25">
      <c r="A896" s="2"/>
      <c r="B896" s="2"/>
      <c r="C896" s="2"/>
      <c r="D896" s="2"/>
      <c r="E896" s="2"/>
      <c r="F896" s="2"/>
      <c r="G896" s="2"/>
      <c r="H896" s="2"/>
      <c r="I896" s="2"/>
      <c r="J896" s="2"/>
      <c r="K896" s="2"/>
      <c r="L896" s="2"/>
      <c r="M896" s="2"/>
      <c r="N896" s="2"/>
    </row>
    <row r="897" spans="1:14" ht="13.8" x14ac:dyDescent="0.25">
      <c r="A897" s="2"/>
      <c r="B897" s="2"/>
      <c r="C897" s="2"/>
      <c r="D897" s="2"/>
      <c r="E897" s="2"/>
      <c r="F897" s="2"/>
      <c r="G897" s="2"/>
      <c r="H897" s="2"/>
      <c r="I897" s="2"/>
      <c r="J897" s="2"/>
      <c r="K897" s="2"/>
      <c r="L897" s="2"/>
      <c r="M897" s="2"/>
      <c r="N897" s="2"/>
    </row>
    <row r="898" spans="1:14" ht="13.8" x14ac:dyDescent="0.25">
      <c r="A898" s="2"/>
      <c r="B898" s="2"/>
      <c r="C898" s="2"/>
      <c r="D898" s="2"/>
      <c r="E898" s="2"/>
      <c r="F898" s="2"/>
      <c r="G898" s="2"/>
      <c r="H898" s="2"/>
      <c r="I898" s="2"/>
      <c r="J898" s="2"/>
      <c r="K898" s="2"/>
      <c r="L898" s="2"/>
      <c r="M898" s="2"/>
      <c r="N898" s="2"/>
    </row>
    <row r="899" spans="1:14" ht="13.8" x14ac:dyDescent="0.25">
      <c r="A899" s="2"/>
      <c r="B899" s="2"/>
      <c r="C899" s="2"/>
      <c r="D899" s="2"/>
      <c r="E899" s="2"/>
      <c r="F899" s="2"/>
      <c r="G899" s="2"/>
      <c r="H899" s="2"/>
      <c r="I899" s="2"/>
      <c r="J899" s="2"/>
      <c r="K899" s="2"/>
      <c r="L899" s="2"/>
      <c r="M899" s="2"/>
      <c r="N899" s="2"/>
    </row>
    <row r="900" spans="1:14" ht="13.8" x14ac:dyDescent="0.25">
      <c r="A900" s="2"/>
      <c r="B900" s="2"/>
      <c r="C900" s="2"/>
      <c r="D900" s="2"/>
      <c r="E900" s="2"/>
      <c r="F900" s="2"/>
      <c r="G900" s="2"/>
      <c r="H900" s="2"/>
      <c r="I900" s="2"/>
      <c r="J900" s="2"/>
      <c r="K900" s="2"/>
      <c r="L900" s="2"/>
      <c r="M900" s="2"/>
      <c r="N900" s="2"/>
    </row>
    <row r="901" spans="1:14" ht="13.8" x14ac:dyDescent="0.25">
      <c r="A901" s="2"/>
      <c r="B901" s="2"/>
      <c r="C901" s="2"/>
      <c r="D901" s="2"/>
      <c r="E901" s="2"/>
      <c r="F901" s="2"/>
      <c r="G901" s="2"/>
      <c r="H901" s="2"/>
      <c r="I901" s="2"/>
      <c r="J901" s="2"/>
      <c r="K901" s="2"/>
      <c r="L901" s="2"/>
      <c r="M901" s="2"/>
      <c r="N901" s="2"/>
    </row>
    <row r="902" spans="1:14" ht="13.8" x14ac:dyDescent="0.25">
      <c r="A902" s="2"/>
      <c r="B902" s="2"/>
      <c r="C902" s="2"/>
      <c r="D902" s="2"/>
      <c r="E902" s="2"/>
      <c r="F902" s="2"/>
      <c r="G902" s="2"/>
      <c r="H902" s="2"/>
      <c r="I902" s="2"/>
      <c r="J902" s="2"/>
      <c r="K902" s="2"/>
      <c r="L902" s="2"/>
      <c r="M902" s="2"/>
      <c r="N902" s="2"/>
    </row>
    <row r="903" spans="1:14" ht="13.8" x14ac:dyDescent="0.25">
      <c r="A903" s="2"/>
      <c r="B903" s="2"/>
      <c r="C903" s="2"/>
      <c r="D903" s="2"/>
      <c r="E903" s="2"/>
      <c r="F903" s="2"/>
      <c r="G903" s="2"/>
      <c r="H903" s="2"/>
      <c r="I903" s="2"/>
      <c r="J903" s="2"/>
      <c r="K903" s="2"/>
      <c r="L903" s="2"/>
      <c r="M903" s="2"/>
      <c r="N903" s="2"/>
    </row>
    <row r="904" spans="1:14" ht="13.8" x14ac:dyDescent="0.25">
      <c r="A904" s="2"/>
      <c r="B904" s="2"/>
      <c r="C904" s="2"/>
      <c r="D904" s="2"/>
      <c r="E904" s="2"/>
      <c r="F904" s="2"/>
      <c r="G904" s="2"/>
      <c r="H904" s="2"/>
      <c r="I904" s="2"/>
      <c r="J904" s="2"/>
      <c r="K904" s="2"/>
      <c r="L904" s="2"/>
      <c r="M904" s="2"/>
      <c r="N904" s="2"/>
    </row>
    <row r="905" spans="1:14" ht="13.8" x14ac:dyDescent="0.25">
      <c r="A905" s="2"/>
      <c r="B905" s="2"/>
      <c r="C905" s="2"/>
      <c r="D905" s="2"/>
      <c r="E905" s="2"/>
      <c r="F905" s="2"/>
      <c r="G905" s="2"/>
      <c r="H905" s="2"/>
      <c r="I905" s="2"/>
      <c r="J905" s="2"/>
      <c r="K905" s="2"/>
      <c r="L905" s="2"/>
      <c r="M905" s="2"/>
      <c r="N905" s="2"/>
    </row>
    <row r="906" spans="1:14" ht="13.8" x14ac:dyDescent="0.25">
      <c r="A906" s="2"/>
      <c r="B906" s="2"/>
      <c r="C906" s="2"/>
      <c r="D906" s="2"/>
      <c r="E906" s="2"/>
      <c r="F906" s="2"/>
      <c r="G906" s="2"/>
      <c r="H906" s="2"/>
      <c r="I906" s="2"/>
      <c r="J906" s="2"/>
      <c r="K906" s="2"/>
      <c r="L906" s="2"/>
      <c r="M906" s="2"/>
      <c r="N906" s="2"/>
    </row>
    <row r="907" spans="1:14" ht="13.8" x14ac:dyDescent="0.25">
      <c r="A907" s="2"/>
      <c r="B907" s="2"/>
      <c r="C907" s="2"/>
      <c r="D907" s="2"/>
      <c r="E907" s="2"/>
      <c r="F907" s="2"/>
      <c r="G907" s="2"/>
      <c r="H907" s="2"/>
      <c r="I907" s="2"/>
      <c r="J907" s="2"/>
      <c r="K907" s="2"/>
      <c r="L907" s="2"/>
      <c r="M907" s="2"/>
      <c r="N907" s="2"/>
    </row>
    <row r="908" spans="1:14" ht="13.8" x14ac:dyDescent="0.25">
      <c r="A908" s="2"/>
      <c r="B908" s="2"/>
      <c r="C908" s="2"/>
      <c r="D908" s="2"/>
      <c r="E908" s="2"/>
      <c r="F908" s="2"/>
      <c r="G908" s="2"/>
      <c r="H908" s="2"/>
      <c r="I908" s="2"/>
      <c r="J908" s="2"/>
      <c r="K908" s="2"/>
      <c r="L908" s="2"/>
      <c r="M908" s="2"/>
      <c r="N908" s="2"/>
    </row>
    <row r="909" spans="1:14" ht="13.8" x14ac:dyDescent="0.25">
      <c r="A909" s="2"/>
      <c r="B909" s="2"/>
      <c r="C909" s="2"/>
      <c r="D909" s="2"/>
      <c r="E909" s="2"/>
      <c r="F909" s="2"/>
      <c r="G909" s="2"/>
      <c r="H909" s="2"/>
      <c r="I909" s="2"/>
      <c r="J909" s="2"/>
      <c r="K909" s="2"/>
      <c r="L909" s="2"/>
      <c r="M909" s="2"/>
      <c r="N909" s="2"/>
    </row>
    <row r="910" spans="1:14" ht="13.8" x14ac:dyDescent="0.25">
      <c r="A910" s="2"/>
      <c r="B910" s="2"/>
      <c r="C910" s="2"/>
      <c r="D910" s="2"/>
      <c r="E910" s="2"/>
      <c r="F910" s="2"/>
      <c r="G910" s="2"/>
      <c r="H910" s="2"/>
      <c r="I910" s="2"/>
      <c r="J910" s="2"/>
      <c r="K910" s="2"/>
      <c r="L910" s="2"/>
      <c r="M910" s="2"/>
      <c r="N910" s="2"/>
    </row>
    <row r="911" spans="1:14" ht="13.8" x14ac:dyDescent="0.25">
      <c r="A911" s="2"/>
      <c r="B911" s="2"/>
      <c r="C911" s="2"/>
      <c r="D911" s="2"/>
      <c r="E911" s="2"/>
      <c r="F911" s="2"/>
      <c r="G911" s="2"/>
      <c r="H911" s="2"/>
      <c r="I911" s="2"/>
      <c r="J911" s="2"/>
      <c r="K911" s="2"/>
      <c r="L911" s="2"/>
      <c r="M911" s="2"/>
      <c r="N911" s="2"/>
    </row>
    <row r="912" spans="1:14" ht="13.8" x14ac:dyDescent="0.25">
      <c r="A912" s="2"/>
      <c r="B912" s="2"/>
      <c r="C912" s="2"/>
      <c r="D912" s="2"/>
      <c r="E912" s="2"/>
      <c r="F912" s="2"/>
      <c r="G912" s="2"/>
      <c r="H912" s="2"/>
      <c r="I912" s="2"/>
      <c r="J912" s="2"/>
      <c r="K912" s="2"/>
      <c r="L912" s="2"/>
      <c r="M912" s="2"/>
      <c r="N912" s="2"/>
    </row>
    <row r="913" spans="1:14" ht="13.8" x14ac:dyDescent="0.25">
      <c r="A913" s="2"/>
      <c r="B913" s="2"/>
      <c r="C913" s="2"/>
      <c r="D913" s="2"/>
      <c r="E913" s="2"/>
      <c r="F913" s="2"/>
      <c r="G913" s="2"/>
      <c r="H913" s="2"/>
      <c r="I913" s="2"/>
      <c r="J913" s="2"/>
      <c r="K913" s="2"/>
      <c r="L913" s="2"/>
      <c r="M913" s="2"/>
      <c r="N913" s="2"/>
    </row>
    <row r="914" spans="1:14" ht="13.8" x14ac:dyDescent="0.25">
      <c r="A914" s="2"/>
      <c r="B914" s="2"/>
      <c r="C914" s="2"/>
      <c r="D914" s="2"/>
      <c r="E914" s="2"/>
      <c r="F914" s="2"/>
      <c r="G914" s="2"/>
      <c r="H914" s="2"/>
      <c r="I914" s="2"/>
      <c r="J914" s="2"/>
      <c r="K914" s="2"/>
      <c r="L914" s="2"/>
      <c r="M914" s="2"/>
      <c r="N914" s="2"/>
    </row>
    <row r="915" spans="1:14" ht="13.8" x14ac:dyDescent="0.25">
      <c r="A915" s="2"/>
      <c r="B915" s="2"/>
      <c r="C915" s="2"/>
      <c r="D915" s="2"/>
      <c r="E915" s="2"/>
      <c r="F915" s="2"/>
      <c r="G915" s="2"/>
      <c r="H915" s="2"/>
      <c r="I915" s="2"/>
      <c r="J915" s="2"/>
      <c r="K915" s="2"/>
      <c r="L915" s="2"/>
      <c r="M915" s="2"/>
      <c r="N915" s="2"/>
    </row>
    <row r="916" spans="1:14" ht="13.8" x14ac:dyDescent="0.25">
      <c r="A916" s="2"/>
      <c r="B916" s="2"/>
      <c r="C916" s="2"/>
      <c r="D916" s="2"/>
      <c r="E916" s="2"/>
      <c r="F916" s="2"/>
      <c r="G916" s="2"/>
      <c r="H916" s="2"/>
      <c r="I916" s="2"/>
      <c r="J916" s="2"/>
      <c r="K916" s="2"/>
      <c r="L916" s="2"/>
      <c r="M916" s="2"/>
      <c r="N916" s="2"/>
    </row>
    <row r="917" spans="1:14" ht="13.8" x14ac:dyDescent="0.25">
      <c r="A917" s="2"/>
      <c r="B917" s="2"/>
      <c r="C917" s="2"/>
      <c r="D917" s="2"/>
      <c r="E917" s="2"/>
      <c r="F917" s="2"/>
      <c r="G917" s="2"/>
      <c r="H917" s="2"/>
      <c r="I917" s="2"/>
      <c r="J917" s="2"/>
      <c r="K917" s="2"/>
      <c r="L917" s="2"/>
      <c r="M917" s="2"/>
      <c r="N917" s="2"/>
    </row>
    <row r="918" spans="1:14" ht="13.8" x14ac:dyDescent="0.25">
      <c r="A918" s="2"/>
      <c r="B918" s="2"/>
      <c r="C918" s="2"/>
      <c r="D918" s="2"/>
      <c r="E918" s="2"/>
      <c r="F918" s="2"/>
      <c r="G918" s="2"/>
      <c r="H918" s="2"/>
      <c r="I918" s="2"/>
      <c r="J918" s="2"/>
      <c r="K918" s="2"/>
      <c r="L918" s="2"/>
      <c r="M918" s="2"/>
      <c r="N918" s="2"/>
    </row>
    <row r="919" spans="1:14" ht="13.8" x14ac:dyDescent="0.25">
      <c r="A919" s="2"/>
      <c r="B919" s="2"/>
      <c r="C919" s="2"/>
      <c r="D919" s="2"/>
      <c r="E919" s="2"/>
      <c r="F919" s="2"/>
      <c r="G919" s="2"/>
      <c r="H919" s="2"/>
      <c r="I919" s="2"/>
      <c r="J919" s="2"/>
      <c r="K919" s="2"/>
      <c r="L919" s="2"/>
      <c r="M919" s="2"/>
      <c r="N919" s="2"/>
    </row>
    <row r="920" spans="1:14" ht="13.8" x14ac:dyDescent="0.25">
      <c r="A920" s="2"/>
      <c r="B920" s="2"/>
      <c r="C920" s="2"/>
      <c r="D920" s="2"/>
      <c r="E920" s="2"/>
      <c r="F920" s="2"/>
      <c r="G920" s="2"/>
      <c r="H920" s="2"/>
      <c r="I920" s="2"/>
      <c r="J920" s="2"/>
      <c r="K920" s="2"/>
      <c r="L920" s="2"/>
      <c r="M920" s="2"/>
      <c r="N920" s="2"/>
    </row>
    <row r="921" spans="1:14" ht="13.8" x14ac:dyDescent="0.25">
      <c r="A921" s="2"/>
      <c r="B921" s="2"/>
      <c r="C921" s="2"/>
      <c r="D921" s="2"/>
      <c r="E921" s="2"/>
      <c r="F921" s="2"/>
      <c r="G921" s="2"/>
      <c r="H921" s="2"/>
      <c r="I921" s="2"/>
      <c r="J921" s="2"/>
      <c r="K921" s="2"/>
      <c r="L921" s="2"/>
      <c r="M921" s="2"/>
      <c r="N921" s="2"/>
    </row>
    <row r="922" spans="1:14" ht="13.8" x14ac:dyDescent="0.25">
      <c r="A922" s="2"/>
      <c r="B922" s="2"/>
      <c r="C922" s="2"/>
      <c r="D922" s="2"/>
      <c r="E922" s="2"/>
      <c r="F922" s="2"/>
      <c r="G922" s="2"/>
      <c r="H922" s="2"/>
      <c r="I922" s="2"/>
      <c r="J922" s="2"/>
      <c r="K922" s="2"/>
      <c r="L922" s="2"/>
      <c r="M922" s="2"/>
      <c r="N922" s="2"/>
    </row>
    <row r="923" spans="1:14" ht="13.8" x14ac:dyDescent="0.25">
      <c r="A923" s="2"/>
      <c r="B923" s="2"/>
      <c r="C923" s="2"/>
      <c r="D923" s="2"/>
      <c r="E923" s="2"/>
      <c r="F923" s="2"/>
      <c r="G923" s="2"/>
      <c r="H923" s="2"/>
      <c r="I923" s="2"/>
      <c r="J923" s="2"/>
      <c r="K923" s="2"/>
      <c r="L923" s="2"/>
      <c r="M923" s="2"/>
      <c r="N923" s="2"/>
    </row>
    <row r="924" spans="1:14" ht="13.8" x14ac:dyDescent="0.25">
      <c r="A924" s="2"/>
      <c r="B924" s="2"/>
      <c r="C924" s="2"/>
      <c r="D924" s="2"/>
      <c r="E924" s="2"/>
      <c r="F924" s="2"/>
      <c r="G924" s="2"/>
      <c r="H924" s="2"/>
      <c r="I924" s="2"/>
      <c r="J924" s="2"/>
      <c r="K924" s="2"/>
      <c r="L924" s="2"/>
      <c r="M924" s="2"/>
      <c r="N924" s="2"/>
    </row>
    <row r="925" spans="1:14" ht="13.8" x14ac:dyDescent="0.25">
      <c r="A925" s="2"/>
      <c r="B925" s="2"/>
      <c r="C925" s="2"/>
      <c r="D925" s="2"/>
      <c r="E925" s="2"/>
      <c r="F925" s="2"/>
      <c r="G925" s="2"/>
      <c r="H925" s="2"/>
      <c r="I925" s="2"/>
      <c r="J925" s="2"/>
      <c r="K925" s="2"/>
      <c r="L925" s="2"/>
      <c r="M925" s="2"/>
      <c r="N925" s="2"/>
    </row>
    <row r="926" spans="1:14" ht="13.8" x14ac:dyDescent="0.25">
      <c r="A926" s="2"/>
      <c r="B926" s="2"/>
      <c r="C926" s="2"/>
      <c r="D926" s="2"/>
      <c r="E926" s="2"/>
      <c r="F926" s="2"/>
      <c r="G926" s="2"/>
      <c r="H926" s="2"/>
      <c r="I926" s="2"/>
      <c r="J926" s="2"/>
      <c r="K926" s="2"/>
      <c r="L926" s="2"/>
      <c r="M926" s="2"/>
      <c r="N926" s="2"/>
    </row>
    <row r="927" spans="1:14" ht="13.8" x14ac:dyDescent="0.25">
      <c r="A927" s="2"/>
      <c r="B927" s="2"/>
      <c r="C927" s="2"/>
      <c r="D927" s="2"/>
      <c r="E927" s="2"/>
      <c r="F927" s="2"/>
      <c r="G927" s="2"/>
      <c r="H927" s="2"/>
      <c r="I927" s="2"/>
      <c r="J927" s="2"/>
      <c r="K927" s="2"/>
      <c r="L927" s="2"/>
      <c r="M927" s="2"/>
      <c r="N927" s="2"/>
    </row>
    <row r="928" spans="1:14" ht="13.8" x14ac:dyDescent="0.25">
      <c r="A928" s="2"/>
      <c r="B928" s="2"/>
      <c r="C928" s="2"/>
      <c r="D928" s="2"/>
      <c r="E928" s="2"/>
      <c r="F928" s="2"/>
      <c r="G928" s="2"/>
      <c r="H928" s="2"/>
      <c r="I928" s="2"/>
      <c r="J928" s="2"/>
      <c r="K928" s="2"/>
      <c r="L928" s="2"/>
      <c r="M928" s="2"/>
      <c r="N928" s="2"/>
    </row>
    <row r="929" spans="1:14" ht="13.8" x14ac:dyDescent="0.25">
      <c r="A929" s="2"/>
      <c r="B929" s="2"/>
      <c r="C929" s="2"/>
      <c r="D929" s="2"/>
      <c r="E929" s="2"/>
      <c r="F929" s="2"/>
      <c r="G929" s="2"/>
      <c r="H929" s="2"/>
      <c r="I929" s="2"/>
      <c r="J929" s="2"/>
      <c r="K929" s="2"/>
      <c r="L929" s="2"/>
      <c r="M929" s="2"/>
      <c r="N929" s="2"/>
    </row>
    <row r="930" spans="1:14" ht="13.8" x14ac:dyDescent="0.25">
      <c r="A930" s="2"/>
      <c r="B930" s="2"/>
      <c r="C930" s="2"/>
      <c r="D930" s="2"/>
      <c r="E930" s="2"/>
      <c r="F930" s="2"/>
      <c r="G930" s="2"/>
      <c r="H930" s="2"/>
      <c r="I930" s="2"/>
      <c r="J930" s="2"/>
      <c r="K930" s="2"/>
      <c r="L930" s="2"/>
      <c r="M930" s="2"/>
      <c r="N930" s="2"/>
    </row>
    <row r="931" spans="1:14" ht="13.8" x14ac:dyDescent="0.25">
      <c r="A931" s="2"/>
      <c r="B931" s="2"/>
      <c r="C931" s="2"/>
      <c r="D931" s="2"/>
      <c r="E931" s="2"/>
      <c r="F931" s="2"/>
      <c r="G931" s="2"/>
      <c r="H931" s="2"/>
      <c r="I931" s="2"/>
      <c r="J931" s="2"/>
      <c r="K931" s="2"/>
      <c r="L931" s="2"/>
      <c r="M931" s="2"/>
      <c r="N931" s="2"/>
    </row>
    <row r="932" spans="1:14" ht="13.8" x14ac:dyDescent="0.25">
      <c r="A932" s="2"/>
      <c r="B932" s="2"/>
      <c r="C932" s="2"/>
      <c r="D932" s="2"/>
      <c r="E932" s="2"/>
      <c r="F932" s="2"/>
      <c r="G932" s="2"/>
      <c r="H932" s="2"/>
      <c r="I932" s="2"/>
      <c r="J932" s="2"/>
      <c r="K932" s="2"/>
      <c r="L932" s="2"/>
      <c r="M932" s="2"/>
      <c r="N932" s="2"/>
    </row>
    <row r="933" spans="1:14" ht="13.8" x14ac:dyDescent="0.25">
      <c r="A933" s="2"/>
      <c r="B933" s="2"/>
      <c r="C933" s="2"/>
      <c r="D933" s="2"/>
      <c r="E933" s="2"/>
      <c r="F933" s="2"/>
      <c r="G933" s="2"/>
      <c r="H933" s="2"/>
      <c r="I933" s="2"/>
      <c r="J933" s="2"/>
      <c r="K933" s="2"/>
      <c r="L933" s="2"/>
      <c r="M933" s="2"/>
      <c r="N933" s="2"/>
    </row>
    <row r="934" spans="1:14" ht="13.8" x14ac:dyDescent="0.25">
      <c r="A934" s="2"/>
      <c r="B934" s="2"/>
      <c r="C934" s="2"/>
      <c r="D934" s="2"/>
      <c r="E934" s="2"/>
      <c r="F934" s="2"/>
      <c r="G934" s="2"/>
      <c r="H934" s="2"/>
      <c r="I934" s="2"/>
      <c r="J934" s="2"/>
      <c r="K934" s="2"/>
      <c r="L934" s="2"/>
      <c r="M934" s="2"/>
      <c r="N934" s="2"/>
    </row>
    <row r="935" spans="1:14" ht="13.8" x14ac:dyDescent="0.25">
      <c r="A935" s="2"/>
      <c r="B935" s="2"/>
      <c r="C935" s="2"/>
      <c r="D935" s="2"/>
      <c r="E935" s="2"/>
      <c r="F935" s="2"/>
      <c r="G935" s="2"/>
      <c r="H935" s="2"/>
      <c r="I935" s="2"/>
      <c r="J935" s="2"/>
      <c r="K935" s="2"/>
      <c r="L935" s="2"/>
      <c r="M935" s="2"/>
      <c r="N935" s="2"/>
    </row>
    <row r="936" spans="1:14" ht="13.8" x14ac:dyDescent="0.25">
      <c r="A936" s="2"/>
      <c r="B936" s="2"/>
      <c r="C936" s="2"/>
      <c r="D936" s="2"/>
      <c r="E936" s="2"/>
      <c r="F936" s="2"/>
      <c r="G936" s="2"/>
      <c r="H936" s="2"/>
      <c r="I936" s="2"/>
      <c r="J936" s="2"/>
      <c r="K936" s="2"/>
      <c r="L936" s="2"/>
      <c r="M936" s="2"/>
      <c r="N936" s="2"/>
    </row>
    <row r="937" spans="1:14" ht="13.8" x14ac:dyDescent="0.25">
      <c r="A937" s="2"/>
      <c r="B937" s="2"/>
      <c r="C937" s="2"/>
      <c r="D937" s="2"/>
      <c r="E937" s="2"/>
      <c r="F937" s="2"/>
      <c r="G937" s="2"/>
      <c r="H937" s="2"/>
      <c r="I937" s="2"/>
      <c r="J937" s="2"/>
      <c r="K937" s="2"/>
      <c r="L937" s="2"/>
      <c r="M937" s="2"/>
      <c r="N937" s="2"/>
    </row>
    <row r="938" spans="1:14" ht="13.8" x14ac:dyDescent="0.25">
      <c r="A938" s="2"/>
      <c r="B938" s="2"/>
      <c r="C938" s="2"/>
      <c r="D938" s="2"/>
      <c r="E938" s="2"/>
      <c r="F938" s="2"/>
      <c r="G938" s="2"/>
      <c r="H938" s="2"/>
      <c r="I938" s="2"/>
      <c r="J938" s="2"/>
      <c r="K938" s="2"/>
      <c r="L938" s="2"/>
      <c r="M938" s="2"/>
      <c r="N938" s="2"/>
    </row>
    <row r="939" spans="1:14" ht="13.8" x14ac:dyDescent="0.25">
      <c r="A939" s="2"/>
      <c r="B939" s="2"/>
      <c r="C939" s="2"/>
      <c r="D939" s="2"/>
      <c r="E939" s="2"/>
      <c r="F939" s="2"/>
      <c r="G939" s="2"/>
      <c r="H939" s="2"/>
      <c r="I939" s="2"/>
      <c r="J939" s="2"/>
      <c r="K939" s="2"/>
      <c r="L939" s="2"/>
      <c r="M939" s="2"/>
      <c r="N939" s="2"/>
    </row>
    <row r="940" spans="1:14" ht="13.8" x14ac:dyDescent="0.25">
      <c r="A940" s="2"/>
      <c r="B940" s="2"/>
      <c r="C940" s="2"/>
      <c r="D940" s="2"/>
      <c r="E940" s="2"/>
      <c r="F940" s="2"/>
      <c r="G940" s="2"/>
      <c r="H940" s="2"/>
      <c r="I940" s="2"/>
      <c r="J940" s="2"/>
      <c r="K940" s="2"/>
      <c r="L940" s="2"/>
      <c r="M940" s="2"/>
      <c r="N940" s="2"/>
    </row>
    <row r="941" spans="1:14" ht="13.8" x14ac:dyDescent="0.25">
      <c r="A941" s="2"/>
      <c r="B941" s="2"/>
      <c r="C941" s="2"/>
      <c r="D941" s="2"/>
      <c r="E941" s="2"/>
      <c r="F941" s="2"/>
      <c r="G941" s="2"/>
      <c r="H941" s="2"/>
      <c r="I941" s="2"/>
      <c r="J941" s="2"/>
      <c r="K941" s="2"/>
      <c r="L941" s="2"/>
      <c r="M941" s="2"/>
      <c r="N941" s="2"/>
    </row>
    <row r="942" spans="1:14" ht="13.8" x14ac:dyDescent="0.25">
      <c r="A942" s="2"/>
      <c r="B942" s="2"/>
      <c r="C942" s="2"/>
      <c r="D942" s="2"/>
      <c r="E942" s="2"/>
      <c r="F942" s="2"/>
      <c r="G942" s="2"/>
      <c r="H942" s="2"/>
      <c r="I942" s="2"/>
      <c r="J942" s="2"/>
      <c r="K942" s="2"/>
      <c r="L942" s="2"/>
      <c r="M942" s="2"/>
      <c r="N942" s="2"/>
    </row>
    <row r="943" spans="1:14" ht="13.8" x14ac:dyDescent="0.25">
      <c r="A943" s="2"/>
      <c r="B943" s="2"/>
      <c r="C943" s="2"/>
      <c r="D943" s="2"/>
      <c r="E943" s="2"/>
      <c r="F943" s="2"/>
      <c r="G943" s="2"/>
      <c r="H943" s="2"/>
      <c r="I943" s="2"/>
      <c r="J943" s="2"/>
      <c r="K943" s="2"/>
      <c r="L943" s="2"/>
      <c r="M943" s="2"/>
      <c r="N943" s="2"/>
    </row>
    <row r="944" spans="1:14" ht="13.8" x14ac:dyDescent="0.25">
      <c r="A944" s="2"/>
      <c r="B944" s="2"/>
      <c r="C944" s="2"/>
      <c r="D944" s="2"/>
      <c r="E944" s="2"/>
      <c r="F944" s="2"/>
      <c r="G944" s="2"/>
      <c r="H944" s="2"/>
      <c r="I944" s="2"/>
      <c r="J944" s="2"/>
      <c r="K944" s="2"/>
      <c r="L944" s="2"/>
      <c r="M944" s="2"/>
      <c r="N944" s="2"/>
    </row>
    <row r="945" spans="1:14" ht="13.8" x14ac:dyDescent="0.25">
      <c r="A945" s="2"/>
      <c r="B945" s="2"/>
      <c r="C945" s="2"/>
      <c r="D945" s="2"/>
      <c r="E945" s="2"/>
      <c r="F945" s="2"/>
      <c r="G945" s="2"/>
      <c r="H945" s="2"/>
      <c r="I945" s="2"/>
      <c r="J945" s="2"/>
      <c r="K945" s="2"/>
      <c r="L945" s="2"/>
      <c r="M945" s="2"/>
      <c r="N945" s="2"/>
    </row>
    <row r="946" spans="1:14" ht="13.8" x14ac:dyDescent="0.25">
      <c r="A946" s="2"/>
      <c r="B946" s="2"/>
      <c r="C946" s="2"/>
      <c r="D946" s="2"/>
      <c r="E946" s="2"/>
      <c r="F946" s="2"/>
      <c r="G946" s="2"/>
      <c r="H946" s="2"/>
      <c r="I946" s="2"/>
      <c r="J946" s="2"/>
      <c r="K946" s="2"/>
      <c r="L946" s="2"/>
      <c r="M946" s="2"/>
      <c r="N946" s="2"/>
    </row>
    <row r="947" spans="1:14" ht="13.8" x14ac:dyDescent="0.25">
      <c r="A947" s="2"/>
      <c r="B947" s="2"/>
      <c r="C947" s="2"/>
      <c r="D947" s="2"/>
      <c r="E947" s="2"/>
      <c r="F947" s="2"/>
      <c r="G947" s="2"/>
      <c r="H947" s="2"/>
      <c r="I947" s="2"/>
      <c r="J947" s="2"/>
      <c r="K947" s="2"/>
      <c r="L947" s="2"/>
      <c r="M947" s="2"/>
      <c r="N947" s="2"/>
    </row>
    <row r="948" spans="1:14" ht="13.8" x14ac:dyDescent="0.25">
      <c r="A948" s="2"/>
      <c r="B948" s="2"/>
      <c r="C948" s="2"/>
      <c r="D948" s="2"/>
      <c r="E948" s="2"/>
      <c r="F948" s="2"/>
      <c r="G948" s="2"/>
      <c r="H948" s="2"/>
      <c r="I948" s="2"/>
      <c r="J948" s="2"/>
      <c r="K948" s="2"/>
      <c r="L948" s="2"/>
      <c r="M948" s="2"/>
      <c r="N948" s="2"/>
    </row>
    <row r="949" spans="1:14" ht="13.8" x14ac:dyDescent="0.25">
      <c r="A949" s="2"/>
      <c r="B949" s="2"/>
      <c r="C949" s="2"/>
      <c r="D949" s="2"/>
      <c r="E949" s="2"/>
      <c r="F949" s="2"/>
      <c r="G949" s="2"/>
      <c r="H949" s="2"/>
      <c r="I949" s="2"/>
      <c r="J949" s="2"/>
      <c r="K949" s="2"/>
      <c r="L949" s="2"/>
      <c r="M949" s="2"/>
      <c r="N949" s="2"/>
    </row>
    <row r="950" spans="1:14" ht="13.8" x14ac:dyDescent="0.25">
      <c r="A950" s="2"/>
      <c r="B950" s="2"/>
      <c r="C950" s="2"/>
      <c r="D950" s="2"/>
      <c r="E950" s="2"/>
      <c r="F950" s="2"/>
      <c r="G950" s="2"/>
      <c r="H950" s="2"/>
      <c r="I950" s="2"/>
      <c r="J950" s="2"/>
      <c r="K950" s="2"/>
      <c r="L950" s="2"/>
      <c r="M950" s="2"/>
      <c r="N950" s="2"/>
    </row>
    <row r="951" spans="1:14" ht="13.8" x14ac:dyDescent="0.25">
      <c r="A951" s="2"/>
      <c r="B951" s="2"/>
      <c r="C951" s="2"/>
      <c r="D951" s="2"/>
      <c r="E951" s="2"/>
      <c r="F951" s="2"/>
      <c r="G951" s="2"/>
      <c r="H951" s="2"/>
      <c r="I951" s="2"/>
      <c r="J951" s="2"/>
      <c r="K951" s="2"/>
      <c r="L951" s="2"/>
      <c r="M951" s="2"/>
      <c r="N951" s="2"/>
    </row>
    <row r="952" spans="1:14" ht="13.8" x14ac:dyDescent="0.25">
      <c r="A952" s="2"/>
      <c r="B952" s="2"/>
      <c r="C952" s="2"/>
      <c r="D952" s="2"/>
      <c r="E952" s="2"/>
      <c r="F952" s="2"/>
      <c r="G952" s="2"/>
      <c r="H952" s="2"/>
      <c r="I952" s="2"/>
      <c r="J952" s="2"/>
      <c r="K952" s="2"/>
      <c r="L952" s="2"/>
      <c r="M952" s="2"/>
      <c r="N952" s="2"/>
    </row>
    <row r="953" spans="1:14" ht="13.8" x14ac:dyDescent="0.25">
      <c r="A953" s="2"/>
      <c r="B953" s="2"/>
      <c r="C953" s="2"/>
      <c r="D953" s="2"/>
      <c r="E953" s="2"/>
      <c r="F953" s="2"/>
      <c r="G953" s="2"/>
      <c r="H953" s="2"/>
      <c r="I953" s="2"/>
      <c r="J953" s="2"/>
      <c r="K953" s="2"/>
      <c r="L953" s="2"/>
      <c r="M953" s="2"/>
      <c r="N953" s="2"/>
    </row>
    <row r="954" spans="1:14" ht="13.8" x14ac:dyDescent="0.25">
      <c r="A954" s="2"/>
      <c r="B954" s="2"/>
      <c r="C954" s="2"/>
      <c r="D954" s="2"/>
      <c r="E954" s="2"/>
      <c r="F954" s="2"/>
      <c r="G954" s="2"/>
      <c r="H954" s="2"/>
      <c r="I954" s="2"/>
      <c r="J954" s="2"/>
      <c r="K954" s="2"/>
      <c r="L954" s="2"/>
      <c r="M954" s="2"/>
      <c r="N954" s="2"/>
    </row>
    <row r="955" spans="1:14" ht="13.8" x14ac:dyDescent="0.25">
      <c r="A955" s="2"/>
      <c r="B955" s="2"/>
      <c r="C955" s="2"/>
      <c r="D955" s="2"/>
      <c r="E955" s="2"/>
      <c r="F955" s="2"/>
      <c r="G955" s="2"/>
      <c r="H955" s="2"/>
      <c r="I955" s="2"/>
      <c r="J955" s="2"/>
      <c r="K955" s="2"/>
      <c r="L955" s="2"/>
      <c r="M955" s="2"/>
      <c r="N955" s="2"/>
    </row>
    <row r="956" spans="1:14" ht="13.8" x14ac:dyDescent="0.25">
      <c r="A956" s="2"/>
      <c r="B956" s="2"/>
      <c r="C956" s="2"/>
      <c r="D956" s="2"/>
      <c r="E956" s="2"/>
      <c r="F956" s="2"/>
      <c r="G956" s="2"/>
      <c r="H956" s="2"/>
      <c r="I956" s="2"/>
      <c r="J956" s="2"/>
      <c r="K956" s="2"/>
      <c r="L956" s="2"/>
      <c r="M956" s="2"/>
      <c r="N956" s="2"/>
    </row>
    <row r="957" spans="1:14" ht="13.8" x14ac:dyDescent="0.25">
      <c r="A957" s="2"/>
      <c r="B957" s="2"/>
      <c r="C957" s="2"/>
      <c r="D957" s="2"/>
      <c r="E957" s="2"/>
      <c r="F957" s="2"/>
      <c r="G957" s="2"/>
      <c r="H957" s="2"/>
      <c r="I957" s="2"/>
      <c r="J957" s="2"/>
      <c r="K957" s="2"/>
      <c r="L957" s="2"/>
      <c r="M957" s="2"/>
      <c r="N957" s="2"/>
    </row>
    <row r="958" spans="1:14" ht="13.8" x14ac:dyDescent="0.25">
      <c r="A958" s="2"/>
      <c r="B958" s="2"/>
      <c r="C958" s="2"/>
      <c r="D958" s="2"/>
      <c r="E958" s="2"/>
      <c r="F958" s="2"/>
      <c r="G958" s="2"/>
      <c r="H958" s="2"/>
      <c r="I958" s="2"/>
      <c r="J958" s="2"/>
      <c r="K958" s="2"/>
      <c r="L958" s="2"/>
      <c r="M958" s="2"/>
      <c r="N958" s="2"/>
    </row>
    <row r="959" spans="1:14" ht="13.8" x14ac:dyDescent="0.25">
      <c r="A959" s="2"/>
      <c r="B959" s="2"/>
      <c r="C959" s="2"/>
      <c r="D959" s="2"/>
      <c r="E959" s="2"/>
      <c r="F959" s="2"/>
      <c r="G959" s="2"/>
      <c r="H959" s="2"/>
      <c r="I959" s="2"/>
      <c r="J959" s="2"/>
      <c r="K959" s="2"/>
      <c r="L959" s="2"/>
      <c r="M959" s="2"/>
      <c r="N959" s="2"/>
    </row>
    <row r="960" spans="1:14" ht="13.8" x14ac:dyDescent="0.25">
      <c r="A960" s="2"/>
      <c r="B960" s="2"/>
      <c r="C960" s="2"/>
      <c r="D960" s="2"/>
      <c r="E960" s="2"/>
      <c r="F960" s="2"/>
      <c r="G960" s="2"/>
      <c r="H960" s="2"/>
      <c r="I960" s="2"/>
      <c r="J960" s="2"/>
      <c r="K960" s="2"/>
      <c r="L960" s="2"/>
      <c r="M960" s="2"/>
      <c r="N960" s="2"/>
    </row>
    <row r="961" spans="1:14" ht="13.8" x14ac:dyDescent="0.25">
      <c r="A961" s="2"/>
      <c r="B961" s="2"/>
      <c r="C961" s="2"/>
      <c r="D961" s="2"/>
      <c r="E961" s="2"/>
      <c r="F961" s="2"/>
      <c r="G961" s="2"/>
      <c r="H961" s="2"/>
      <c r="I961" s="2"/>
      <c r="J961" s="2"/>
      <c r="K961" s="2"/>
      <c r="L961" s="2"/>
      <c r="M961" s="2"/>
      <c r="N961" s="2"/>
    </row>
    <row r="962" spans="1:14" ht="13.8" x14ac:dyDescent="0.25">
      <c r="A962" s="2"/>
      <c r="B962" s="2"/>
      <c r="C962" s="2"/>
      <c r="D962" s="2"/>
      <c r="E962" s="2"/>
      <c r="F962" s="2"/>
      <c r="G962" s="2"/>
      <c r="H962" s="2"/>
      <c r="I962" s="2"/>
      <c r="J962" s="2"/>
      <c r="K962" s="2"/>
      <c r="L962" s="2"/>
      <c r="M962" s="2"/>
      <c r="N962" s="2"/>
    </row>
    <row r="963" spans="1:14" ht="13.8" x14ac:dyDescent="0.25">
      <c r="A963" s="2"/>
      <c r="B963" s="2"/>
      <c r="C963" s="2"/>
      <c r="D963" s="2"/>
      <c r="E963" s="2"/>
      <c r="F963" s="2"/>
      <c r="G963" s="2"/>
      <c r="H963" s="2"/>
      <c r="I963" s="2"/>
      <c r="J963" s="2"/>
      <c r="K963" s="2"/>
      <c r="L963" s="2"/>
      <c r="M963" s="2"/>
      <c r="N963" s="2"/>
    </row>
    <row r="964" spans="1:14" ht="13.8" x14ac:dyDescent="0.25">
      <c r="A964" s="2"/>
      <c r="B964" s="2"/>
      <c r="C964" s="2"/>
      <c r="D964" s="2"/>
      <c r="E964" s="2"/>
      <c r="F964" s="2"/>
      <c r="G964" s="2"/>
      <c r="H964" s="2"/>
      <c r="I964" s="2"/>
      <c r="J964" s="2"/>
      <c r="K964" s="2"/>
      <c r="L964" s="2"/>
      <c r="M964" s="2"/>
      <c r="N964" s="2"/>
    </row>
    <row r="965" spans="1:14" ht="13.8" x14ac:dyDescent="0.25">
      <c r="A965" s="2"/>
      <c r="B965" s="2"/>
      <c r="C965" s="2"/>
      <c r="D965" s="2"/>
      <c r="E965" s="2"/>
      <c r="F965" s="2"/>
      <c r="G965" s="2"/>
      <c r="H965" s="2"/>
      <c r="I965" s="2"/>
      <c r="J965" s="2"/>
      <c r="K965" s="2"/>
      <c r="L965" s="2"/>
      <c r="M965" s="2"/>
      <c r="N965" s="2"/>
    </row>
    <row r="966" spans="1:14" ht="13.8" x14ac:dyDescent="0.25">
      <c r="A966" s="2"/>
      <c r="B966" s="2"/>
      <c r="C966" s="2"/>
      <c r="D966" s="2"/>
      <c r="E966" s="2"/>
      <c r="F966" s="2"/>
      <c r="G966" s="2"/>
      <c r="H966" s="2"/>
      <c r="I966" s="2"/>
      <c r="J966" s="2"/>
      <c r="K966" s="2"/>
      <c r="L966" s="2"/>
      <c r="M966" s="2"/>
      <c r="N966" s="2"/>
    </row>
    <row r="967" spans="1:14" ht="13.8" x14ac:dyDescent="0.25">
      <c r="A967" s="2"/>
      <c r="B967" s="2"/>
      <c r="C967" s="2"/>
      <c r="D967" s="2"/>
      <c r="E967" s="2"/>
      <c r="F967" s="2"/>
      <c r="G967" s="2"/>
      <c r="H967" s="2"/>
      <c r="I967" s="2"/>
      <c r="J967" s="2"/>
      <c r="K967" s="2"/>
      <c r="L967" s="2"/>
      <c r="M967" s="2"/>
      <c r="N967" s="2"/>
    </row>
    <row r="968" spans="1:14" ht="13.8" x14ac:dyDescent="0.25">
      <c r="A968" s="2"/>
      <c r="B968" s="2"/>
      <c r="C968" s="2"/>
      <c r="D968" s="2"/>
      <c r="E968" s="2"/>
      <c r="F968" s="2"/>
      <c r="G968" s="2"/>
      <c r="H968" s="2"/>
      <c r="I968" s="2"/>
      <c r="J968" s="2"/>
      <c r="K968" s="2"/>
      <c r="L968" s="2"/>
      <c r="M968" s="2"/>
      <c r="N968" s="2"/>
    </row>
    <row r="969" spans="1:14" ht="13.8" x14ac:dyDescent="0.25">
      <c r="A969" s="2"/>
      <c r="B969" s="2"/>
      <c r="C969" s="2"/>
      <c r="D969" s="2"/>
      <c r="E969" s="2"/>
      <c r="F969" s="2"/>
      <c r="G969" s="2"/>
      <c r="H969" s="2"/>
      <c r="I969" s="2"/>
      <c r="J969" s="2"/>
      <c r="K969" s="2"/>
      <c r="L969" s="2"/>
      <c r="M969" s="2"/>
      <c r="N969" s="2"/>
    </row>
    <row r="970" spans="1:14" ht="13.8" x14ac:dyDescent="0.25">
      <c r="A970" s="2"/>
      <c r="B970" s="2"/>
      <c r="C970" s="2"/>
      <c r="D970" s="2"/>
      <c r="E970" s="2"/>
      <c r="F970" s="2"/>
      <c r="G970" s="2"/>
      <c r="H970" s="2"/>
      <c r="I970" s="2"/>
      <c r="J970" s="2"/>
      <c r="K970" s="2"/>
      <c r="L970" s="2"/>
      <c r="M970" s="2"/>
      <c r="N970" s="2"/>
    </row>
    <row r="971" spans="1:14" ht="13.8" x14ac:dyDescent="0.25">
      <c r="A971" s="2"/>
      <c r="B971" s="2"/>
      <c r="C971" s="2"/>
      <c r="D971" s="2"/>
      <c r="E971" s="2"/>
      <c r="F971" s="2"/>
      <c r="G971" s="2"/>
      <c r="H971" s="2"/>
      <c r="I971" s="2"/>
      <c r="J971" s="2"/>
      <c r="K971" s="2"/>
      <c r="L971" s="2"/>
      <c r="M971" s="2"/>
      <c r="N971" s="2"/>
    </row>
    <row r="972" spans="1:14" ht="13.8" x14ac:dyDescent="0.25">
      <c r="A972" s="2"/>
      <c r="B972" s="2"/>
      <c r="C972" s="2"/>
      <c r="D972" s="2"/>
      <c r="E972" s="2"/>
      <c r="F972" s="2"/>
      <c r="G972" s="2"/>
      <c r="H972" s="2"/>
      <c r="I972" s="2"/>
      <c r="J972" s="2"/>
      <c r="K972" s="2"/>
      <c r="L972" s="2"/>
      <c r="M972" s="2"/>
      <c r="N972" s="2"/>
    </row>
    <row r="973" spans="1:14" ht="13.8" x14ac:dyDescent="0.25">
      <c r="A973" s="2"/>
      <c r="B973" s="2"/>
      <c r="C973" s="2"/>
      <c r="D973" s="2"/>
      <c r="E973" s="2"/>
      <c r="F973" s="2"/>
      <c r="G973" s="2"/>
      <c r="H973" s="2"/>
      <c r="I973" s="2"/>
      <c r="J973" s="2"/>
      <c r="K973" s="2"/>
      <c r="L973" s="2"/>
      <c r="M973" s="2"/>
      <c r="N973" s="2"/>
    </row>
    <row r="974" spans="1:14" ht="13.8" x14ac:dyDescent="0.25">
      <c r="A974" s="2"/>
      <c r="B974" s="2"/>
      <c r="C974" s="2"/>
      <c r="D974" s="2"/>
      <c r="E974" s="2"/>
      <c r="F974" s="2"/>
      <c r="G974" s="2"/>
      <c r="H974" s="2"/>
      <c r="I974" s="2"/>
      <c r="J974" s="2"/>
      <c r="K974" s="2"/>
      <c r="L974" s="2"/>
      <c r="M974" s="2"/>
      <c r="N974" s="2"/>
    </row>
    <row r="975" spans="1:14" ht="13.8" x14ac:dyDescent="0.25">
      <c r="A975" s="2"/>
      <c r="B975" s="2"/>
      <c r="C975" s="2"/>
      <c r="D975" s="2"/>
      <c r="E975" s="2"/>
      <c r="F975" s="2"/>
      <c r="G975" s="2"/>
      <c r="H975" s="2"/>
      <c r="I975" s="2"/>
      <c r="J975" s="2"/>
      <c r="K975" s="2"/>
      <c r="L975" s="2"/>
      <c r="M975" s="2"/>
      <c r="N975" s="2"/>
    </row>
    <row r="976" spans="1:14" ht="13.8" x14ac:dyDescent="0.25">
      <c r="A976" s="2"/>
      <c r="B976" s="2"/>
      <c r="C976" s="2"/>
      <c r="D976" s="2"/>
      <c r="E976" s="2"/>
      <c r="F976" s="2"/>
      <c r="G976" s="2"/>
      <c r="H976" s="2"/>
      <c r="I976" s="2"/>
      <c r="J976" s="2"/>
      <c r="K976" s="2"/>
      <c r="L976" s="2"/>
      <c r="M976" s="2"/>
      <c r="N976" s="2"/>
    </row>
    <row r="977" spans="1:14" ht="13.8" x14ac:dyDescent="0.25">
      <c r="A977" s="2"/>
      <c r="B977" s="2"/>
      <c r="C977" s="2"/>
      <c r="D977" s="2"/>
      <c r="E977" s="2"/>
      <c r="F977" s="2"/>
      <c r="G977" s="2"/>
      <c r="H977" s="2"/>
      <c r="I977" s="2"/>
      <c r="J977" s="2"/>
      <c r="K977" s="2"/>
      <c r="L977" s="2"/>
      <c r="M977" s="2"/>
      <c r="N977" s="2"/>
    </row>
    <row r="978" spans="1:14" ht="13.8" x14ac:dyDescent="0.25">
      <c r="A978" s="2"/>
      <c r="B978" s="2"/>
      <c r="C978" s="2"/>
      <c r="D978" s="2"/>
      <c r="E978" s="2"/>
      <c r="F978" s="2"/>
      <c r="G978" s="2"/>
      <c r="H978" s="2"/>
      <c r="I978" s="2"/>
      <c r="J978" s="2"/>
      <c r="K978" s="2"/>
      <c r="L978" s="2"/>
      <c r="M978" s="2"/>
      <c r="N978" s="2"/>
    </row>
    <row r="979" spans="1:14" ht="13.8" x14ac:dyDescent="0.25">
      <c r="A979" s="2"/>
      <c r="B979" s="2"/>
      <c r="C979" s="2"/>
      <c r="D979" s="2"/>
      <c r="E979" s="2"/>
      <c r="F979" s="2"/>
      <c r="G979" s="2"/>
      <c r="H979" s="2"/>
      <c r="I979" s="2"/>
      <c r="J979" s="2"/>
      <c r="K979" s="2"/>
      <c r="L979" s="2"/>
      <c r="M979" s="2"/>
      <c r="N979" s="2"/>
    </row>
    <row r="980" spans="1:14" ht="13.8" x14ac:dyDescent="0.25">
      <c r="A980" s="2"/>
      <c r="B980" s="2"/>
      <c r="C980" s="2"/>
      <c r="D980" s="2"/>
      <c r="E980" s="2"/>
      <c r="F980" s="2"/>
      <c r="G980" s="2"/>
      <c r="H980" s="2"/>
      <c r="I980" s="2"/>
      <c r="J980" s="2"/>
      <c r="K980" s="2"/>
      <c r="L980" s="2"/>
      <c r="M980" s="2"/>
      <c r="N980" s="2"/>
    </row>
    <row r="981" spans="1:14" ht="13.8" x14ac:dyDescent="0.25">
      <c r="A981" s="2"/>
      <c r="B981" s="2"/>
      <c r="C981" s="2"/>
      <c r="D981" s="2"/>
      <c r="E981" s="2"/>
      <c r="F981" s="2"/>
      <c r="G981" s="2"/>
      <c r="H981" s="2"/>
      <c r="I981" s="2"/>
      <c r="J981" s="2"/>
      <c r="K981" s="2"/>
      <c r="L981" s="2"/>
      <c r="M981" s="2"/>
      <c r="N981" s="2"/>
    </row>
    <row r="982" spans="1:14" ht="13.8" x14ac:dyDescent="0.25">
      <c r="A982" s="2"/>
      <c r="B982" s="2"/>
      <c r="C982" s="2"/>
      <c r="D982" s="2"/>
      <c r="E982" s="2"/>
      <c r="F982" s="2"/>
      <c r="G982" s="2"/>
      <c r="H982" s="2"/>
      <c r="I982" s="2"/>
      <c r="J982" s="2"/>
      <c r="K982" s="2"/>
      <c r="L982" s="2"/>
      <c r="M982" s="2"/>
      <c r="N982" s="2"/>
    </row>
    <row r="983" spans="1:14" ht="13.8" x14ac:dyDescent="0.25">
      <c r="A983" s="2"/>
      <c r="B983" s="2"/>
      <c r="C983" s="2"/>
      <c r="D983" s="2"/>
      <c r="E983" s="2"/>
      <c r="F983" s="2"/>
      <c r="G983" s="2"/>
      <c r="H983" s="2"/>
      <c r="I983" s="2"/>
      <c r="J983" s="2"/>
      <c r="K983" s="2"/>
      <c r="L983" s="2"/>
      <c r="M983" s="2"/>
      <c r="N983" s="2"/>
    </row>
    <row r="984" spans="1:14" ht="13.8" x14ac:dyDescent="0.25">
      <c r="A984" s="2"/>
      <c r="B984" s="2"/>
      <c r="C984" s="2"/>
      <c r="D984" s="2"/>
      <c r="E984" s="2"/>
      <c r="F984" s="2"/>
      <c r="G984" s="2"/>
      <c r="H984" s="2"/>
      <c r="I984" s="2"/>
      <c r="J984" s="2"/>
      <c r="K984" s="2"/>
      <c r="L984" s="2"/>
      <c r="M984" s="2"/>
      <c r="N984" s="2"/>
    </row>
    <row r="985" spans="1:14" ht="13.8" x14ac:dyDescent="0.25">
      <c r="A985" s="2"/>
      <c r="B985" s="2"/>
      <c r="C985" s="2"/>
      <c r="D985" s="2"/>
      <c r="E985" s="2"/>
      <c r="F985" s="2"/>
      <c r="G985" s="2"/>
      <c r="H985" s="2"/>
      <c r="I985" s="2"/>
      <c r="J985" s="2"/>
      <c r="K985" s="2"/>
      <c r="L985" s="2"/>
      <c r="M985" s="2"/>
      <c r="N985" s="2"/>
    </row>
    <row r="986" spans="1:14" ht="13.8" x14ac:dyDescent="0.25">
      <c r="A986" s="2"/>
      <c r="B986" s="2"/>
      <c r="C986" s="2"/>
      <c r="D986" s="2"/>
      <c r="E986" s="2"/>
      <c r="F986" s="2"/>
      <c r="G986" s="2"/>
      <c r="H986" s="2"/>
      <c r="I986" s="2"/>
      <c r="J986" s="2"/>
      <c r="K986" s="2"/>
      <c r="L986" s="2"/>
      <c r="M986" s="2"/>
      <c r="N986" s="2"/>
    </row>
    <row r="987" spans="1:14" ht="13.8" x14ac:dyDescent="0.25">
      <c r="A987" s="2"/>
      <c r="B987" s="2"/>
      <c r="C987" s="2"/>
      <c r="D987" s="2"/>
      <c r="E987" s="2"/>
      <c r="F987" s="2"/>
      <c r="G987" s="2"/>
      <c r="H987" s="2"/>
      <c r="I987" s="2"/>
      <c r="J987" s="2"/>
      <c r="K987" s="2"/>
      <c r="L987" s="2"/>
      <c r="M987" s="2"/>
      <c r="N987" s="2"/>
    </row>
    <row r="988" spans="1:14" ht="13.8" x14ac:dyDescent="0.25">
      <c r="A988" s="2"/>
      <c r="B988" s="2"/>
      <c r="C988" s="2"/>
      <c r="D988" s="2"/>
      <c r="E988" s="2"/>
      <c r="F988" s="2"/>
      <c r="G988" s="2"/>
      <c r="H988" s="2"/>
      <c r="I988" s="2"/>
      <c r="J988" s="2"/>
      <c r="K988" s="2"/>
      <c r="L988" s="2"/>
      <c r="M988" s="2"/>
      <c r="N988" s="2"/>
    </row>
    <row r="989" spans="1:14" ht="13.8" x14ac:dyDescent="0.25">
      <c r="A989" s="2"/>
      <c r="B989" s="2"/>
      <c r="C989" s="2"/>
      <c r="D989" s="2"/>
      <c r="E989" s="2"/>
      <c r="F989" s="2"/>
      <c r="G989" s="2"/>
      <c r="H989" s="2"/>
      <c r="I989" s="2"/>
      <c r="J989" s="2"/>
      <c r="K989" s="2"/>
      <c r="L989" s="2"/>
      <c r="M989" s="2"/>
      <c r="N989" s="2"/>
    </row>
    <row r="990" spans="1:14" ht="13.8" x14ac:dyDescent="0.25">
      <c r="A990" s="2"/>
      <c r="B990" s="2"/>
      <c r="C990" s="2"/>
      <c r="D990" s="2"/>
      <c r="E990" s="2"/>
      <c r="F990" s="2"/>
      <c r="G990" s="2"/>
      <c r="H990" s="2"/>
      <c r="I990" s="2"/>
      <c r="J990" s="2"/>
      <c r="K990" s="2"/>
      <c r="L990" s="2"/>
      <c r="M990" s="2"/>
      <c r="N990" s="2"/>
    </row>
    <row r="991" spans="1:14" ht="13.8" x14ac:dyDescent="0.25">
      <c r="A991" s="2"/>
      <c r="B991" s="2"/>
      <c r="C991" s="2"/>
      <c r="D991" s="2"/>
      <c r="E991" s="2"/>
      <c r="F991" s="2"/>
      <c r="G991" s="2"/>
      <c r="H991" s="2"/>
      <c r="I991" s="2"/>
      <c r="J991" s="2"/>
      <c r="K991" s="2"/>
      <c r="L991" s="2"/>
      <c r="M991" s="2"/>
      <c r="N991" s="2"/>
    </row>
    <row r="992" spans="1:14" ht="13.8" x14ac:dyDescent="0.25">
      <c r="A992" s="2"/>
      <c r="B992" s="2"/>
      <c r="C992" s="2"/>
      <c r="D992" s="2"/>
      <c r="E992" s="2"/>
      <c r="F992" s="2"/>
      <c r="G992" s="2"/>
      <c r="H992" s="2"/>
      <c r="I992" s="2"/>
      <c r="J992" s="2"/>
      <c r="K992" s="2"/>
      <c r="L992" s="2"/>
      <c r="M992" s="2"/>
      <c r="N992" s="2"/>
    </row>
    <row r="993" spans="1:14" ht="13.8" x14ac:dyDescent="0.25">
      <c r="A993" s="2"/>
      <c r="B993" s="2"/>
      <c r="C993" s="2"/>
      <c r="D993" s="2"/>
      <c r="E993" s="2"/>
      <c r="F993" s="2"/>
      <c r="G993" s="2"/>
      <c r="H993" s="2"/>
      <c r="I993" s="2"/>
      <c r="J993" s="2"/>
      <c r="K993" s="2"/>
      <c r="L993" s="2"/>
      <c r="M993" s="2"/>
      <c r="N993" s="2"/>
    </row>
    <row r="994" spans="1:14" ht="13.8" x14ac:dyDescent="0.25">
      <c r="A994" s="2"/>
      <c r="B994" s="2"/>
      <c r="C994" s="2"/>
      <c r="D994" s="2"/>
      <c r="E994" s="2"/>
      <c r="F994" s="2"/>
      <c r="G994" s="2"/>
      <c r="H994" s="2"/>
      <c r="I994" s="2"/>
      <c r="J994" s="2"/>
      <c r="K994" s="2"/>
      <c r="L994" s="2"/>
      <c r="M994" s="2"/>
      <c r="N994" s="2"/>
    </row>
    <row r="995" spans="1:14" ht="13.8" x14ac:dyDescent="0.25">
      <c r="A995" s="2"/>
      <c r="B995" s="2"/>
      <c r="C995" s="2"/>
      <c r="D995" s="2"/>
      <c r="E995" s="2"/>
      <c r="F995" s="2"/>
      <c r="G995" s="2"/>
      <c r="H995" s="2"/>
      <c r="I995" s="2"/>
      <c r="J995" s="2"/>
      <c r="K995" s="2"/>
      <c r="L995" s="2"/>
      <c r="M995" s="2"/>
      <c r="N995" s="2"/>
    </row>
    <row r="996" spans="1:14" ht="13.8" x14ac:dyDescent="0.25">
      <c r="A996" s="2"/>
      <c r="B996" s="2"/>
      <c r="C996" s="2"/>
      <c r="D996" s="2"/>
      <c r="E996" s="2"/>
      <c r="F996" s="2"/>
      <c r="G996" s="2"/>
      <c r="H996" s="2"/>
      <c r="I996" s="2"/>
      <c r="J996" s="2"/>
      <c r="K996" s="2"/>
      <c r="L996" s="2"/>
      <c r="M996" s="2"/>
      <c r="N996" s="2"/>
    </row>
    <row r="997" spans="1:14" ht="13.8" x14ac:dyDescent="0.25">
      <c r="A997" s="2"/>
      <c r="B997" s="2"/>
      <c r="C997" s="2"/>
      <c r="D997" s="2"/>
      <c r="E997" s="2"/>
      <c r="F997" s="2"/>
      <c r="G997" s="2"/>
      <c r="H997" s="2"/>
      <c r="I997" s="2"/>
      <c r="J997" s="2"/>
      <c r="K997" s="2"/>
      <c r="L997" s="2"/>
      <c r="M997" s="2"/>
      <c r="N997" s="2"/>
    </row>
    <row r="998" spans="1:14" ht="13.8" x14ac:dyDescent="0.25">
      <c r="A998" s="2"/>
      <c r="B998" s="2"/>
      <c r="C998" s="2"/>
      <c r="D998" s="2"/>
      <c r="E998" s="2"/>
      <c r="F998" s="2"/>
      <c r="G998" s="2"/>
      <c r="H998" s="2"/>
      <c r="I998" s="2"/>
      <c r="J998" s="2"/>
      <c r="K998" s="2"/>
      <c r="L998" s="2"/>
      <c r="M998" s="2"/>
      <c r="N998" s="2"/>
    </row>
    <row r="999" spans="1:14" ht="13.8" x14ac:dyDescent="0.25">
      <c r="A999" s="2"/>
      <c r="B999" s="2"/>
      <c r="C999" s="2"/>
      <c r="D999" s="2"/>
      <c r="E999" s="2"/>
      <c r="F999" s="2"/>
      <c r="G999" s="2"/>
      <c r="H999" s="2"/>
      <c r="I999" s="2"/>
      <c r="J999" s="2"/>
      <c r="K999" s="2"/>
      <c r="L999" s="2"/>
      <c r="M999" s="2"/>
      <c r="N999" s="2"/>
    </row>
    <row r="1000" spans="1:14" ht="13.8" x14ac:dyDescent="0.25">
      <c r="A1000" s="2"/>
      <c r="B1000" s="2"/>
      <c r="C1000" s="2"/>
      <c r="D1000" s="2"/>
      <c r="E1000" s="2"/>
      <c r="F1000" s="2"/>
      <c r="G1000" s="2"/>
      <c r="H1000" s="2"/>
      <c r="I1000" s="2"/>
      <c r="J1000" s="2"/>
      <c r="K1000" s="2"/>
      <c r="L1000" s="2"/>
      <c r="M1000" s="2"/>
      <c r="N1000" s="2"/>
    </row>
    <row r="1001" spans="1:14" ht="13.8" x14ac:dyDescent="0.25">
      <c r="A1001" s="2"/>
      <c r="B1001" s="2"/>
      <c r="C1001" s="2"/>
      <c r="D1001" s="2"/>
      <c r="E1001" s="2"/>
      <c r="F1001" s="2"/>
      <c r="G1001" s="2"/>
      <c r="H1001" s="2"/>
      <c r="I1001" s="2"/>
      <c r="J1001" s="2"/>
      <c r="K1001" s="2"/>
      <c r="L1001" s="2"/>
      <c r="M1001" s="2"/>
      <c r="N1001" s="2"/>
    </row>
    <row r="1002" spans="1:14" ht="13.8" x14ac:dyDescent="0.25">
      <c r="A1002" s="2"/>
      <c r="B1002" s="2"/>
      <c r="C1002" s="2"/>
      <c r="D1002" s="2"/>
      <c r="E1002" s="2"/>
      <c r="F1002" s="2"/>
      <c r="G1002" s="2"/>
      <c r="H1002" s="2"/>
      <c r="I1002" s="2"/>
      <c r="J1002" s="2"/>
      <c r="K1002" s="2"/>
      <c r="L1002" s="2"/>
      <c r="M1002" s="2"/>
      <c r="N1002" s="2"/>
    </row>
    <row r="1003" spans="1:14" ht="13.8" x14ac:dyDescent="0.25">
      <c r="A1003" s="2"/>
      <c r="B1003" s="2"/>
      <c r="C1003" s="2"/>
      <c r="D1003" s="2"/>
      <c r="E1003" s="2"/>
      <c r="F1003" s="2"/>
      <c r="G1003" s="2"/>
      <c r="H1003" s="2"/>
      <c r="I1003" s="2"/>
      <c r="J1003" s="2"/>
      <c r="K1003" s="2"/>
      <c r="L1003" s="2"/>
      <c r="M1003" s="2"/>
      <c r="N1003" s="2"/>
    </row>
    <row r="1004" spans="1:14" ht="13.8" x14ac:dyDescent="0.25">
      <c r="A1004" s="2"/>
      <c r="B1004" s="2"/>
      <c r="C1004" s="2"/>
      <c r="D1004" s="2"/>
      <c r="E1004" s="2"/>
      <c r="F1004" s="2"/>
      <c r="G1004" s="2"/>
      <c r="H1004" s="2"/>
      <c r="I1004" s="2"/>
      <c r="J1004" s="2"/>
      <c r="K1004" s="2"/>
      <c r="L1004" s="2"/>
      <c r="M1004" s="2"/>
      <c r="N1004" s="2"/>
    </row>
    <row r="1005" spans="1:14" ht="13.8" x14ac:dyDescent="0.25">
      <c r="A1005" s="2"/>
      <c r="B1005" s="2"/>
      <c r="C1005" s="2"/>
      <c r="D1005" s="2"/>
      <c r="E1005" s="2"/>
      <c r="F1005" s="2"/>
      <c r="G1005" s="2"/>
      <c r="H1005" s="2"/>
      <c r="I1005" s="2"/>
      <c r="J1005" s="2"/>
      <c r="K1005" s="2"/>
      <c r="L1005" s="2"/>
      <c r="M1005" s="2"/>
      <c r="N1005" s="2"/>
    </row>
    <row r="1006" spans="1:14" ht="13.8" x14ac:dyDescent="0.25">
      <c r="A1006" s="2"/>
      <c r="B1006" s="2"/>
      <c r="C1006" s="2"/>
      <c r="D1006" s="2"/>
      <c r="E1006" s="2"/>
      <c r="F1006" s="2"/>
      <c r="G1006" s="2"/>
      <c r="H1006" s="2"/>
      <c r="I1006" s="2"/>
      <c r="J1006" s="2"/>
      <c r="K1006" s="2"/>
      <c r="L1006" s="2"/>
      <c r="M1006" s="2"/>
      <c r="N1006" s="2"/>
    </row>
    <row r="1007" spans="1:14" ht="13.8" x14ac:dyDescent="0.25">
      <c r="A1007" s="2"/>
      <c r="B1007" s="2"/>
      <c r="C1007" s="2"/>
      <c r="D1007" s="2"/>
      <c r="E1007" s="2"/>
      <c r="F1007" s="2"/>
      <c r="G1007" s="2"/>
      <c r="H1007" s="2"/>
      <c r="I1007" s="2"/>
      <c r="J1007" s="2"/>
      <c r="K1007" s="2"/>
      <c r="L1007" s="2"/>
      <c r="M1007" s="2"/>
      <c r="N1007" s="2"/>
    </row>
    <row r="1008" spans="1:14" ht="13.8" x14ac:dyDescent="0.25">
      <c r="A1008" s="2"/>
      <c r="B1008" s="2"/>
      <c r="C1008" s="2"/>
      <c r="D1008" s="2"/>
      <c r="E1008" s="2"/>
      <c r="F1008" s="2"/>
      <c r="G1008" s="2"/>
      <c r="H1008" s="2"/>
      <c r="I1008" s="2"/>
      <c r="J1008" s="2"/>
      <c r="K1008" s="2"/>
      <c r="L1008" s="2"/>
      <c r="M1008" s="2"/>
      <c r="N1008" s="2"/>
    </row>
    <row r="1009" spans="1:14" ht="13.8" x14ac:dyDescent="0.25">
      <c r="A1009" s="2"/>
      <c r="B1009" s="2"/>
      <c r="C1009" s="2"/>
      <c r="D1009" s="2"/>
      <c r="E1009" s="2"/>
      <c r="F1009" s="2"/>
      <c r="G1009" s="2"/>
      <c r="H1009" s="2"/>
      <c r="I1009" s="2"/>
      <c r="J1009" s="2"/>
      <c r="K1009" s="2"/>
      <c r="L1009" s="2"/>
      <c r="M1009" s="2"/>
      <c r="N1009" s="2"/>
    </row>
    <row r="1010" spans="1:14" ht="13.8" x14ac:dyDescent="0.25">
      <c r="A1010" s="2"/>
      <c r="B1010" s="2"/>
      <c r="C1010" s="2"/>
      <c r="D1010" s="2"/>
      <c r="E1010" s="2"/>
      <c r="F1010" s="2"/>
      <c r="G1010" s="2"/>
      <c r="H1010" s="2"/>
      <c r="I1010" s="2"/>
      <c r="J1010" s="2"/>
      <c r="K1010" s="2"/>
      <c r="L1010" s="2"/>
      <c r="M1010" s="2"/>
      <c r="N1010" s="2"/>
    </row>
    <row r="1011" spans="1:14" ht="13.8" x14ac:dyDescent="0.25">
      <c r="A1011" s="2"/>
      <c r="B1011" s="2"/>
      <c r="C1011" s="2"/>
      <c r="D1011" s="2"/>
      <c r="E1011" s="2"/>
      <c r="F1011" s="2"/>
      <c r="G1011" s="2"/>
      <c r="H1011" s="2"/>
      <c r="I1011" s="2"/>
      <c r="J1011" s="2"/>
      <c r="K1011" s="2"/>
      <c r="L1011" s="2"/>
      <c r="M1011" s="2"/>
      <c r="N1011" s="2"/>
    </row>
  </sheetData>
  <hyperlinks>
    <hyperlink ref="C2" r:id="rId1" xr:uid="{F382AF5C-F71A-4962-8617-4C10CEDC549E}"/>
    <hyperlink ref="C3" r:id="rId2" xr:uid="{D24FE3BE-588E-4F67-A5FF-7A7821A2954A}"/>
    <hyperlink ref="C4" r:id="rId3" xr:uid="{D81591B3-A395-4C3C-BCF1-61D7531F47B7}"/>
    <hyperlink ref="C5" r:id="rId4" xr:uid="{29A8D90F-6BFB-407E-8523-D466A02F3008}"/>
    <hyperlink ref="C6" r:id="rId5" xr:uid="{881CC7BD-9123-435E-B9BE-B220AFF9E6B2}"/>
    <hyperlink ref="C7" r:id="rId6" xr:uid="{DBEF89DE-DC63-4B79-B765-ED21EDBD8F88}"/>
    <hyperlink ref="C8" r:id="rId7" xr:uid="{42738550-A16A-4D68-B115-CD3966B09779}"/>
    <hyperlink ref="C9" r:id="rId8" xr:uid="{5C469324-1CB0-47F4-A8C1-392E4F3B8223}"/>
    <hyperlink ref="C10" r:id="rId9" xr:uid="{64DE61BB-4680-4890-9CE7-45E5CB5EC4D0}"/>
    <hyperlink ref="C11" r:id="rId10" xr:uid="{CB93E8D0-0BA4-42AE-96A7-A4FB91041CA2}"/>
    <hyperlink ref="C12" r:id="rId11" xr:uid="{DD68EDC2-0B03-4BD2-A348-64DE79A54061}"/>
    <hyperlink ref="C13" r:id="rId12" xr:uid="{AFEEA381-9534-4C56-AA02-D968EB4A5D07}"/>
    <hyperlink ref="C14" r:id="rId13" xr:uid="{730F6886-BF8E-4B0F-B38C-FB713A1EB0D4}"/>
    <hyperlink ref="C15" r:id="rId14" xr:uid="{BACA8637-0033-406B-8DB4-9029FCED2610}"/>
    <hyperlink ref="C16" r:id="rId15" xr:uid="{826E4396-70FD-4294-A8EC-E163451388FF}"/>
    <hyperlink ref="C17" r:id="rId16" xr:uid="{B6E697D8-3869-49AF-ACAA-A8AE2A00FDC6}"/>
    <hyperlink ref="C18" r:id="rId17" xr:uid="{D8E4C2F4-8497-4EB5-BF6B-D11DDDB9B942}"/>
  </hyperlinks>
  <pageMargins left="0.75" right="0.75" top="1" bottom="1" header="0.511811023622047" footer="0.511811023622047"/>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91951-9E33-4FA5-BCCC-6B993C767163}">
  <dimension ref="A1:AC28"/>
  <sheetViews>
    <sheetView topLeftCell="O1" workbookViewId="0">
      <selection sqref="A1:AC1"/>
    </sheetView>
  </sheetViews>
  <sheetFormatPr defaultRowHeight="13.2" x14ac:dyDescent="0.25"/>
  <cols>
    <col min="1" max="1" width="12.109375" style="67" bestFit="1" customWidth="1"/>
    <col min="2" max="2" width="14.6640625" style="67" bestFit="1" customWidth="1"/>
    <col min="3" max="3" width="23.6640625" style="67" bestFit="1" customWidth="1"/>
    <col min="4" max="4" width="12.21875" style="67" customWidth="1"/>
    <col min="5" max="6" width="9" style="67" bestFit="1" customWidth="1"/>
    <col min="7" max="7" width="21.44140625" style="67" bestFit="1" customWidth="1"/>
    <col min="8" max="8" width="8.88671875" style="67"/>
    <col min="9" max="9" width="15" style="67" bestFit="1" customWidth="1"/>
    <col min="10" max="13" width="11.44140625" style="67" bestFit="1" customWidth="1"/>
    <col min="14" max="14" width="14.5546875" style="67" bestFit="1" customWidth="1"/>
    <col min="15" max="15" width="51.77734375" style="67" bestFit="1" customWidth="1"/>
    <col min="16" max="16" width="21.77734375" style="67" bestFit="1" customWidth="1"/>
    <col min="17" max="17" width="14.109375" style="67" bestFit="1" customWidth="1"/>
    <col min="18" max="16384" width="8.88671875" style="67"/>
  </cols>
  <sheetData>
    <row r="1" spans="1:29" ht="27.6" x14ac:dyDescent="0.25">
      <c r="A1" s="35" t="s">
        <v>123</v>
      </c>
      <c r="B1" s="58" t="s">
        <v>1</v>
      </c>
      <c r="C1" s="35" t="s">
        <v>2</v>
      </c>
      <c r="D1" s="58" t="s">
        <v>3</v>
      </c>
      <c r="E1" s="35" t="s">
        <v>4</v>
      </c>
      <c r="F1" s="35" t="s">
        <v>5</v>
      </c>
      <c r="G1" s="35" t="s">
        <v>6</v>
      </c>
      <c r="H1" s="35" t="s">
        <v>7</v>
      </c>
      <c r="I1" s="58" t="s">
        <v>8</v>
      </c>
      <c r="J1" s="35" t="s">
        <v>9</v>
      </c>
      <c r="K1" s="35" t="s">
        <v>10</v>
      </c>
      <c r="L1" s="35" t="s">
        <v>126</v>
      </c>
      <c r="M1" s="35" t="s">
        <v>127</v>
      </c>
      <c r="N1" s="35"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38" t="s">
        <v>353</v>
      </c>
      <c r="B2" s="56" t="s">
        <v>352</v>
      </c>
      <c r="C2" s="70" t="s">
        <v>354</v>
      </c>
      <c r="D2" s="56" t="s">
        <v>355</v>
      </c>
      <c r="E2" s="56" t="s">
        <v>351</v>
      </c>
      <c r="F2" s="56" t="s">
        <v>349</v>
      </c>
      <c r="G2" s="56" t="s">
        <v>330</v>
      </c>
      <c r="H2" s="56" t="s">
        <v>12</v>
      </c>
      <c r="I2" s="56" t="s">
        <v>356</v>
      </c>
      <c r="J2" s="56" t="s">
        <v>115</v>
      </c>
      <c r="K2" s="56"/>
      <c r="L2" s="56"/>
      <c r="M2" s="56"/>
      <c r="N2" s="56" t="s">
        <v>16</v>
      </c>
      <c r="O2" s="71" t="s">
        <v>674</v>
      </c>
      <c r="P2" s="38" t="s">
        <v>17</v>
      </c>
      <c r="Q2" s="72">
        <v>2500</v>
      </c>
      <c r="R2" s="26"/>
      <c r="S2" s="26"/>
      <c r="T2" s="26"/>
      <c r="U2" s="26">
        <v>2500</v>
      </c>
      <c r="V2" s="26"/>
      <c r="W2" s="26"/>
      <c r="X2" s="26"/>
      <c r="Y2" s="26"/>
      <c r="Z2" s="26"/>
      <c r="AA2" s="26"/>
      <c r="AB2" s="26"/>
      <c r="AC2" s="26"/>
    </row>
    <row r="3" spans="1:29" ht="19.95" customHeight="1" x14ac:dyDescent="0.25">
      <c r="A3" s="38" t="s">
        <v>353</v>
      </c>
      <c r="B3" s="56" t="s">
        <v>352</v>
      </c>
      <c r="C3" s="70" t="s">
        <v>354</v>
      </c>
      <c r="D3" s="56" t="s">
        <v>355</v>
      </c>
      <c r="E3" s="56" t="s">
        <v>351</v>
      </c>
      <c r="F3" s="56" t="s">
        <v>349</v>
      </c>
      <c r="G3" s="56" t="s">
        <v>330</v>
      </c>
      <c r="H3" s="56" t="s">
        <v>12</v>
      </c>
      <c r="I3" s="56" t="s">
        <v>356</v>
      </c>
      <c r="J3" s="56" t="s">
        <v>115</v>
      </c>
      <c r="K3" s="56"/>
      <c r="L3" s="56"/>
      <c r="M3" s="56"/>
      <c r="N3" s="56" t="s">
        <v>16</v>
      </c>
      <c r="O3" s="71" t="s">
        <v>750</v>
      </c>
      <c r="P3" s="38" t="s">
        <v>17</v>
      </c>
      <c r="Q3" s="72">
        <v>27</v>
      </c>
      <c r="R3" s="26"/>
      <c r="S3" s="26"/>
      <c r="T3" s="26">
        <v>5</v>
      </c>
      <c r="U3" s="26">
        <v>22</v>
      </c>
      <c r="V3" s="26"/>
      <c r="W3" s="26"/>
      <c r="X3" s="26"/>
      <c r="Y3" s="26"/>
      <c r="Z3" s="26"/>
      <c r="AA3" s="26"/>
      <c r="AB3" s="26"/>
      <c r="AC3" s="26"/>
    </row>
    <row r="4" spans="1:29" ht="19.95" customHeight="1" x14ac:dyDescent="0.25">
      <c r="A4" s="38" t="s">
        <v>353</v>
      </c>
      <c r="B4" s="56" t="s">
        <v>352</v>
      </c>
      <c r="C4" s="70" t="s">
        <v>354</v>
      </c>
      <c r="D4" s="56" t="s">
        <v>355</v>
      </c>
      <c r="E4" s="56" t="s">
        <v>351</v>
      </c>
      <c r="F4" s="56" t="s">
        <v>349</v>
      </c>
      <c r="G4" s="56" t="s">
        <v>330</v>
      </c>
      <c r="H4" s="56" t="s">
        <v>12</v>
      </c>
      <c r="I4" s="56" t="s">
        <v>356</v>
      </c>
      <c r="J4" s="56" t="s">
        <v>115</v>
      </c>
      <c r="K4" s="56"/>
      <c r="L4" s="56"/>
      <c r="M4" s="56"/>
      <c r="N4" s="56" t="s">
        <v>16</v>
      </c>
      <c r="O4" s="71" t="s">
        <v>751</v>
      </c>
      <c r="P4" s="38" t="s">
        <v>17</v>
      </c>
      <c r="Q4" s="72">
        <v>27</v>
      </c>
      <c r="R4" s="26"/>
      <c r="S4" s="26"/>
      <c r="T4" s="26">
        <v>5</v>
      </c>
      <c r="U4" s="26">
        <v>22</v>
      </c>
      <c r="V4" s="26"/>
      <c r="W4" s="26"/>
      <c r="X4" s="26"/>
      <c r="Y4" s="26"/>
      <c r="Z4" s="26"/>
      <c r="AA4" s="26"/>
      <c r="AB4" s="26"/>
      <c r="AC4" s="26"/>
    </row>
    <row r="5" spans="1:29" ht="19.95" customHeight="1" x14ac:dyDescent="0.25">
      <c r="A5" s="38" t="s">
        <v>353</v>
      </c>
      <c r="B5" s="56" t="s">
        <v>352</v>
      </c>
      <c r="C5" s="70" t="s">
        <v>354</v>
      </c>
      <c r="D5" s="56" t="s">
        <v>355</v>
      </c>
      <c r="E5" s="56" t="s">
        <v>351</v>
      </c>
      <c r="F5" s="56" t="s">
        <v>349</v>
      </c>
      <c r="G5" s="56" t="s">
        <v>330</v>
      </c>
      <c r="H5" s="56" t="s">
        <v>12</v>
      </c>
      <c r="I5" s="56" t="s">
        <v>356</v>
      </c>
      <c r="J5" s="56" t="s">
        <v>115</v>
      </c>
      <c r="K5" s="56"/>
      <c r="L5" s="56"/>
      <c r="M5" s="56"/>
      <c r="N5" s="56" t="s">
        <v>16</v>
      </c>
      <c r="O5" s="71" t="s">
        <v>752</v>
      </c>
      <c r="P5" s="38" t="s">
        <v>17</v>
      </c>
      <c r="Q5" s="72">
        <v>4</v>
      </c>
      <c r="R5" s="26"/>
      <c r="S5" s="26"/>
      <c r="T5" s="26"/>
      <c r="U5" s="26">
        <v>4</v>
      </c>
      <c r="V5" s="26"/>
      <c r="W5" s="26"/>
      <c r="X5" s="26"/>
      <c r="Y5" s="26"/>
      <c r="Z5" s="26"/>
      <c r="AA5" s="26"/>
      <c r="AB5" s="26"/>
      <c r="AC5" s="26"/>
    </row>
    <row r="6" spans="1:29" ht="19.95" customHeight="1" x14ac:dyDescent="0.25">
      <c r="A6" s="38" t="s">
        <v>353</v>
      </c>
      <c r="B6" s="56" t="s">
        <v>352</v>
      </c>
      <c r="C6" s="70" t="s">
        <v>354</v>
      </c>
      <c r="D6" s="56" t="s">
        <v>355</v>
      </c>
      <c r="E6" s="56" t="s">
        <v>351</v>
      </c>
      <c r="F6" s="56" t="s">
        <v>349</v>
      </c>
      <c r="G6" s="56" t="s">
        <v>330</v>
      </c>
      <c r="H6" s="56" t="s">
        <v>12</v>
      </c>
      <c r="I6" s="56" t="s">
        <v>356</v>
      </c>
      <c r="J6" s="56" t="s">
        <v>115</v>
      </c>
      <c r="K6" s="56"/>
      <c r="L6" s="56"/>
      <c r="M6" s="56"/>
      <c r="N6" s="56" t="s">
        <v>16</v>
      </c>
      <c r="O6" s="71" t="s">
        <v>753</v>
      </c>
      <c r="P6" s="38" t="s">
        <v>17</v>
      </c>
      <c r="Q6" s="72">
        <v>63</v>
      </c>
      <c r="R6" s="26"/>
      <c r="S6" s="26"/>
      <c r="T6" s="26">
        <v>9</v>
      </c>
      <c r="U6" s="26">
        <v>9</v>
      </c>
      <c r="V6" s="26">
        <v>9</v>
      </c>
      <c r="W6" s="26">
        <v>9</v>
      </c>
      <c r="X6" s="26">
        <v>9</v>
      </c>
      <c r="Y6" s="26">
        <v>9</v>
      </c>
      <c r="Z6" s="26">
        <v>9</v>
      </c>
      <c r="AA6" s="26"/>
      <c r="AB6" s="26"/>
      <c r="AC6" s="26"/>
    </row>
    <row r="7" spans="1:29" ht="19.95" customHeight="1" x14ac:dyDescent="0.25">
      <c r="A7" s="38" t="s">
        <v>353</v>
      </c>
      <c r="B7" s="56" t="s">
        <v>352</v>
      </c>
      <c r="C7" s="70" t="s">
        <v>354</v>
      </c>
      <c r="D7" s="56" t="s">
        <v>355</v>
      </c>
      <c r="E7" s="56" t="s">
        <v>351</v>
      </c>
      <c r="F7" s="56" t="s">
        <v>349</v>
      </c>
      <c r="G7" s="56" t="s">
        <v>330</v>
      </c>
      <c r="H7" s="56" t="s">
        <v>12</v>
      </c>
      <c r="I7" s="56" t="s">
        <v>356</v>
      </c>
      <c r="J7" s="56" t="s">
        <v>115</v>
      </c>
      <c r="K7" s="56"/>
      <c r="L7" s="56"/>
      <c r="M7" s="56"/>
      <c r="N7" s="56" t="s">
        <v>16</v>
      </c>
      <c r="O7" s="71" t="s">
        <v>754</v>
      </c>
      <c r="P7" s="12" t="s">
        <v>331</v>
      </c>
      <c r="Q7" s="72">
        <v>8850</v>
      </c>
      <c r="R7" s="40"/>
      <c r="S7" s="40"/>
      <c r="T7" s="40">
        <v>300</v>
      </c>
      <c r="U7" s="40">
        <v>950</v>
      </c>
      <c r="V7" s="40">
        <v>950</v>
      </c>
      <c r="W7" s="40">
        <v>950</v>
      </c>
      <c r="X7" s="40">
        <v>950</v>
      </c>
      <c r="Y7" s="40">
        <v>950</v>
      </c>
      <c r="Z7" s="40">
        <v>950</v>
      </c>
      <c r="AA7" s="40">
        <v>950</v>
      </c>
      <c r="AB7" s="40">
        <v>950</v>
      </c>
      <c r="AC7" s="40">
        <v>950</v>
      </c>
    </row>
    <row r="8" spans="1:29" ht="19.95" customHeight="1" x14ac:dyDescent="0.25">
      <c r="A8" s="38" t="s">
        <v>353</v>
      </c>
      <c r="B8" s="56" t="s">
        <v>352</v>
      </c>
      <c r="C8" s="70" t="s">
        <v>354</v>
      </c>
      <c r="D8" s="56" t="s">
        <v>355</v>
      </c>
      <c r="E8" s="56" t="s">
        <v>351</v>
      </c>
      <c r="F8" s="56" t="s">
        <v>349</v>
      </c>
      <c r="G8" s="56" t="s">
        <v>330</v>
      </c>
      <c r="H8" s="56" t="s">
        <v>12</v>
      </c>
      <c r="I8" s="56" t="s">
        <v>356</v>
      </c>
      <c r="J8" s="56" t="s">
        <v>115</v>
      </c>
      <c r="K8" s="56"/>
      <c r="L8" s="56"/>
      <c r="M8" s="56"/>
      <c r="N8" s="56" t="s">
        <v>16</v>
      </c>
      <c r="O8" s="71" t="s">
        <v>755</v>
      </c>
      <c r="P8" s="12" t="s">
        <v>17</v>
      </c>
      <c r="Q8" s="72">
        <v>2500</v>
      </c>
      <c r="R8" s="40"/>
      <c r="S8" s="40"/>
      <c r="T8" s="40">
        <v>2500</v>
      </c>
      <c r="U8" s="40"/>
      <c r="V8" s="40"/>
      <c r="W8" s="40"/>
      <c r="X8" s="40"/>
      <c r="Y8" s="40"/>
      <c r="Z8" s="40"/>
      <c r="AA8" s="40"/>
      <c r="AB8" s="40"/>
      <c r="AC8" s="40"/>
    </row>
    <row r="9" spans="1:29" ht="19.95" customHeight="1" x14ac:dyDescent="0.25">
      <c r="A9" s="38" t="s">
        <v>353</v>
      </c>
      <c r="B9" s="56" t="s">
        <v>352</v>
      </c>
      <c r="C9" s="70" t="s">
        <v>354</v>
      </c>
      <c r="D9" s="56" t="s">
        <v>355</v>
      </c>
      <c r="E9" s="56" t="s">
        <v>351</v>
      </c>
      <c r="F9" s="56" t="s">
        <v>349</v>
      </c>
      <c r="G9" s="56" t="s">
        <v>330</v>
      </c>
      <c r="H9" s="56" t="s">
        <v>12</v>
      </c>
      <c r="I9" s="56" t="s">
        <v>356</v>
      </c>
      <c r="J9" s="56" t="s">
        <v>115</v>
      </c>
      <c r="K9" s="56"/>
      <c r="L9" s="56"/>
      <c r="M9" s="56"/>
      <c r="N9" s="56" t="s">
        <v>16</v>
      </c>
      <c r="O9" s="71" t="s">
        <v>756</v>
      </c>
      <c r="P9" s="12" t="s">
        <v>17</v>
      </c>
      <c r="Q9" s="72">
        <v>10</v>
      </c>
      <c r="R9" s="40"/>
      <c r="S9" s="40"/>
      <c r="T9" s="40">
        <v>1</v>
      </c>
      <c r="U9" s="40"/>
      <c r="V9" s="40"/>
      <c r="W9" s="40">
        <v>3</v>
      </c>
      <c r="X9" s="40"/>
      <c r="Y9" s="40"/>
      <c r="Z9" s="40">
        <v>3</v>
      </c>
      <c r="AA9" s="40"/>
      <c r="AB9" s="40"/>
      <c r="AC9" s="40">
        <v>3</v>
      </c>
    </row>
    <row r="10" spans="1:29" ht="19.95" customHeight="1" x14ac:dyDescent="0.25">
      <c r="A10" s="38" t="s">
        <v>353</v>
      </c>
      <c r="B10" s="56" t="s">
        <v>352</v>
      </c>
      <c r="C10" s="70" t="s">
        <v>354</v>
      </c>
      <c r="D10" s="56" t="s">
        <v>355</v>
      </c>
      <c r="E10" s="56" t="s">
        <v>351</v>
      </c>
      <c r="F10" s="56" t="s">
        <v>349</v>
      </c>
      <c r="G10" s="56" t="s">
        <v>330</v>
      </c>
      <c r="H10" s="56" t="s">
        <v>12</v>
      </c>
      <c r="I10" s="56" t="s">
        <v>356</v>
      </c>
      <c r="J10" s="56" t="s">
        <v>115</v>
      </c>
      <c r="K10" s="56"/>
      <c r="L10" s="56"/>
      <c r="M10" s="56"/>
      <c r="N10" s="56" t="s">
        <v>16</v>
      </c>
      <c r="O10" s="71" t="s">
        <v>757</v>
      </c>
      <c r="P10" s="12" t="s">
        <v>765</v>
      </c>
      <c r="Q10" s="72">
        <v>10</v>
      </c>
      <c r="R10" s="40"/>
      <c r="S10" s="40"/>
      <c r="T10" s="40"/>
      <c r="U10" s="40">
        <v>5</v>
      </c>
      <c r="V10" s="40">
        <v>5</v>
      </c>
      <c r="W10" s="40"/>
      <c r="X10" s="40"/>
      <c r="Y10" s="40"/>
      <c r="Z10" s="40"/>
      <c r="AA10" s="40"/>
      <c r="AB10" s="40"/>
      <c r="AC10" s="40"/>
    </row>
    <row r="11" spans="1:29" ht="19.95" customHeight="1" x14ac:dyDescent="0.25">
      <c r="A11" s="38" t="s">
        <v>353</v>
      </c>
      <c r="B11" s="56" t="s">
        <v>352</v>
      </c>
      <c r="C11" s="70" t="s">
        <v>354</v>
      </c>
      <c r="D11" s="56" t="s">
        <v>355</v>
      </c>
      <c r="E11" s="56" t="s">
        <v>351</v>
      </c>
      <c r="F11" s="56" t="s">
        <v>349</v>
      </c>
      <c r="G11" s="56" t="s">
        <v>330</v>
      </c>
      <c r="H11" s="56" t="s">
        <v>12</v>
      </c>
      <c r="I11" s="56" t="s">
        <v>356</v>
      </c>
      <c r="J11" s="56" t="s">
        <v>115</v>
      </c>
      <c r="K11" s="56"/>
      <c r="L11" s="56"/>
      <c r="M11" s="56"/>
      <c r="N11" s="56" t="s">
        <v>16</v>
      </c>
      <c r="O11" s="71" t="s">
        <v>758</v>
      </c>
      <c r="P11" s="73" t="s">
        <v>17</v>
      </c>
      <c r="Q11" s="72">
        <v>12</v>
      </c>
      <c r="R11" s="40">
        <v>1</v>
      </c>
      <c r="S11" s="40">
        <v>1</v>
      </c>
      <c r="T11" s="40">
        <v>1</v>
      </c>
      <c r="U11" s="40">
        <v>1</v>
      </c>
      <c r="V11" s="40">
        <v>1</v>
      </c>
      <c r="W11" s="40">
        <v>1</v>
      </c>
      <c r="X11" s="40">
        <v>1</v>
      </c>
      <c r="Y11" s="40">
        <v>1</v>
      </c>
      <c r="Z11" s="40">
        <v>1</v>
      </c>
      <c r="AA11" s="40">
        <v>1</v>
      </c>
      <c r="AB11" s="40">
        <v>1</v>
      </c>
      <c r="AC11" s="40">
        <v>1</v>
      </c>
    </row>
    <row r="12" spans="1:29" ht="19.95" customHeight="1" x14ac:dyDescent="0.25">
      <c r="A12" s="38" t="s">
        <v>353</v>
      </c>
      <c r="B12" s="56" t="s">
        <v>352</v>
      </c>
      <c r="C12" s="70" t="s">
        <v>354</v>
      </c>
      <c r="D12" s="56" t="s">
        <v>355</v>
      </c>
      <c r="E12" s="56" t="s">
        <v>351</v>
      </c>
      <c r="F12" s="56" t="s">
        <v>349</v>
      </c>
      <c r="G12" s="56" t="s">
        <v>330</v>
      </c>
      <c r="H12" s="56" t="s">
        <v>12</v>
      </c>
      <c r="I12" s="56" t="s">
        <v>356</v>
      </c>
      <c r="J12" s="56" t="s">
        <v>115</v>
      </c>
      <c r="K12" s="56"/>
      <c r="L12" s="56"/>
      <c r="M12" s="56"/>
      <c r="N12" s="56" t="s">
        <v>16</v>
      </c>
      <c r="O12" s="71" t="s">
        <v>759</v>
      </c>
      <c r="P12" s="73" t="s">
        <v>17</v>
      </c>
      <c r="Q12" s="72">
        <v>4</v>
      </c>
      <c r="R12" s="40"/>
      <c r="S12" s="40"/>
      <c r="T12" s="40">
        <v>1</v>
      </c>
      <c r="U12" s="40"/>
      <c r="V12" s="40">
        <v>1</v>
      </c>
      <c r="W12" s="40"/>
      <c r="X12" s="40">
        <v>1</v>
      </c>
      <c r="Y12" s="40"/>
      <c r="Z12" s="40"/>
      <c r="AA12" s="40"/>
      <c r="AB12" s="40">
        <v>1</v>
      </c>
      <c r="AC12" s="40"/>
    </row>
    <row r="13" spans="1:29" ht="19.95" customHeight="1" x14ac:dyDescent="0.25">
      <c r="A13" s="38" t="s">
        <v>353</v>
      </c>
      <c r="B13" s="56" t="s">
        <v>352</v>
      </c>
      <c r="C13" s="70" t="s">
        <v>354</v>
      </c>
      <c r="D13" s="56" t="s">
        <v>355</v>
      </c>
      <c r="E13" s="56" t="s">
        <v>351</v>
      </c>
      <c r="F13" s="56" t="s">
        <v>349</v>
      </c>
      <c r="G13" s="56" t="s">
        <v>330</v>
      </c>
      <c r="H13" s="56" t="s">
        <v>12</v>
      </c>
      <c r="I13" s="56" t="s">
        <v>356</v>
      </c>
      <c r="J13" s="56" t="s">
        <v>115</v>
      </c>
      <c r="K13" s="56"/>
      <c r="L13" s="56"/>
      <c r="M13" s="56"/>
      <c r="N13" s="56" t="s">
        <v>16</v>
      </c>
      <c r="O13" s="71" t="s">
        <v>760</v>
      </c>
      <c r="P13" s="73" t="s">
        <v>17</v>
      </c>
      <c r="Q13" s="72">
        <v>16</v>
      </c>
      <c r="R13" s="40"/>
      <c r="S13" s="40"/>
      <c r="T13" s="40"/>
      <c r="U13" s="40"/>
      <c r="V13" s="40">
        <v>8</v>
      </c>
      <c r="W13" s="40"/>
      <c r="X13" s="40"/>
      <c r="Y13" s="40">
        <v>8</v>
      </c>
      <c r="Z13" s="40"/>
      <c r="AA13" s="40"/>
      <c r="AB13" s="40">
        <v>8</v>
      </c>
      <c r="AC13" s="40"/>
    </row>
    <row r="14" spans="1:29" ht="19.95" customHeight="1" x14ac:dyDescent="0.25">
      <c r="A14" s="38" t="s">
        <v>353</v>
      </c>
      <c r="B14" s="56" t="s">
        <v>352</v>
      </c>
      <c r="C14" s="70" t="s">
        <v>354</v>
      </c>
      <c r="D14" s="56" t="s">
        <v>355</v>
      </c>
      <c r="E14" s="56" t="s">
        <v>351</v>
      </c>
      <c r="F14" s="56" t="s">
        <v>349</v>
      </c>
      <c r="G14" s="56" t="s">
        <v>330</v>
      </c>
      <c r="H14" s="56" t="s">
        <v>12</v>
      </c>
      <c r="I14" s="56" t="s">
        <v>356</v>
      </c>
      <c r="J14" s="56" t="s">
        <v>115</v>
      </c>
      <c r="K14" s="56"/>
      <c r="L14" s="56"/>
      <c r="M14" s="56"/>
      <c r="N14" s="56" t="s">
        <v>16</v>
      </c>
      <c r="O14" s="71" t="s">
        <v>761</v>
      </c>
      <c r="P14" s="73" t="s">
        <v>17</v>
      </c>
      <c r="Q14" s="72">
        <v>30</v>
      </c>
      <c r="R14" s="40"/>
      <c r="S14" s="40"/>
      <c r="T14" s="40"/>
      <c r="U14" s="40"/>
      <c r="V14" s="40">
        <v>15</v>
      </c>
      <c r="W14" s="40">
        <v>15</v>
      </c>
      <c r="X14" s="40"/>
      <c r="Y14" s="40"/>
      <c r="Z14" s="40"/>
      <c r="AA14" s="40"/>
      <c r="AB14" s="40"/>
      <c r="AC14" s="40"/>
    </row>
    <row r="15" spans="1:29" ht="19.95" customHeight="1" x14ac:dyDescent="0.25">
      <c r="A15" s="38" t="s">
        <v>353</v>
      </c>
      <c r="B15" s="56" t="s">
        <v>352</v>
      </c>
      <c r="C15" s="70" t="s">
        <v>354</v>
      </c>
      <c r="D15" s="56" t="s">
        <v>355</v>
      </c>
      <c r="E15" s="56" t="s">
        <v>351</v>
      </c>
      <c r="F15" s="56" t="s">
        <v>349</v>
      </c>
      <c r="G15" s="56" t="s">
        <v>330</v>
      </c>
      <c r="H15" s="56" t="s">
        <v>12</v>
      </c>
      <c r="I15" s="56" t="s">
        <v>356</v>
      </c>
      <c r="J15" s="56" t="s">
        <v>115</v>
      </c>
      <c r="K15" s="56"/>
      <c r="L15" s="56"/>
      <c r="M15" s="56"/>
      <c r="N15" s="56" t="s">
        <v>16</v>
      </c>
      <c r="O15" s="71" t="s">
        <v>762</v>
      </c>
      <c r="P15" s="12" t="s">
        <v>17</v>
      </c>
      <c r="Q15" s="72">
        <v>3</v>
      </c>
      <c r="R15" s="40"/>
      <c r="S15" s="40"/>
      <c r="T15" s="40"/>
      <c r="U15" s="40">
        <v>1</v>
      </c>
      <c r="V15" s="40">
        <v>2</v>
      </c>
      <c r="W15" s="40"/>
      <c r="X15" s="40"/>
      <c r="Y15" s="40"/>
      <c r="Z15" s="40"/>
      <c r="AA15" s="40"/>
      <c r="AB15" s="40"/>
      <c r="AC15" s="40"/>
    </row>
    <row r="16" spans="1:29" ht="19.95" customHeight="1" x14ac:dyDescent="0.25">
      <c r="A16" s="38" t="s">
        <v>353</v>
      </c>
      <c r="B16" s="56" t="s">
        <v>352</v>
      </c>
      <c r="C16" s="70" t="s">
        <v>354</v>
      </c>
      <c r="D16" s="56" t="s">
        <v>355</v>
      </c>
      <c r="E16" s="56" t="s">
        <v>351</v>
      </c>
      <c r="F16" s="56" t="s">
        <v>349</v>
      </c>
      <c r="G16" s="56" t="s">
        <v>330</v>
      </c>
      <c r="H16" s="56" t="s">
        <v>12</v>
      </c>
      <c r="I16" s="56" t="s">
        <v>356</v>
      </c>
      <c r="J16" s="56" t="s">
        <v>115</v>
      </c>
      <c r="K16" s="56"/>
      <c r="L16" s="56"/>
      <c r="M16" s="56"/>
      <c r="N16" s="56" t="s">
        <v>16</v>
      </c>
      <c r="O16" s="71" t="s">
        <v>764</v>
      </c>
      <c r="P16" s="12" t="s">
        <v>17</v>
      </c>
      <c r="Q16" s="72">
        <v>20</v>
      </c>
      <c r="R16" s="40"/>
      <c r="S16" s="40"/>
      <c r="T16" s="40"/>
      <c r="U16" s="40">
        <v>20</v>
      </c>
      <c r="V16" s="40"/>
      <c r="W16" s="40"/>
      <c r="X16" s="40"/>
      <c r="Y16" s="40"/>
      <c r="Z16" s="40"/>
      <c r="AA16" s="40"/>
      <c r="AB16" s="40"/>
      <c r="AC16" s="40"/>
    </row>
    <row r="17" spans="1:29" ht="19.95" customHeight="1" x14ac:dyDescent="0.25">
      <c r="A17" s="38" t="s">
        <v>353</v>
      </c>
      <c r="B17" s="56" t="s">
        <v>352</v>
      </c>
      <c r="C17" s="70" t="s">
        <v>354</v>
      </c>
      <c r="D17" s="56" t="s">
        <v>355</v>
      </c>
      <c r="E17" s="56" t="s">
        <v>351</v>
      </c>
      <c r="F17" s="56" t="s">
        <v>349</v>
      </c>
      <c r="G17" s="56" t="s">
        <v>330</v>
      </c>
      <c r="H17" s="56" t="s">
        <v>12</v>
      </c>
      <c r="I17" s="56" t="s">
        <v>356</v>
      </c>
      <c r="J17" s="56" t="s">
        <v>115</v>
      </c>
      <c r="K17" s="56"/>
      <c r="L17" s="56"/>
      <c r="M17" s="56"/>
      <c r="N17" s="56" t="s">
        <v>16</v>
      </c>
      <c r="O17" s="71" t="s">
        <v>335</v>
      </c>
      <c r="P17" s="12" t="s">
        <v>17</v>
      </c>
      <c r="Q17" s="72">
        <v>12</v>
      </c>
      <c r="R17" s="40">
        <v>1</v>
      </c>
      <c r="S17" s="40">
        <v>1</v>
      </c>
      <c r="T17" s="40">
        <v>1</v>
      </c>
      <c r="U17" s="40">
        <v>1</v>
      </c>
      <c r="V17" s="40">
        <v>1</v>
      </c>
      <c r="W17" s="40">
        <v>1</v>
      </c>
      <c r="X17" s="40">
        <v>1</v>
      </c>
      <c r="Y17" s="40">
        <v>1</v>
      </c>
      <c r="Z17" s="40">
        <v>1</v>
      </c>
      <c r="AA17" s="40">
        <v>1</v>
      </c>
      <c r="AB17" s="40">
        <v>1</v>
      </c>
      <c r="AC17" s="40">
        <v>1</v>
      </c>
    </row>
    <row r="18" spans="1:29" ht="19.95" customHeight="1" x14ac:dyDescent="0.25">
      <c r="A18" s="38" t="s">
        <v>353</v>
      </c>
      <c r="B18" s="56" t="s">
        <v>352</v>
      </c>
      <c r="C18" s="70" t="s">
        <v>354</v>
      </c>
      <c r="D18" s="56" t="s">
        <v>355</v>
      </c>
      <c r="E18" s="56" t="s">
        <v>351</v>
      </c>
      <c r="F18" s="56" t="s">
        <v>349</v>
      </c>
      <c r="G18" s="56" t="s">
        <v>330</v>
      </c>
      <c r="H18" s="56" t="s">
        <v>12</v>
      </c>
      <c r="I18" s="56" t="s">
        <v>356</v>
      </c>
      <c r="J18" s="56" t="s">
        <v>115</v>
      </c>
      <c r="K18" s="56"/>
      <c r="L18" s="56"/>
      <c r="M18" s="56"/>
      <c r="N18" s="56" t="s">
        <v>16</v>
      </c>
      <c r="O18" s="71" t="s">
        <v>336</v>
      </c>
      <c r="P18" s="12" t="s">
        <v>17</v>
      </c>
      <c r="Q18" s="72">
        <v>12</v>
      </c>
      <c r="R18" s="40">
        <v>1</v>
      </c>
      <c r="S18" s="40">
        <v>1</v>
      </c>
      <c r="T18" s="40">
        <v>1</v>
      </c>
      <c r="U18" s="40">
        <v>1</v>
      </c>
      <c r="V18" s="40">
        <v>1</v>
      </c>
      <c r="W18" s="40">
        <v>1</v>
      </c>
      <c r="X18" s="40">
        <v>1</v>
      </c>
      <c r="Y18" s="40">
        <v>1</v>
      </c>
      <c r="Z18" s="40">
        <v>1</v>
      </c>
      <c r="AA18" s="40">
        <v>1</v>
      </c>
      <c r="AB18" s="40">
        <v>1</v>
      </c>
      <c r="AC18" s="40">
        <v>1</v>
      </c>
    </row>
    <row r="19" spans="1:29" ht="19.95" customHeight="1" x14ac:dyDescent="0.25">
      <c r="A19" s="38" t="s">
        <v>353</v>
      </c>
      <c r="B19" s="56" t="s">
        <v>352</v>
      </c>
      <c r="C19" s="70" t="s">
        <v>354</v>
      </c>
      <c r="D19" s="56" t="s">
        <v>355</v>
      </c>
      <c r="E19" s="56" t="s">
        <v>351</v>
      </c>
      <c r="F19" s="56" t="s">
        <v>349</v>
      </c>
      <c r="G19" s="56" t="s">
        <v>330</v>
      </c>
      <c r="H19" s="56" t="s">
        <v>12</v>
      </c>
      <c r="I19" s="56" t="s">
        <v>356</v>
      </c>
      <c r="J19" s="56" t="s">
        <v>115</v>
      </c>
      <c r="K19" s="56"/>
      <c r="L19" s="56"/>
      <c r="M19" s="56"/>
      <c r="N19" s="56" t="s">
        <v>16</v>
      </c>
      <c r="O19" s="71" t="s">
        <v>337</v>
      </c>
      <c r="P19" s="12" t="s">
        <v>17</v>
      </c>
      <c r="Q19" s="72">
        <v>2500</v>
      </c>
      <c r="R19" s="40"/>
      <c r="S19" s="40"/>
      <c r="T19" s="40"/>
      <c r="U19" s="40">
        <v>500</v>
      </c>
      <c r="V19" s="40">
        <v>1000</v>
      </c>
      <c r="W19" s="40">
        <v>1000</v>
      </c>
      <c r="X19" s="40"/>
      <c r="Y19" s="40"/>
      <c r="Z19" s="40"/>
      <c r="AA19" s="40"/>
      <c r="AB19" s="40"/>
      <c r="AC19" s="40"/>
    </row>
    <row r="20" spans="1:29" ht="19.95" customHeight="1" x14ac:dyDescent="0.25">
      <c r="A20" s="38" t="s">
        <v>353</v>
      </c>
      <c r="B20" s="56" t="s">
        <v>352</v>
      </c>
      <c r="C20" s="70" t="s">
        <v>354</v>
      </c>
      <c r="D20" s="56" t="s">
        <v>355</v>
      </c>
      <c r="E20" s="56" t="s">
        <v>351</v>
      </c>
      <c r="F20" s="56" t="s">
        <v>349</v>
      </c>
      <c r="G20" s="56" t="s">
        <v>330</v>
      </c>
      <c r="H20" s="56" t="s">
        <v>12</v>
      </c>
      <c r="I20" s="56" t="s">
        <v>356</v>
      </c>
      <c r="J20" s="56" t="s">
        <v>115</v>
      </c>
      <c r="K20" s="56"/>
      <c r="L20" s="56"/>
      <c r="M20" s="56"/>
      <c r="N20" s="56" t="s">
        <v>16</v>
      </c>
      <c r="O20" s="71" t="s">
        <v>338</v>
      </c>
      <c r="P20" s="12" t="s">
        <v>17</v>
      </c>
      <c r="Q20" s="72">
        <v>5</v>
      </c>
      <c r="R20" s="40"/>
      <c r="S20" s="40"/>
      <c r="T20" s="40"/>
      <c r="U20" s="40"/>
      <c r="V20" s="40"/>
      <c r="W20" s="40"/>
      <c r="X20" s="40">
        <v>8</v>
      </c>
      <c r="Y20" s="40"/>
      <c r="Z20" s="40"/>
      <c r="AA20" s="40"/>
      <c r="AB20" s="40"/>
      <c r="AC20" s="40"/>
    </row>
    <row r="21" spans="1:29" ht="19.95" customHeight="1" x14ac:dyDescent="0.25">
      <c r="A21" s="38" t="s">
        <v>353</v>
      </c>
      <c r="B21" s="56" t="s">
        <v>352</v>
      </c>
      <c r="C21" s="70" t="s">
        <v>354</v>
      </c>
      <c r="D21" s="56" t="s">
        <v>355</v>
      </c>
      <c r="E21" s="56" t="s">
        <v>351</v>
      </c>
      <c r="F21" s="56" t="s">
        <v>349</v>
      </c>
      <c r="G21" s="56" t="s">
        <v>330</v>
      </c>
      <c r="H21" s="56" t="s">
        <v>12</v>
      </c>
      <c r="I21" s="56" t="s">
        <v>356</v>
      </c>
      <c r="J21" s="56" t="s">
        <v>115</v>
      </c>
      <c r="K21" s="56"/>
      <c r="L21" s="56"/>
      <c r="M21" s="56"/>
      <c r="N21" s="56" t="s">
        <v>16</v>
      </c>
      <c r="O21" s="71" t="s">
        <v>339</v>
      </c>
      <c r="P21" s="12" t="s">
        <v>17</v>
      </c>
      <c r="Q21" s="72">
        <v>5</v>
      </c>
      <c r="R21" s="40"/>
      <c r="S21" s="40"/>
      <c r="T21" s="40"/>
      <c r="U21" s="40"/>
      <c r="V21" s="40"/>
      <c r="W21" s="40">
        <v>8</v>
      </c>
      <c r="X21" s="40"/>
      <c r="Y21" s="40"/>
      <c r="Z21" s="40"/>
      <c r="AA21" s="40"/>
      <c r="AB21" s="40"/>
      <c r="AC21" s="40"/>
    </row>
    <row r="22" spans="1:29" ht="19.95" customHeight="1" x14ac:dyDescent="0.25">
      <c r="A22" s="38" t="s">
        <v>353</v>
      </c>
      <c r="B22" s="56" t="s">
        <v>352</v>
      </c>
      <c r="C22" s="70" t="s">
        <v>354</v>
      </c>
      <c r="D22" s="56" t="s">
        <v>355</v>
      </c>
      <c r="E22" s="56" t="s">
        <v>351</v>
      </c>
      <c r="F22" s="56" t="s">
        <v>349</v>
      </c>
      <c r="G22" s="56" t="s">
        <v>330</v>
      </c>
      <c r="H22" s="56" t="s">
        <v>12</v>
      </c>
      <c r="I22" s="56" t="s">
        <v>356</v>
      </c>
      <c r="J22" s="56" t="s">
        <v>115</v>
      </c>
      <c r="K22" s="56"/>
      <c r="L22" s="56"/>
      <c r="M22" s="56"/>
      <c r="N22" s="56" t="s">
        <v>16</v>
      </c>
      <c r="O22" s="71" t="s">
        <v>340</v>
      </c>
      <c r="P22" s="12" t="s">
        <v>331</v>
      </c>
      <c r="Q22" s="72">
        <v>1236</v>
      </c>
      <c r="R22" s="40"/>
      <c r="S22" s="40"/>
      <c r="T22" s="40"/>
      <c r="U22" s="40"/>
      <c r="V22" s="40">
        <v>1236</v>
      </c>
      <c r="W22" s="40"/>
      <c r="X22" s="40"/>
      <c r="Y22" s="40"/>
      <c r="Z22" s="40"/>
      <c r="AA22" s="40"/>
      <c r="AB22" s="40"/>
      <c r="AC22" s="40"/>
    </row>
    <row r="23" spans="1:29" ht="19.95" customHeight="1" x14ac:dyDescent="0.25">
      <c r="A23" s="38" t="s">
        <v>353</v>
      </c>
      <c r="B23" s="56" t="s">
        <v>352</v>
      </c>
      <c r="C23" s="70" t="s">
        <v>354</v>
      </c>
      <c r="D23" s="56" t="s">
        <v>355</v>
      </c>
      <c r="E23" s="56" t="s">
        <v>351</v>
      </c>
      <c r="F23" s="56" t="s">
        <v>349</v>
      </c>
      <c r="G23" s="56" t="s">
        <v>330</v>
      </c>
      <c r="H23" s="56" t="s">
        <v>12</v>
      </c>
      <c r="I23" s="56" t="s">
        <v>356</v>
      </c>
      <c r="J23" s="56" t="s">
        <v>115</v>
      </c>
      <c r="K23" s="56"/>
      <c r="L23" s="56"/>
      <c r="M23" s="56"/>
      <c r="N23" s="56" t="s">
        <v>16</v>
      </c>
      <c r="O23" s="71" t="s">
        <v>341</v>
      </c>
      <c r="P23" s="12" t="s">
        <v>17</v>
      </c>
      <c r="Q23" s="72">
        <v>2500</v>
      </c>
      <c r="R23" s="40"/>
      <c r="S23" s="40"/>
      <c r="T23" s="40"/>
      <c r="U23" s="40">
        <v>500</v>
      </c>
      <c r="V23" s="40">
        <v>1000</v>
      </c>
      <c r="W23" s="40">
        <v>1000</v>
      </c>
      <c r="X23" s="40"/>
      <c r="Y23" s="40"/>
      <c r="Z23" s="40"/>
      <c r="AA23" s="40"/>
      <c r="AB23" s="40"/>
      <c r="AC23" s="40"/>
    </row>
    <row r="24" spans="1:29" ht="19.95" customHeight="1" x14ac:dyDescent="0.25">
      <c r="A24" s="38" t="s">
        <v>353</v>
      </c>
      <c r="B24" s="56" t="s">
        <v>352</v>
      </c>
      <c r="C24" s="70" t="s">
        <v>354</v>
      </c>
      <c r="D24" s="56" t="s">
        <v>355</v>
      </c>
      <c r="E24" s="56" t="s">
        <v>351</v>
      </c>
      <c r="F24" s="56" t="s">
        <v>349</v>
      </c>
      <c r="G24" s="56" t="s">
        <v>330</v>
      </c>
      <c r="H24" s="56" t="s">
        <v>12</v>
      </c>
      <c r="I24" s="56" t="s">
        <v>356</v>
      </c>
      <c r="J24" s="56" t="s">
        <v>115</v>
      </c>
      <c r="K24" s="56"/>
      <c r="L24" s="56"/>
      <c r="M24" s="56"/>
      <c r="N24" s="56" t="s">
        <v>16</v>
      </c>
      <c r="O24" s="71" t="s">
        <v>342</v>
      </c>
      <c r="P24" s="12" t="s">
        <v>17</v>
      </c>
      <c r="Q24" s="72">
        <v>12</v>
      </c>
      <c r="R24" s="40">
        <v>1</v>
      </c>
      <c r="S24" s="40">
        <v>1</v>
      </c>
      <c r="T24" s="40">
        <v>1</v>
      </c>
      <c r="U24" s="40">
        <v>1</v>
      </c>
      <c r="V24" s="40">
        <v>1</v>
      </c>
      <c r="W24" s="40">
        <v>1</v>
      </c>
      <c r="X24" s="40">
        <v>1</v>
      </c>
      <c r="Y24" s="40">
        <v>1</v>
      </c>
      <c r="Z24" s="40">
        <v>1</v>
      </c>
      <c r="AA24" s="40">
        <v>1</v>
      </c>
      <c r="AB24" s="40">
        <v>1</v>
      </c>
      <c r="AC24" s="40">
        <v>1</v>
      </c>
    </row>
    <row r="25" spans="1:29" ht="19.95" customHeight="1" x14ac:dyDescent="0.25">
      <c r="A25" s="38" t="s">
        <v>353</v>
      </c>
      <c r="B25" s="56" t="s">
        <v>352</v>
      </c>
      <c r="C25" s="70" t="s">
        <v>354</v>
      </c>
      <c r="D25" s="56" t="s">
        <v>355</v>
      </c>
      <c r="E25" s="56" t="s">
        <v>351</v>
      </c>
      <c r="F25" s="56" t="s">
        <v>349</v>
      </c>
      <c r="G25" s="56" t="s">
        <v>330</v>
      </c>
      <c r="H25" s="56" t="s">
        <v>12</v>
      </c>
      <c r="I25" s="56" t="s">
        <v>356</v>
      </c>
      <c r="J25" s="56" t="s">
        <v>115</v>
      </c>
      <c r="K25" s="56"/>
      <c r="L25" s="56"/>
      <c r="M25" s="56"/>
      <c r="N25" s="56" t="s">
        <v>16</v>
      </c>
      <c r="O25" s="71" t="s">
        <v>343</v>
      </c>
      <c r="P25" s="12" t="s">
        <v>17</v>
      </c>
      <c r="Q25" s="72">
        <v>100</v>
      </c>
      <c r="R25" s="40"/>
      <c r="S25" s="40"/>
      <c r="T25" s="40"/>
      <c r="U25" s="40"/>
      <c r="V25" s="40"/>
      <c r="W25" s="40"/>
      <c r="X25" s="40"/>
      <c r="Y25" s="40"/>
      <c r="Z25" s="40"/>
      <c r="AA25" s="40">
        <v>50</v>
      </c>
      <c r="AB25" s="40">
        <v>50</v>
      </c>
      <c r="AC25" s="40"/>
    </row>
    <row r="26" spans="1:29" ht="19.95" customHeight="1" x14ac:dyDescent="0.25">
      <c r="A26" s="38" t="s">
        <v>353</v>
      </c>
      <c r="B26" s="56" t="s">
        <v>352</v>
      </c>
      <c r="C26" s="70" t="s">
        <v>354</v>
      </c>
      <c r="D26" s="56" t="s">
        <v>355</v>
      </c>
      <c r="E26" s="56" t="s">
        <v>351</v>
      </c>
      <c r="F26" s="56" t="s">
        <v>349</v>
      </c>
      <c r="G26" s="56" t="s">
        <v>330</v>
      </c>
      <c r="H26" s="56" t="s">
        <v>12</v>
      </c>
      <c r="I26" s="56" t="s">
        <v>356</v>
      </c>
      <c r="J26" s="56" t="s">
        <v>115</v>
      </c>
      <c r="K26" s="56"/>
      <c r="L26" s="56"/>
      <c r="M26" s="56"/>
      <c r="N26" s="56" t="s">
        <v>16</v>
      </c>
      <c r="O26" s="71" t="s">
        <v>344</v>
      </c>
      <c r="P26" s="65" t="s">
        <v>333</v>
      </c>
      <c r="Q26" s="72">
        <v>0.5</v>
      </c>
      <c r="R26" s="40"/>
      <c r="S26" s="40"/>
      <c r="T26" s="40"/>
      <c r="U26" s="40"/>
      <c r="V26" s="40"/>
      <c r="W26" s="40"/>
      <c r="X26" s="40"/>
      <c r="Y26" s="40"/>
      <c r="Z26" s="40"/>
      <c r="AA26" s="40">
        <v>0.25</v>
      </c>
      <c r="AB26" s="40">
        <v>0.25</v>
      </c>
      <c r="AC26" s="40"/>
    </row>
    <row r="27" spans="1:29" ht="19.95" customHeight="1" x14ac:dyDescent="0.25">
      <c r="A27" s="38" t="s">
        <v>353</v>
      </c>
      <c r="B27" s="56" t="s">
        <v>352</v>
      </c>
      <c r="C27" s="70" t="s">
        <v>354</v>
      </c>
      <c r="D27" s="56" t="s">
        <v>355</v>
      </c>
      <c r="E27" s="56" t="s">
        <v>351</v>
      </c>
      <c r="F27" s="56" t="s">
        <v>349</v>
      </c>
      <c r="G27" s="56" t="s">
        <v>330</v>
      </c>
      <c r="H27" s="56" t="s">
        <v>12</v>
      </c>
      <c r="I27" s="56" t="s">
        <v>356</v>
      </c>
      <c r="J27" s="56" t="s">
        <v>115</v>
      </c>
      <c r="K27" s="56"/>
      <c r="L27" s="56"/>
      <c r="M27" s="56"/>
      <c r="N27" s="56" t="s">
        <v>16</v>
      </c>
      <c r="O27" s="71" t="s">
        <v>345</v>
      </c>
      <c r="P27" s="65" t="s">
        <v>334</v>
      </c>
      <c r="Q27" s="72">
        <v>18750</v>
      </c>
      <c r="R27" s="40"/>
      <c r="S27" s="40"/>
      <c r="T27" s="40"/>
      <c r="U27" s="40"/>
      <c r="V27" s="40"/>
      <c r="W27" s="40"/>
      <c r="X27" s="40"/>
      <c r="Y27" s="40">
        <v>1000</v>
      </c>
      <c r="Z27" s="40">
        <v>5000</v>
      </c>
      <c r="AA27" s="40">
        <v>8000</v>
      </c>
      <c r="AB27" s="40">
        <v>4750</v>
      </c>
      <c r="AC27" s="40"/>
    </row>
    <row r="28" spans="1:29" ht="19.95" customHeight="1" x14ac:dyDescent="0.25">
      <c r="A28" s="38" t="s">
        <v>353</v>
      </c>
      <c r="B28" s="56" t="s">
        <v>352</v>
      </c>
      <c r="C28" s="70" t="s">
        <v>354</v>
      </c>
      <c r="D28" s="56" t="s">
        <v>355</v>
      </c>
      <c r="E28" s="56" t="s">
        <v>351</v>
      </c>
      <c r="F28" s="56" t="s">
        <v>349</v>
      </c>
      <c r="G28" s="56" t="s">
        <v>330</v>
      </c>
      <c r="H28" s="56" t="s">
        <v>12</v>
      </c>
      <c r="I28" s="56" t="s">
        <v>356</v>
      </c>
      <c r="J28" s="56" t="s">
        <v>115</v>
      </c>
      <c r="K28" s="56"/>
      <c r="L28" s="56"/>
      <c r="M28" s="56"/>
      <c r="N28" s="56" t="s">
        <v>16</v>
      </c>
      <c r="O28" s="71" t="s">
        <v>346</v>
      </c>
      <c r="P28" s="40" t="s">
        <v>333</v>
      </c>
      <c r="Q28" s="72">
        <v>2.5</v>
      </c>
      <c r="R28" s="40"/>
      <c r="S28" s="40"/>
      <c r="T28" s="40">
        <v>0.5</v>
      </c>
      <c r="U28" s="40"/>
      <c r="V28" s="40"/>
      <c r="W28" s="40"/>
      <c r="X28" s="40"/>
      <c r="Y28" s="40"/>
      <c r="Z28" s="40"/>
      <c r="AA28" s="40"/>
      <c r="AB28" s="40">
        <v>1</v>
      </c>
      <c r="AC28" s="40">
        <v>1</v>
      </c>
    </row>
  </sheetData>
  <hyperlinks>
    <hyperlink ref="C2" r:id="rId1" xr:uid="{009B43CC-7B6B-4E0A-ADB2-9E4989314854}"/>
    <hyperlink ref="C3" r:id="rId2" xr:uid="{23839B08-9FFE-44D4-BC55-4AB2669CF806}"/>
    <hyperlink ref="C4" r:id="rId3" xr:uid="{1739EC63-B1D8-4C77-B37A-EFB39DB4C52E}"/>
    <hyperlink ref="C5" r:id="rId4" xr:uid="{FB630858-4363-40EE-AC56-8459D22E19C5}"/>
    <hyperlink ref="C6" r:id="rId5" xr:uid="{ED338FC1-096B-4C69-AAD4-11FB36C5D69B}"/>
    <hyperlink ref="C7" r:id="rId6" xr:uid="{6C37E237-99A6-4C62-B3F4-0847D847A885}"/>
    <hyperlink ref="C8" r:id="rId7" xr:uid="{C64B700B-AC19-4095-B452-E867407DCC1C}"/>
    <hyperlink ref="C9" r:id="rId8" xr:uid="{AC00A6AE-D915-45AD-AF4A-A679820E39D8}"/>
    <hyperlink ref="C10" r:id="rId9" xr:uid="{84EBFA8D-CC42-44BD-9392-5812C0CCA4ED}"/>
    <hyperlink ref="C11" r:id="rId10" xr:uid="{B6FF9A36-EE9C-4DB4-9264-278CB09C93BB}"/>
    <hyperlink ref="C12" r:id="rId11" xr:uid="{D607E8C9-D169-4522-835E-BADDD4CC6CE3}"/>
    <hyperlink ref="C13" r:id="rId12" xr:uid="{066DC32E-DBDF-440F-AA0A-92759CB3C027}"/>
    <hyperlink ref="C14" r:id="rId13" xr:uid="{9B4090EF-1975-4594-AF82-DBCBF12A9B28}"/>
    <hyperlink ref="C15" r:id="rId14" xr:uid="{9B856B2E-2650-4986-B5F5-80F9ACE95A41}"/>
    <hyperlink ref="C16" r:id="rId15" xr:uid="{3DF2D8CD-7E22-40F6-8200-1387A3E414E4}"/>
    <hyperlink ref="C17" r:id="rId16" xr:uid="{EA283E83-B484-4EF9-9516-DD0B1D84E622}"/>
    <hyperlink ref="C18" r:id="rId17" xr:uid="{40096BBE-82A5-4C4C-AFF8-6D8D4FA6C301}"/>
    <hyperlink ref="C19" r:id="rId18" xr:uid="{6C2597B6-2789-425B-8515-8038BCFCC5DC}"/>
    <hyperlink ref="C20" r:id="rId19" xr:uid="{345DD4E9-4B08-4A57-A553-8FC2F9F2103B}"/>
    <hyperlink ref="C21" r:id="rId20" xr:uid="{E755C933-7153-42FD-A027-C2D95D4F359D}"/>
    <hyperlink ref="C22" r:id="rId21" xr:uid="{B6A12320-0548-434D-9563-F4958369BED5}"/>
    <hyperlink ref="C23" r:id="rId22" xr:uid="{45B7FF7A-69E5-4B4D-8525-DDBDB1ACFEC4}"/>
    <hyperlink ref="C24" r:id="rId23" xr:uid="{0121FCD1-408F-4B7E-BC85-6A4FDB991E6C}"/>
    <hyperlink ref="C25" r:id="rId24" xr:uid="{057A6885-451C-49CE-80DE-B96705442811}"/>
    <hyperlink ref="C26" r:id="rId25" xr:uid="{71614FE5-0F77-4062-8D99-0CE0E0F3DB08}"/>
    <hyperlink ref="C27" r:id="rId26" xr:uid="{D4A3365C-EE63-424E-8439-180842470127}"/>
    <hyperlink ref="C28" r:id="rId27" xr:uid="{B526CCD6-A479-434F-98E2-84C5ABAB3A9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CAF3C-D2C7-4323-A1D1-AAB7AAFA31D3}">
  <dimension ref="A1:AC13"/>
  <sheetViews>
    <sheetView topLeftCell="K1" workbookViewId="0">
      <selection activeCell="O19" sqref="O19"/>
    </sheetView>
  </sheetViews>
  <sheetFormatPr defaultRowHeight="13.2" x14ac:dyDescent="0.25"/>
  <cols>
    <col min="1" max="1" width="12.109375" bestFit="1" customWidth="1"/>
    <col min="2" max="2" width="17.21875" bestFit="1" customWidth="1"/>
    <col min="3" max="3" width="36.77734375" bestFit="1" customWidth="1"/>
    <col min="4" max="4" width="12.6640625" customWidth="1"/>
    <col min="5" max="5" width="13.109375" customWidth="1"/>
    <col min="6" max="6" width="9" bestFit="1" customWidth="1"/>
    <col min="7" max="7" width="20.44140625" bestFit="1" customWidth="1"/>
    <col min="8" max="8" width="8.88671875" bestFit="1" customWidth="1"/>
    <col min="9" max="9" width="18.77734375" bestFit="1" customWidth="1"/>
    <col min="10" max="13" width="11.44140625" bestFit="1" customWidth="1"/>
    <col min="14" max="14" width="14.5546875" bestFit="1" customWidth="1"/>
    <col min="15" max="15" width="61.21875" bestFit="1" customWidth="1"/>
    <col min="16" max="16" width="21.77734375" bestFit="1" customWidth="1"/>
    <col min="17" max="17" width="14.33203125" bestFit="1" customWidth="1"/>
    <col min="18" max="29" width="9.6640625" customWidth="1"/>
  </cols>
  <sheetData>
    <row r="1" spans="1:29" ht="43.8" customHeight="1" x14ac:dyDescent="0.25">
      <c r="A1" s="35" t="s">
        <v>123</v>
      </c>
      <c r="B1" s="58" t="s">
        <v>1</v>
      </c>
      <c r="C1" s="35" t="s">
        <v>2</v>
      </c>
      <c r="D1" s="58" t="s">
        <v>3</v>
      </c>
      <c r="E1" s="35" t="s">
        <v>4</v>
      </c>
      <c r="F1" s="35" t="s">
        <v>5</v>
      </c>
      <c r="G1" s="35" t="s">
        <v>6</v>
      </c>
      <c r="H1" s="35" t="s">
        <v>7</v>
      </c>
      <c r="I1" s="58" t="s">
        <v>8</v>
      </c>
      <c r="J1" s="35" t="s">
        <v>9</v>
      </c>
      <c r="K1" s="35" t="s">
        <v>10</v>
      </c>
      <c r="L1" s="35" t="s">
        <v>126</v>
      </c>
      <c r="M1" s="35" t="s">
        <v>127</v>
      </c>
      <c r="N1" s="35" t="s">
        <v>11</v>
      </c>
      <c r="O1" s="35" t="s">
        <v>654</v>
      </c>
      <c r="P1" s="35" t="s">
        <v>655</v>
      </c>
      <c r="Q1" s="35" t="s">
        <v>656</v>
      </c>
      <c r="R1" s="35" t="s">
        <v>657</v>
      </c>
      <c r="S1" s="35" t="s">
        <v>658</v>
      </c>
      <c r="T1" s="35" t="s">
        <v>659</v>
      </c>
      <c r="U1" s="35" t="s">
        <v>660</v>
      </c>
      <c r="V1" s="35" t="s">
        <v>661</v>
      </c>
      <c r="W1" s="35" t="s">
        <v>662</v>
      </c>
      <c r="X1" s="35" t="s">
        <v>663</v>
      </c>
      <c r="Y1" s="35" t="s">
        <v>664</v>
      </c>
      <c r="Z1" s="35" t="s">
        <v>665</v>
      </c>
      <c r="AA1" s="35" t="s">
        <v>666</v>
      </c>
      <c r="AB1" s="35" t="s">
        <v>667</v>
      </c>
      <c r="AC1" s="35" t="s">
        <v>668</v>
      </c>
    </row>
    <row r="2" spans="1:29" ht="19.95" customHeight="1" x14ac:dyDescent="0.25">
      <c r="A2" s="38">
        <v>6370229021</v>
      </c>
      <c r="B2" s="56" t="s">
        <v>842</v>
      </c>
      <c r="C2" s="43" t="s">
        <v>843</v>
      </c>
      <c r="D2" s="56" t="s">
        <v>314</v>
      </c>
      <c r="E2" s="56" t="s">
        <v>844</v>
      </c>
      <c r="F2" s="56" t="s">
        <v>349</v>
      </c>
      <c r="G2" s="56" t="s">
        <v>845</v>
      </c>
      <c r="H2" s="56" t="s">
        <v>12</v>
      </c>
      <c r="I2" s="147" t="s">
        <v>841</v>
      </c>
      <c r="J2" s="56"/>
      <c r="K2" s="56"/>
      <c r="L2" s="56"/>
      <c r="M2" s="56"/>
      <c r="N2" s="56" t="s">
        <v>16</v>
      </c>
      <c r="O2" s="64" t="s">
        <v>846</v>
      </c>
      <c r="P2" s="56" t="s">
        <v>837</v>
      </c>
      <c r="Q2" s="56">
        <v>9</v>
      </c>
      <c r="R2" s="56">
        <v>1</v>
      </c>
      <c r="S2" s="56"/>
      <c r="T2" s="56"/>
      <c r="U2" s="56">
        <v>1</v>
      </c>
      <c r="V2" s="56">
        <v>1</v>
      </c>
      <c r="W2" s="56">
        <v>1</v>
      </c>
      <c r="X2" s="56">
        <v>1</v>
      </c>
      <c r="Y2" s="56">
        <v>1</v>
      </c>
      <c r="Z2" s="56">
        <v>1</v>
      </c>
      <c r="AA2" s="56">
        <v>1</v>
      </c>
      <c r="AB2" s="56"/>
      <c r="AC2" s="56">
        <v>1</v>
      </c>
    </row>
    <row r="3" spans="1:29" ht="19.95" customHeight="1" x14ac:dyDescent="0.25">
      <c r="A3" s="38">
        <v>6370229021</v>
      </c>
      <c r="B3" s="56" t="s">
        <v>842</v>
      </c>
      <c r="C3" s="43" t="s">
        <v>843</v>
      </c>
      <c r="D3" s="56" t="s">
        <v>314</v>
      </c>
      <c r="E3" s="56" t="s">
        <v>844</v>
      </c>
      <c r="F3" s="56" t="s">
        <v>349</v>
      </c>
      <c r="G3" s="56" t="s">
        <v>845</v>
      </c>
      <c r="H3" s="56" t="s">
        <v>12</v>
      </c>
      <c r="I3" s="147" t="s">
        <v>841</v>
      </c>
      <c r="J3" s="56"/>
      <c r="K3" s="56"/>
      <c r="L3" s="56"/>
      <c r="M3" s="56"/>
      <c r="N3" s="56" t="s">
        <v>16</v>
      </c>
      <c r="O3" s="64" t="s">
        <v>847</v>
      </c>
      <c r="P3" s="56" t="s">
        <v>21</v>
      </c>
      <c r="Q3" s="107">
        <v>1</v>
      </c>
      <c r="R3" s="107"/>
      <c r="S3" s="107"/>
      <c r="T3" s="107">
        <v>1</v>
      </c>
      <c r="U3" s="107">
        <v>1</v>
      </c>
      <c r="V3" s="107">
        <v>1</v>
      </c>
      <c r="W3" s="107">
        <v>1</v>
      </c>
      <c r="X3" s="107">
        <v>1</v>
      </c>
      <c r="Y3" s="107">
        <v>1</v>
      </c>
      <c r="Z3" s="107">
        <v>1</v>
      </c>
      <c r="AA3" s="107">
        <v>1</v>
      </c>
      <c r="AB3" s="107">
        <v>1</v>
      </c>
      <c r="AC3" s="107">
        <v>1</v>
      </c>
    </row>
    <row r="4" spans="1:29" ht="19.95" customHeight="1" x14ac:dyDescent="0.25">
      <c r="A4" s="38">
        <v>6370229021</v>
      </c>
      <c r="B4" s="56" t="s">
        <v>842</v>
      </c>
      <c r="C4" s="43" t="s">
        <v>843</v>
      </c>
      <c r="D4" s="56" t="s">
        <v>314</v>
      </c>
      <c r="E4" s="56" t="s">
        <v>844</v>
      </c>
      <c r="F4" s="56" t="s">
        <v>349</v>
      </c>
      <c r="G4" s="56" t="s">
        <v>845</v>
      </c>
      <c r="H4" s="56" t="s">
        <v>12</v>
      </c>
      <c r="I4" s="147" t="s">
        <v>841</v>
      </c>
      <c r="J4" s="56"/>
      <c r="K4" s="56"/>
      <c r="L4" s="56"/>
      <c r="M4" s="56"/>
      <c r="N4" s="56" t="s">
        <v>16</v>
      </c>
      <c r="O4" s="64" t="s">
        <v>848</v>
      </c>
      <c r="P4" s="56" t="s">
        <v>21</v>
      </c>
      <c r="Q4" s="107">
        <v>1</v>
      </c>
      <c r="R4" s="107"/>
      <c r="S4" s="107"/>
      <c r="T4" s="107">
        <v>1</v>
      </c>
      <c r="U4" s="107">
        <v>1</v>
      </c>
      <c r="V4" s="107">
        <v>1</v>
      </c>
      <c r="W4" s="107">
        <v>1</v>
      </c>
      <c r="X4" s="107">
        <v>1</v>
      </c>
      <c r="Y4" s="107">
        <v>1</v>
      </c>
      <c r="Z4" s="107">
        <v>1</v>
      </c>
      <c r="AA4" s="107">
        <v>1</v>
      </c>
      <c r="AB4" s="107"/>
      <c r="AC4" s="107"/>
    </row>
    <row r="5" spans="1:29" ht="19.95" customHeight="1" x14ac:dyDescent="0.25">
      <c r="A5" s="38">
        <v>6370229021</v>
      </c>
      <c r="B5" s="56" t="s">
        <v>842</v>
      </c>
      <c r="C5" s="43" t="s">
        <v>843</v>
      </c>
      <c r="D5" s="56" t="s">
        <v>314</v>
      </c>
      <c r="E5" s="56" t="s">
        <v>844</v>
      </c>
      <c r="F5" s="56" t="s">
        <v>349</v>
      </c>
      <c r="G5" s="56" t="s">
        <v>845</v>
      </c>
      <c r="H5" s="56" t="s">
        <v>12</v>
      </c>
      <c r="I5" s="147" t="s">
        <v>841</v>
      </c>
      <c r="J5" s="56"/>
      <c r="K5" s="56"/>
      <c r="L5" s="56"/>
      <c r="M5" s="56"/>
      <c r="N5" s="56" t="s">
        <v>16</v>
      </c>
      <c r="O5" s="64" t="s">
        <v>849</v>
      </c>
      <c r="P5" s="56" t="s">
        <v>21</v>
      </c>
      <c r="Q5" s="107">
        <v>1</v>
      </c>
      <c r="R5" s="107">
        <v>1</v>
      </c>
      <c r="S5" s="107">
        <v>1</v>
      </c>
      <c r="T5" s="107"/>
      <c r="U5" s="107"/>
      <c r="V5" s="107"/>
      <c r="W5" s="107"/>
      <c r="X5" s="107">
        <v>1</v>
      </c>
      <c r="Y5" s="107">
        <v>1</v>
      </c>
      <c r="Z5" s="107"/>
      <c r="AA5" s="107"/>
      <c r="AB5" s="107"/>
      <c r="AC5" s="107"/>
    </row>
    <row r="6" spans="1:29" ht="19.95" customHeight="1" x14ac:dyDescent="0.25">
      <c r="A6" s="38">
        <v>6370229021</v>
      </c>
      <c r="B6" s="56" t="s">
        <v>842</v>
      </c>
      <c r="C6" s="43" t="s">
        <v>843</v>
      </c>
      <c r="D6" s="56" t="s">
        <v>314</v>
      </c>
      <c r="E6" s="56" t="s">
        <v>844</v>
      </c>
      <c r="F6" s="56" t="s">
        <v>349</v>
      </c>
      <c r="G6" s="56" t="s">
        <v>845</v>
      </c>
      <c r="H6" s="56" t="s">
        <v>12</v>
      </c>
      <c r="I6" s="147" t="s">
        <v>841</v>
      </c>
      <c r="J6" s="56"/>
      <c r="K6" s="56"/>
      <c r="L6" s="56"/>
      <c r="M6" s="56"/>
      <c r="N6" s="56" t="s">
        <v>16</v>
      </c>
      <c r="O6" s="64" t="s">
        <v>850</v>
      </c>
      <c r="P6" s="56" t="s">
        <v>21</v>
      </c>
      <c r="Q6" s="107">
        <v>1</v>
      </c>
      <c r="R6" s="107"/>
      <c r="S6" s="107"/>
      <c r="T6" s="107"/>
      <c r="U6" s="107"/>
      <c r="V6" s="107"/>
      <c r="W6" s="107"/>
      <c r="X6" s="107"/>
      <c r="Y6" s="107">
        <v>1</v>
      </c>
      <c r="Z6" s="107">
        <v>1</v>
      </c>
      <c r="AA6" s="107">
        <v>1</v>
      </c>
      <c r="AB6" s="107">
        <v>1</v>
      </c>
      <c r="AC6" s="107"/>
    </row>
    <row r="7" spans="1:29" ht="19.95" customHeight="1" x14ac:dyDescent="0.25">
      <c r="A7" s="38">
        <v>6370229021</v>
      </c>
      <c r="B7" s="56" t="s">
        <v>842</v>
      </c>
      <c r="C7" s="43" t="s">
        <v>843</v>
      </c>
      <c r="D7" s="56" t="s">
        <v>314</v>
      </c>
      <c r="E7" s="56" t="s">
        <v>844</v>
      </c>
      <c r="F7" s="56" t="s">
        <v>349</v>
      </c>
      <c r="G7" s="56" t="s">
        <v>845</v>
      </c>
      <c r="H7" s="56" t="s">
        <v>12</v>
      </c>
      <c r="I7" s="147" t="s">
        <v>841</v>
      </c>
      <c r="J7" s="56"/>
      <c r="K7" s="56"/>
      <c r="L7" s="56"/>
      <c r="M7" s="56"/>
      <c r="N7" s="56" t="s">
        <v>16</v>
      </c>
      <c r="O7" s="64" t="s">
        <v>851</v>
      </c>
      <c r="P7" s="56" t="s">
        <v>21</v>
      </c>
      <c r="Q7" s="107">
        <v>1</v>
      </c>
      <c r="R7" s="107"/>
      <c r="S7" s="107"/>
      <c r="T7" s="107">
        <v>1</v>
      </c>
      <c r="U7" s="107"/>
      <c r="V7" s="107"/>
      <c r="W7" s="107"/>
      <c r="X7" s="107"/>
      <c r="Y7" s="107">
        <v>1</v>
      </c>
      <c r="Z7" s="107">
        <v>1</v>
      </c>
      <c r="AA7" s="107">
        <v>1</v>
      </c>
      <c r="AB7" s="107"/>
      <c r="AC7" s="107"/>
    </row>
    <row r="8" spans="1:29" ht="19.95" customHeight="1" x14ac:dyDescent="0.25">
      <c r="A8" s="38">
        <v>6370229021</v>
      </c>
      <c r="B8" s="56" t="s">
        <v>842</v>
      </c>
      <c r="C8" s="43" t="s">
        <v>843</v>
      </c>
      <c r="D8" s="56" t="s">
        <v>314</v>
      </c>
      <c r="E8" s="56" t="s">
        <v>844</v>
      </c>
      <c r="F8" s="56" t="s">
        <v>349</v>
      </c>
      <c r="G8" s="56" t="s">
        <v>845</v>
      </c>
      <c r="H8" s="56" t="s">
        <v>12</v>
      </c>
      <c r="I8" s="147" t="s">
        <v>841</v>
      </c>
      <c r="J8" s="56"/>
      <c r="K8" s="56"/>
      <c r="L8" s="56"/>
      <c r="M8" s="56"/>
      <c r="N8" s="56" t="s">
        <v>16</v>
      </c>
      <c r="O8" s="64" t="s">
        <v>852</v>
      </c>
      <c r="P8" s="56" t="s">
        <v>21</v>
      </c>
      <c r="Q8" s="107">
        <v>1</v>
      </c>
      <c r="R8" s="107"/>
      <c r="S8" s="107"/>
      <c r="T8" s="107">
        <v>1</v>
      </c>
      <c r="U8" s="107">
        <v>1</v>
      </c>
      <c r="V8" s="107">
        <v>1</v>
      </c>
      <c r="W8" s="107">
        <v>1</v>
      </c>
      <c r="X8" s="107">
        <v>1</v>
      </c>
      <c r="Y8" s="107">
        <v>1</v>
      </c>
      <c r="Z8" s="107">
        <v>1</v>
      </c>
      <c r="AA8" s="107">
        <v>1</v>
      </c>
      <c r="AB8" s="107">
        <v>1</v>
      </c>
      <c r="AC8" s="107">
        <v>1</v>
      </c>
    </row>
    <row r="9" spans="1:29" ht="19.95" customHeight="1" x14ac:dyDescent="0.25">
      <c r="A9" s="38">
        <v>6370229021</v>
      </c>
      <c r="B9" s="56" t="s">
        <v>842</v>
      </c>
      <c r="C9" s="43" t="s">
        <v>843</v>
      </c>
      <c r="D9" s="56" t="s">
        <v>314</v>
      </c>
      <c r="E9" s="56" t="s">
        <v>844</v>
      </c>
      <c r="F9" s="56" t="s">
        <v>349</v>
      </c>
      <c r="G9" s="56" t="s">
        <v>845</v>
      </c>
      <c r="H9" s="56" t="s">
        <v>12</v>
      </c>
      <c r="I9" s="147" t="s">
        <v>841</v>
      </c>
      <c r="J9" s="56"/>
      <c r="K9" s="56"/>
      <c r="L9" s="56"/>
      <c r="M9" s="56"/>
      <c r="N9" s="56" t="s">
        <v>16</v>
      </c>
      <c r="O9" s="64" t="s">
        <v>853</v>
      </c>
      <c r="P9" s="56" t="s">
        <v>837</v>
      </c>
      <c r="Q9" s="148">
        <v>6</v>
      </c>
      <c r="R9" s="56"/>
      <c r="S9" s="56"/>
      <c r="T9" s="56"/>
      <c r="U9" s="56"/>
      <c r="V9" s="56">
        <v>6</v>
      </c>
      <c r="W9" s="56"/>
      <c r="X9" s="56"/>
      <c r="Y9" s="56"/>
      <c r="Z9" s="56"/>
      <c r="AA9" s="56"/>
      <c r="AB9" s="56"/>
      <c r="AC9" s="56"/>
    </row>
    <row r="10" spans="1:29" ht="19.95" customHeight="1" x14ac:dyDescent="0.25">
      <c r="A10" s="38">
        <v>6370229021</v>
      </c>
      <c r="B10" s="56" t="s">
        <v>842</v>
      </c>
      <c r="C10" s="43" t="s">
        <v>843</v>
      </c>
      <c r="D10" s="56" t="s">
        <v>314</v>
      </c>
      <c r="E10" s="56" t="s">
        <v>844</v>
      </c>
      <c r="F10" s="56" t="s">
        <v>349</v>
      </c>
      <c r="G10" s="56" t="s">
        <v>845</v>
      </c>
      <c r="H10" s="56" t="s">
        <v>12</v>
      </c>
      <c r="I10" s="147" t="s">
        <v>841</v>
      </c>
      <c r="J10" s="56"/>
      <c r="K10" s="56"/>
      <c r="L10" s="56"/>
      <c r="M10" s="56"/>
      <c r="N10" s="56" t="s">
        <v>16</v>
      </c>
      <c r="O10" s="64" t="s">
        <v>854</v>
      </c>
      <c r="P10" s="56" t="s">
        <v>837</v>
      </c>
      <c r="Q10" s="148">
        <v>900</v>
      </c>
      <c r="R10" s="56"/>
      <c r="S10" s="56"/>
      <c r="T10" s="56"/>
      <c r="U10" s="56">
        <v>150</v>
      </c>
      <c r="V10" s="56">
        <v>150</v>
      </c>
      <c r="W10" s="56">
        <v>150</v>
      </c>
      <c r="X10" s="56">
        <v>150</v>
      </c>
      <c r="Y10" s="56">
        <v>150</v>
      </c>
      <c r="Z10" s="56">
        <v>150</v>
      </c>
      <c r="AA10" s="56"/>
      <c r="AB10" s="56"/>
      <c r="AC10" s="56"/>
    </row>
    <row r="11" spans="1:29" ht="19.95" customHeight="1" x14ac:dyDescent="0.25">
      <c r="A11" s="38">
        <v>6370229021</v>
      </c>
      <c r="B11" s="56" t="s">
        <v>842</v>
      </c>
      <c r="C11" s="43" t="s">
        <v>843</v>
      </c>
      <c r="D11" s="56" t="s">
        <v>314</v>
      </c>
      <c r="E11" s="56" t="s">
        <v>844</v>
      </c>
      <c r="F11" s="56" t="s">
        <v>349</v>
      </c>
      <c r="G11" s="56" t="s">
        <v>845</v>
      </c>
      <c r="H11" s="56" t="s">
        <v>12</v>
      </c>
      <c r="I11" s="147" t="s">
        <v>841</v>
      </c>
      <c r="J11" s="56"/>
      <c r="K11" s="56"/>
      <c r="L11" s="56"/>
      <c r="M11" s="56"/>
      <c r="N11" s="56" t="s">
        <v>16</v>
      </c>
      <c r="O11" s="64" t="s">
        <v>855</v>
      </c>
      <c r="P11" s="56" t="s">
        <v>837</v>
      </c>
      <c r="Q11" s="149">
        <v>24</v>
      </c>
      <c r="R11" s="56">
        <v>2</v>
      </c>
      <c r="S11" s="56">
        <v>2</v>
      </c>
      <c r="T11" s="56">
        <v>2</v>
      </c>
      <c r="U11" s="56">
        <v>2</v>
      </c>
      <c r="V11" s="56">
        <v>2</v>
      </c>
      <c r="W11" s="56">
        <v>2</v>
      </c>
      <c r="X11" s="56">
        <v>2</v>
      </c>
      <c r="Y11" s="56">
        <v>2</v>
      </c>
      <c r="Z11" s="56">
        <v>2</v>
      </c>
      <c r="AA11" s="56">
        <v>2</v>
      </c>
      <c r="AB11" s="56">
        <v>2</v>
      </c>
      <c r="AC11" s="56">
        <v>2</v>
      </c>
    </row>
    <row r="12" spans="1:29" ht="19.95" customHeight="1" x14ac:dyDescent="0.25">
      <c r="A12" s="38">
        <v>6370229021</v>
      </c>
      <c r="B12" s="56" t="s">
        <v>842</v>
      </c>
      <c r="C12" s="43" t="s">
        <v>843</v>
      </c>
      <c r="D12" s="56" t="s">
        <v>314</v>
      </c>
      <c r="E12" s="56" t="s">
        <v>844</v>
      </c>
      <c r="F12" s="56" t="s">
        <v>349</v>
      </c>
      <c r="G12" s="56" t="s">
        <v>845</v>
      </c>
      <c r="H12" s="56" t="s">
        <v>12</v>
      </c>
      <c r="I12" s="147" t="s">
        <v>841</v>
      </c>
      <c r="J12" s="56"/>
      <c r="K12" s="56"/>
      <c r="L12" s="56"/>
      <c r="M12" s="56"/>
      <c r="N12" s="56" t="s">
        <v>16</v>
      </c>
      <c r="O12" s="64" t="s">
        <v>763</v>
      </c>
      <c r="P12" s="56" t="s">
        <v>837</v>
      </c>
      <c r="Q12" s="149">
        <v>10</v>
      </c>
      <c r="R12" s="56"/>
      <c r="S12" s="56"/>
      <c r="T12" s="56"/>
      <c r="U12" s="56">
        <v>4</v>
      </c>
      <c r="V12" s="56">
        <v>4</v>
      </c>
      <c r="W12" s="56">
        <v>4</v>
      </c>
      <c r="X12" s="56">
        <v>4</v>
      </c>
      <c r="Y12" s="56">
        <v>4</v>
      </c>
      <c r="Z12" s="56">
        <v>4</v>
      </c>
      <c r="AA12" s="56">
        <v>4</v>
      </c>
      <c r="AB12" s="56">
        <v>4</v>
      </c>
      <c r="AC12" s="56">
        <v>4</v>
      </c>
    </row>
    <row r="13" spans="1:29" ht="19.95" customHeight="1" x14ac:dyDescent="0.25">
      <c r="A13" s="38">
        <v>6370229021</v>
      </c>
      <c r="B13" s="56" t="s">
        <v>842</v>
      </c>
      <c r="C13" s="43" t="s">
        <v>843</v>
      </c>
      <c r="D13" s="56" t="s">
        <v>314</v>
      </c>
      <c r="E13" s="56" t="s">
        <v>844</v>
      </c>
      <c r="F13" s="56" t="s">
        <v>349</v>
      </c>
      <c r="G13" s="56" t="s">
        <v>845</v>
      </c>
      <c r="H13" s="56" t="s">
        <v>12</v>
      </c>
      <c r="I13" s="147" t="s">
        <v>841</v>
      </c>
      <c r="J13" s="56"/>
      <c r="K13" s="56"/>
      <c r="L13" s="56"/>
      <c r="M13" s="56"/>
      <c r="N13" s="56" t="s">
        <v>16</v>
      </c>
      <c r="O13" s="64" t="s">
        <v>856</v>
      </c>
      <c r="P13" s="56" t="s">
        <v>837</v>
      </c>
      <c r="Q13" s="36" t="s">
        <v>857</v>
      </c>
      <c r="R13" s="56"/>
      <c r="S13" s="56"/>
      <c r="T13" s="56"/>
      <c r="U13" s="56">
        <v>127</v>
      </c>
      <c r="V13" s="56"/>
      <c r="W13" s="56"/>
      <c r="X13" s="56"/>
      <c r="Y13" s="56"/>
      <c r="Z13" s="56"/>
      <c r="AA13" s="56"/>
      <c r="AB13" s="56"/>
      <c r="AC13" s="56"/>
    </row>
  </sheetData>
  <hyperlinks>
    <hyperlink ref="C2" r:id="rId1" xr:uid="{7CB65860-CCDF-4D92-91B3-C98CA235363A}"/>
    <hyperlink ref="C3" r:id="rId2" xr:uid="{2C53538D-0A77-4B38-8E6F-B6546C8F8343}"/>
    <hyperlink ref="C4" r:id="rId3" xr:uid="{EC7AC9B2-1FFE-4843-9C87-4FA439AEDC83}"/>
    <hyperlink ref="C5" r:id="rId4" xr:uid="{A1F0163F-38AF-4080-ABD1-72F5E04ADFFF}"/>
    <hyperlink ref="C6" r:id="rId5" xr:uid="{A3CC9EB6-DEB4-4B68-8AC6-3CE26CE2CC27}"/>
    <hyperlink ref="C7" r:id="rId6" xr:uid="{3D60A9B6-671B-42FF-9E7B-82781132CD3B}"/>
    <hyperlink ref="C8" r:id="rId7" xr:uid="{2168E77B-22FD-4DB4-9490-B530FA8C6C5A}"/>
    <hyperlink ref="C9" r:id="rId8" xr:uid="{A6D51CD3-DCBA-439A-8CE3-E6BD20B48F30}"/>
    <hyperlink ref="C10" r:id="rId9" xr:uid="{5AAEE47C-3D15-4EF0-A106-026C77554DBF}"/>
    <hyperlink ref="C11" r:id="rId10" xr:uid="{3930F775-D959-4756-B373-FAFB7B5D76AE}"/>
    <hyperlink ref="C12" r:id="rId11" xr:uid="{8B792579-E7A3-4AF5-863E-F3FC1C061998}"/>
    <hyperlink ref="C13" r:id="rId12" xr:uid="{91E8A31B-7C88-4D71-8986-DBFA6C4F8160}"/>
  </hyperlinks>
  <pageMargins left="0.7" right="0.7" top="0.75" bottom="0.75" header="0.3" footer="0.3"/>
  <legacyDrawing r:id="rId1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F428C-3414-45CC-A5B7-61C8F354BAE5}">
  <dimension ref="A1:AC32"/>
  <sheetViews>
    <sheetView topLeftCell="P16" workbookViewId="0">
      <selection activeCell="AF24" sqref="AF24"/>
    </sheetView>
  </sheetViews>
  <sheetFormatPr defaultRowHeight="13.2" x14ac:dyDescent="0.25"/>
  <cols>
    <col min="1" max="1" width="12.33203125" customWidth="1"/>
    <col min="2" max="2" width="15" customWidth="1"/>
    <col min="3" max="3" width="25.77734375" bestFit="1" customWidth="1"/>
    <col min="4" max="4" width="10.77734375" customWidth="1"/>
    <col min="5" max="5" width="18.21875" bestFit="1" customWidth="1"/>
    <col min="6" max="6" width="12.44140625" bestFit="1" customWidth="1"/>
    <col min="7" max="7" width="12.44140625" style="116" bestFit="1" customWidth="1"/>
    <col min="9" max="9" width="17.21875" bestFit="1" customWidth="1"/>
    <col min="10" max="10" width="11.44140625" style="116" bestFit="1" customWidth="1"/>
    <col min="11" max="13" width="11.44140625" bestFit="1" customWidth="1"/>
    <col min="14" max="14" width="14.5546875" style="116" bestFit="1" customWidth="1"/>
    <col min="15" max="15" width="75.6640625" bestFit="1" customWidth="1"/>
    <col min="16" max="16" width="20.88671875" bestFit="1" customWidth="1"/>
    <col min="17" max="17" width="14" bestFit="1" customWidth="1"/>
  </cols>
  <sheetData>
    <row r="1" spans="1:29" ht="27.6" x14ac:dyDescent="0.25">
      <c r="A1" s="35" t="s">
        <v>123</v>
      </c>
      <c r="B1" s="58" t="s">
        <v>1</v>
      </c>
      <c r="C1" s="35" t="s">
        <v>2</v>
      </c>
      <c r="D1" s="58" t="s">
        <v>3</v>
      </c>
      <c r="E1" s="35" t="s">
        <v>4</v>
      </c>
      <c r="F1" s="35" t="s">
        <v>5</v>
      </c>
      <c r="G1" s="35" t="s">
        <v>6</v>
      </c>
      <c r="H1" s="35" t="s">
        <v>7</v>
      </c>
      <c r="I1" s="58" t="s">
        <v>8</v>
      </c>
      <c r="J1" s="35" t="s">
        <v>9</v>
      </c>
      <c r="K1" s="35" t="s">
        <v>10</v>
      </c>
      <c r="L1" s="35" t="s">
        <v>126</v>
      </c>
      <c r="M1" s="35" t="s">
        <v>127</v>
      </c>
      <c r="N1" s="35" t="s">
        <v>11</v>
      </c>
      <c r="O1" s="35" t="s">
        <v>654</v>
      </c>
      <c r="P1" s="35" t="s">
        <v>655</v>
      </c>
      <c r="Q1" s="35" t="s">
        <v>656</v>
      </c>
      <c r="R1" s="35" t="s">
        <v>657</v>
      </c>
      <c r="S1" s="35" t="s">
        <v>658</v>
      </c>
      <c r="T1" s="35" t="s">
        <v>659</v>
      </c>
      <c r="U1" s="35" t="s">
        <v>660</v>
      </c>
      <c r="V1" s="35" t="s">
        <v>661</v>
      </c>
      <c r="W1" s="35" t="s">
        <v>662</v>
      </c>
      <c r="X1" s="35" t="s">
        <v>663</v>
      </c>
      <c r="Y1" s="35" t="s">
        <v>664</v>
      </c>
      <c r="Z1" s="35" t="s">
        <v>665</v>
      </c>
      <c r="AA1" s="35" t="s">
        <v>666</v>
      </c>
      <c r="AB1" s="35" t="s">
        <v>667</v>
      </c>
      <c r="AC1" s="35" t="s">
        <v>668</v>
      </c>
    </row>
    <row r="2" spans="1:29" ht="19.95" customHeight="1" x14ac:dyDescent="0.25">
      <c r="A2" s="38">
        <v>6372334521</v>
      </c>
      <c r="B2" s="56" t="s">
        <v>898</v>
      </c>
      <c r="C2" s="131" t="s">
        <v>899</v>
      </c>
      <c r="D2" s="56" t="s">
        <v>897</v>
      </c>
      <c r="E2" s="56" t="s">
        <v>889</v>
      </c>
      <c r="F2" s="56" t="s">
        <v>349</v>
      </c>
      <c r="G2" s="56" t="s">
        <v>891</v>
      </c>
      <c r="H2" s="56" t="s">
        <v>314</v>
      </c>
      <c r="I2" s="56" t="s">
        <v>842</v>
      </c>
      <c r="J2" s="56" t="s">
        <v>347</v>
      </c>
      <c r="K2" s="56"/>
      <c r="L2" s="56"/>
      <c r="M2" s="56"/>
      <c r="N2" s="56" t="s">
        <v>16</v>
      </c>
      <c r="O2" s="44" t="s">
        <v>858</v>
      </c>
      <c r="P2" s="12" t="s">
        <v>837</v>
      </c>
      <c r="Q2" s="12">
        <f>SUM(R2:AC2)</f>
        <v>380</v>
      </c>
      <c r="R2" s="12"/>
      <c r="S2" s="12"/>
      <c r="T2" s="12"/>
      <c r="U2" s="12"/>
      <c r="V2" s="12"/>
      <c r="W2" s="12">
        <v>380</v>
      </c>
      <c r="X2" s="12"/>
      <c r="Y2" s="12"/>
      <c r="Z2" s="12"/>
      <c r="AA2" s="12"/>
      <c r="AB2" s="12"/>
      <c r="AC2" s="12"/>
    </row>
    <row r="3" spans="1:29" ht="19.95" customHeight="1" x14ac:dyDescent="0.25">
      <c r="A3" s="38">
        <v>6372334521</v>
      </c>
      <c r="B3" s="56" t="s">
        <v>898</v>
      </c>
      <c r="C3" s="131" t="s">
        <v>899</v>
      </c>
      <c r="D3" s="56" t="s">
        <v>897</v>
      </c>
      <c r="E3" s="56" t="s">
        <v>889</v>
      </c>
      <c r="F3" s="56" t="s">
        <v>349</v>
      </c>
      <c r="G3" s="56" t="s">
        <v>891</v>
      </c>
      <c r="H3" s="56" t="s">
        <v>314</v>
      </c>
      <c r="I3" s="56" t="s">
        <v>842</v>
      </c>
      <c r="J3" s="56" t="s">
        <v>347</v>
      </c>
      <c r="K3" s="56"/>
      <c r="L3" s="56"/>
      <c r="M3" s="56"/>
      <c r="N3" s="56" t="s">
        <v>16</v>
      </c>
      <c r="O3" s="44" t="s">
        <v>859</v>
      </c>
      <c r="P3" s="12" t="s">
        <v>887</v>
      </c>
      <c r="Q3" s="12">
        <f>SUM(R3:AC3)</f>
        <v>45</v>
      </c>
      <c r="R3" s="12"/>
      <c r="S3" s="12"/>
      <c r="T3" s="12"/>
      <c r="U3" s="12">
        <v>5</v>
      </c>
      <c r="V3" s="12">
        <v>5</v>
      </c>
      <c r="W3" s="12">
        <v>5</v>
      </c>
      <c r="X3" s="12">
        <v>5</v>
      </c>
      <c r="Y3" s="12">
        <v>5</v>
      </c>
      <c r="Z3" s="12">
        <v>5</v>
      </c>
      <c r="AA3" s="12">
        <v>5</v>
      </c>
      <c r="AB3" s="12">
        <v>5</v>
      </c>
      <c r="AC3" s="12">
        <v>5</v>
      </c>
    </row>
    <row r="4" spans="1:29" ht="19.95" customHeight="1" x14ac:dyDescent="0.25">
      <c r="A4" s="38">
        <v>6372334521</v>
      </c>
      <c r="B4" s="56" t="s">
        <v>898</v>
      </c>
      <c r="C4" s="131" t="s">
        <v>899</v>
      </c>
      <c r="D4" s="56" t="s">
        <v>897</v>
      </c>
      <c r="E4" s="56" t="s">
        <v>889</v>
      </c>
      <c r="F4" s="56" t="s">
        <v>349</v>
      </c>
      <c r="G4" s="56" t="s">
        <v>891</v>
      </c>
      <c r="H4" s="56" t="s">
        <v>314</v>
      </c>
      <c r="I4" s="56" t="s">
        <v>842</v>
      </c>
      <c r="J4" s="56" t="s">
        <v>347</v>
      </c>
      <c r="K4" s="56"/>
      <c r="L4" s="56"/>
      <c r="M4" s="56"/>
      <c r="N4" s="56" t="s">
        <v>16</v>
      </c>
      <c r="O4" s="44" t="s">
        <v>860</v>
      </c>
      <c r="P4" s="12" t="s">
        <v>837</v>
      </c>
      <c r="Q4" s="12">
        <f t="shared" ref="Q4:Q20" si="0">SUM(R4:AC4)</f>
        <v>449</v>
      </c>
      <c r="R4" s="12">
        <v>160</v>
      </c>
      <c r="S4" s="12">
        <v>150</v>
      </c>
      <c r="T4" s="12">
        <v>139</v>
      </c>
      <c r="U4" s="12"/>
      <c r="V4" s="12"/>
      <c r="W4" s="12"/>
      <c r="X4" s="12"/>
      <c r="Y4" s="12"/>
      <c r="Z4" s="12"/>
      <c r="AA4" s="12"/>
      <c r="AB4" s="12"/>
      <c r="AC4" s="12"/>
    </row>
    <row r="5" spans="1:29" ht="19.95" customHeight="1" x14ac:dyDescent="0.25">
      <c r="A5" s="38">
        <v>6372334521</v>
      </c>
      <c r="B5" s="56" t="s">
        <v>898</v>
      </c>
      <c r="C5" s="131" t="s">
        <v>899</v>
      </c>
      <c r="D5" s="56" t="s">
        <v>897</v>
      </c>
      <c r="E5" s="56" t="s">
        <v>889</v>
      </c>
      <c r="F5" s="56" t="s">
        <v>349</v>
      </c>
      <c r="G5" s="56" t="s">
        <v>891</v>
      </c>
      <c r="H5" s="56" t="s">
        <v>314</v>
      </c>
      <c r="I5" s="56" t="s">
        <v>842</v>
      </c>
      <c r="J5" s="56" t="s">
        <v>347</v>
      </c>
      <c r="K5" s="56"/>
      <c r="L5" s="56"/>
      <c r="M5" s="56"/>
      <c r="N5" s="56" t="s">
        <v>16</v>
      </c>
      <c r="O5" s="44" t="s">
        <v>861</v>
      </c>
      <c r="P5" s="12" t="s">
        <v>837</v>
      </c>
      <c r="Q5" s="12">
        <f t="shared" si="0"/>
        <v>829</v>
      </c>
      <c r="R5" s="12"/>
      <c r="S5" s="12"/>
      <c r="T5" s="12">
        <v>203</v>
      </c>
      <c r="U5" s="12">
        <v>626</v>
      </c>
      <c r="V5" s="12"/>
      <c r="W5" s="12"/>
      <c r="X5" s="12"/>
      <c r="Y5" s="12"/>
      <c r="Z5" s="12"/>
      <c r="AA5" s="12"/>
      <c r="AB5" s="12"/>
      <c r="AC5" s="12"/>
    </row>
    <row r="6" spans="1:29" ht="19.95" customHeight="1" x14ac:dyDescent="0.25">
      <c r="A6" s="38">
        <v>6372334521</v>
      </c>
      <c r="B6" s="56" t="s">
        <v>898</v>
      </c>
      <c r="C6" s="131" t="s">
        <v>899</v>
      </c>
      <c r="D6" s="56" t="s">
        <v>897</v>
      </c>
      <c r="E6" s="56" t="s">
        <v>889</v>
      </c>
      <c r="F6" s="56" t="s">
        <v>349</v>
      </c>
      <c r="G6" s="56" t="s">
        <v>891</v>
      </c>
      <c r="H6" s="56" t="s">
        <v>314</v>
      </c>
      <c r="I6" s="56" t="s">
        <v>842</v>
      </c>
      <c r="J6" s="56" t="s">
        <v>347</v>
      </c>
      <c r="K6" s="56"/>
      <c r="L6" s="56"/>
      <c r="M6" s="56"/>
      <c r="N6" s="56" t="s">
        <v>16</v>
      </c>
      <c r="O6" s="44" t="s">
        <v>862</v>
      </c>
      <c r="P6" s="12" t="s">
        <v>837</v>
      </c>
      <c r="Q6" s="12">
        <f t="shared" si="0"/>
        <v>829</v>
      </c>
      <c r="R6" s="12"/>
      <c r="S6" s="12"/>
      <c r="T6" s="12"/>
      <c r="U6" s="12">
        <v>829</v>
      </c>
      <c r="V6" s="12"/>
      <c r="W6" s="12"/>
      <c r="X6" s="12"/>
      <c r="Y6" s="12"/>
      <c r="Z6" s="12"/>
      <c r="AA6" s="12"/>
      <c r="AB6" s="12"/>
      <c r="AC6" s="12"/>
    </row>
    <row r="7" spans="1:29" ht="19.95" customHeight="1" x14ac:dyDescent="0.25">
      <c r="A7" s="38">
        <v>6372334521</v>
      </c>
      <c r="B7" s="56" t="s">
        <v>898</v>
      </c>
      <c r="C7" s="131" t="s">
        <v>899</v>
      </c>
      <c r="D7" s="56" t="s">
        <v>897</v>
      </c>
      <c r="E7" s="56" t="s">
        <v>889</v>
      </c>
      <c r="F7" s="56" t="s">
        <v>349</v>
      </c>
      <c r="G7" s="56" t="s">
        <v>891</v>
      </c>
      <c r="H7" s="56" t="s">
        <v>314</v>
      </c>
      <c r="I7" s="56" t="s">
        <v>842</v>
      </c>
      <c r="J7" s="56" t="s">
        <v>347</v>
      </c>
      <c r="K7" s="56"/>
      <c r="L7" s="56"/>
      <c r="M7" s="56"/>
      <c r="N7" s="56" t="s">
        <v>16</v>
      </c>
      <c r="O7" s="44" t="s">
        <v>863</v>
      </c>
      <c r="P7" s="12" t="s">
        <v>837</v>
      </c>
      <c r="Q7" s="12">
        <f t="shared" si="0"/>
        <v>3316</v>
      </c>
      <c r="R7" s="12"/>
      <c r="S7" s="12"/>
      <c r="T7" s="12"/>
      <c r="U7" s="12">
        <v>829</v>
      </c>
      <c r="V7" s="12">
        <v>829</v>
      </c>
      <c r="W7" s="12">
        <v>829</v>
      </c>
      <c r="X7" s="12">
        <v>829</v>
      </c>
      <c r="Y7" s="12"/>
      <c r="Z7" s="12"/>
      <c r="AA7" s="12"/>
      <c r="AB7" s="12"/>
      <c r="AC7" s="12"/>
    </row>
    <row r="8" spans="1:29" ht="19.95" customHeight="1" x14ac:dyDescent="0.25">
      <c r="A8" s="38">
        <v>6372334521</v>
      </c>
      <c r="B8" s="56" t="s">
        <v>898</v>
      </c>
      <c r="C8" s="131" t="s">
        <v>899</v>
      </c>
      <c r="D8" s="56" t="s">
        <v>897</v>
      </c>
      <c r="E8" s="56" t="s">
        <v>889</v>
      </c>
      <c r="F8" s="56" t="s">
        <v>349</v>
      </c>
      <c r="G8" s="56" t="s">
        <v>891</v>
      </c>
      <c r="H8" s="56" t="s">
        <v>314</v>
      </c>
      <c r="I8" s="56" t="s">
        <v>842</v>
      </c>
      <c r="J8" s="56" t="s">
        <v>347</v>
      </c>
      <c r="K8" s="56"/>
      <c r="L8" s="56"/>
      <c r="M8" s="56"/>
      <c r="N8" s="56" t="s">
        <v>16</v>
      </c>
      <c r="O8" s="44" t="s">
        <v>864</v>
      </c>
      <c r="P8" s="12" t="s">
        <v>837</v>
      </c>
      <c r="Q8" s="12">
        <f t="shared" si="0"/>
        <v>829</v>
      </c>
      <c r="R8" s="12"/>
      <c r="S8" s="12"/>
      <c r="T8" s="12"/>
      <c r="U8" s="12"/>
      <c r="V8" s="12"/>
      <c r="W8" s="12">
        <v>829</v>
      </c>
      <c r="X8" s="12"/>
      <c r="Y8" s="12"/>
      <c r="Z8" s="12"/>
      <c r="AA8" s="12"/>
      <c r="AB8" s="12"/>
      <c r="AC8" s="12"/>
    </row>
    <row r="9" spans="1:29" ht="19.95" customHeight="1" x14ac:dyDescent="0.25">
      <c r="A9" s="38">
        <v>6372334521</v>
      </c>
      <c r="B9" s="56" t="s">
        <v>898</v>
      </c>
      <c r="C9" s="131" t="s">
        <v>899</v>
      </c>
      <c r="D9" s="56" t="s">
        <v>897</v>
      </c>
      <c r="E9" s="56" t="s">
        <v>889</v>
      </c>
      <c r="F9" s="56" t="s">
        <v>349</v>
      </c>
      <c r="G9" s="56" t="s">
        <v>891</v>
      </c>
      <c r="H9" s="56" t="s">
        <v>314</v>
      </c>
      <c r="I9" s="56" t="s">
        <v>842</v>
      </c>
      <c r="J9" s="56" t="s">
        <v>347</v>
      </c>
      <c r="K9" s="56"/>
      <c r="L9" s="56"/>
      <c r="M9" s="56"/>
      <c r="N9" s="56" t="s">
        <v>16</v>
      </c>
      <c r="O9" s="44" t="s">
        <v>865</v>
      </c>
      <c r="P9" s="12" t="s">
        <v>837</v>
      </c>
      <c r="Q9" s="12">
        <f t="shared" si="0"/>
        <v>829</v>
      </c>
      <c r="R9" s="12"/>
      <c r="S9" s="12"/>
      <c r="T9" s="12"/>
      <c r="U9" s="12"/>
      <c r="V9" s="12"/>
      <c r="W9" s="12">
        <v>829</v>
      </c>
      <c r="X9" s="12"/>
      <c r="Y9" s="12"/>
      <c r="Z9" s="12"/>
      <c r="AA9" s="12"/>
      <c r="AB9" s="12"/>
      <c r="AC9" s="12"/>
    </row>
    <row r="10" spans="1:29" ht="19.95" customHeight="1" x14ac:dyDescent="0.25">
      <c r="A10" s="38">
        <v>6372334521</v>
      </c>
      <c r="B10" s="56" t="s">
        <v>898</v>
      </c>
      <c r="C10" s="131" t="s">
        <v>899</v>
      </c>
      <c r="D10" s="56" t="s">
        <v>897</v>
      </c>
      <c r="E10" s="56" t="s">
        <v>889</v>
      </c>
      <c r="F10" s="56" t="s">
        <v>349</v>
      </c>
      <c r="G10" s="56" t="s">
        <v>891</v>
      </c>
      <c r="H10" s="56" t="s">
        <v>314</v>
      </c>
      <c r="I10" s="56" t="s">
        <v>842</v>
      </c>
      <c r="J10" s="56" t="s">
        <v>347</v>
      </c>
      <c r="K10" s="56"/>
      <c r="L10" s="56"/>
      <c r="M10" s="56"/>
      <c r="N10" s="56" t="s">
        <v>16</v>
      </c>
      <c r="O10" s="44" t="s">
        <v>866</v>
      </c>
      <c r="P10" s="12" t="s">
        <v>837</v>
      </c>
      <c r="Q10" s="12">
        <f t="shared" si="0"/>
        <v>829</v>
      </c>
      <c r="R10" s="12"/>
      <c r="S10" s="12"/>
      <c r="T10" s="12"/>
      <c r="U10" s="12"/>
      <c r="V10" s="12"/>
      <c r="W10" s="12"/>
      <c r="X10" s="12">
        <v>829</v>
      </c>
      <c r="Y10" s="12"/>
      <c r="Z10" s="12"/>
      <c r="AA10" s="12"/>
      <c r="AB10" s="12"/>
      <c r="AC10" s="12"/>
    </row>
    <row r="11" spans="1:29" ht="19.95" customHeight="1" x14ac:dyDescent="0.25">
      <c r="A11" s="38">
        <v>6372334521</v>
      </c>
      <c r="B11" s="56" t="s">
        <v>898</v>
      </c>
      <c r="C11" s="131" t="s">
        <v>899</v>
      </c>
      <c r="D11" s="56" t="s">
        <v>897</v>
      </c>
      <c r="E11" s="56" t="s">
        <v>889</v>
      </c>
      <c r="F11" s="56" t="s">
        <v>349</v>
      </c>
      <c r="G11" s="56" t="s">
        <v>891</v>
      </c>
      <c r="H11" s="56" t="s">
        <v>314</v>
      </c>
      <c r="I11" s="56" t="s">
        <v>842</v>
      </c>
      <c r="J11" s="56" t="s">
        <v>347</v>
      </c>
      <c r="K11" s="56"/>
      <c r="L11" s="56"/>
      <c r="M11" s="56"/>
      <c r="N11" s="56" t="s">
        <v>16</v>
      </c>
      <c r="O11" s="44" t="s">
        <v>867</v>
      </c>
      <c r="P11" s="12" t="s">
        <v>837</v>
      </c>
      <c r="Q11" s="12">
        <f t="shared" si="0"/>
        <v>829</v>
      </c>
      <c r="R11" s="12"/>
      <c r="S11" s="12"/>
      <c r="T11" s="12"/>
      <c r="U11" s="12"/>
      <c r="V11" s="12"/>
      <c r="W11" s="12"/>
      <c r="X11" s="12"/>
      <c r="Y11" s="12">
        <v>829</v>
      </c>
      <c r="Z11" s="12"/>
      <c r="AA11" s="12"/>
      <c r="AB11" s="12"/>
      <c r="AC11" s="12"/>
    </row>
    <row r="12" spans="1:29" ht="19.95" customHeight="1" x14ac:dyDescent="0.25">
      <c r="A12" s="38">
        <v>6372334521</v>
      </c>
      <c r="B12" s="56" t="s">
        <v>898</v>
      </c>
      <c r="C12" s="131" t="s">
        <v>899</v>
      </c>
      <c r="D12" s="56" t="s">
        <v>897</v>
      </c>
      <c r="E12" s="56" t="s">
        <v>889</v>
      </c>
      <c r="F12" s="56" t="s">
        <v>349</v>
      </c>
      <c r="G12" s="56" t="s">
        <v>891</v>
      </c>
      <c r="H12" s="56" t="s">
        <v>314</v>
      </c>
      <c r="I12" s="56" t="s">
        <v>842</v>
      </c>
      <c r="J12" s="56" t="s">
        <v>347</v>
      </c>
      <c r="K12" s="56"/>
      <c r="L12" s="56"/>
      <c r="M12" s="56"/>
      <c r="N12" s="56" t="s">
        <v>16</v>
      </c>
      <c r="O12" s="44" t="s">
        <v>868</v>
      </c>
      <c r="P12" s="12" t="s">
        <v>837</v>
      </c>
      <c r="Q12" s="12">
        <f t="shared" si="0"/>
        <v>829</v>
      </c>
      <c r="R12" s="12"/>
      <c r="S12" s="12"/>
      <c r="T12" s="12"/>
      <c r="U12" s="12"/>
      <c r="V12" s="12"/>
      <c r="W12" s="12"/>
      <c r="X12" s="12"/>
      <c r="Y12" s="12"/>
      <c r="Z12" s="12"/>
      <c r="AA12" s="12"/>
      <c r="AB12" s="12">
        <v>829</v>
      </c>
      <c r="AC12" s="12"/>
    </row>
    <row r="13" spans="1:29" ht="19.95" customHeight="1" x14ac:dyDescent="0.25">
      <c r="A13" s="38">
        <v>6372334521</v>
      </c>
      <c r="B13" s="56" t="s">
        <v>898</v>
      </c>
      <c r="C13" s="131" t="s">
        <v>899</v>
      </c>
      <c r="D13" s="56" t="s">
        <v>897</v>
      </c>
      <c r="E13" s="56" t="s">
        <v>889</v>
      </c>
      <c r="F13" s="56" t="s">
        <v>349</v>
      </c>
      <c r="G13" s="56" t="s">
        <v>891</v>
      </c>
      <c r="H13" s="56" t="s">
        <v>314</v>
      </c>
      <c r="I13" s="56" t="s">
        <v>842</v>
      </c>
      <c r="J13" s="56" t="s">
        <v>347</v>
      </c>
      <c r="K13" s="56"/>
      <c r="L13" s="56"/>
      <c r="M13" s="56"/>
      <c r="N13" s="56" t="s">
        <v>16</v>
      </c>
      <c r="O13" s="44" t="s">
        <v>869</v>
      </c>
      <c r="P13" s="12" t="s">
        <v>837</v>
      </c>
      <c r="Q13" s="12">
        <f t="shared" si="0"/>
        <v>2487</v>
      </c>
      <c r="R13" s="12"/>
      <c r="S13" s="12"/>
      <c r="T13" s="12"/>
      <c r="U13" s="12"/>
      <c r="V13" s="12"/>
      <c r="W13" s="12"/>
      <c r="X13" s="12"/>
      <c r="Y13" s="12">
        <v>829</v>
      </c>
      <c r="Z13" s="12">
        <v>829</v>
      </c>
      <c r="AA13" s="12">
        <v>829</v>
      </c>
      <c r="AB13" s="12"/>
      <c r="AC13" s="12"/>
    </row>
    <row r="14" spans="1:29" ht="19.95" customHeight="1" x14ac:dyDescent="0.25">
      <c r="A14" s="38">
        <v>6372334521</v>
      </c>
      <c r="B14" s="56" t="s">
        <v>898</v>
      </c>
      <c r="C14" s="131" t="s">
        <v>899</v>
      </c>
      <c r="D14" s="56" t="s">
        <v>897</v>
      </c>
      <c r="E14" s="56" t="s">
        <v>889</v>
      </c>
      <c r="F14" s="56" t="s">
        <v>349</v>
      </c>
      <c r="G14" s="56" t="s">
        <v>891</v>
      </c>
      <c r="H14" s="56" t="s">
        <v>314</v>
      </c>
      <c r="I14" s="56" t="s">
        <v>842</v>
      </c>
      <c r="J14" s="56" t="s">
        <v>347</v>
      </c>
      <c r="K14" s="56"/>
      <c r="L14" s="56"/>
      <c r="M14" s="56"/>
      <c r="N14" s="56" t="s">
        <v>16</v>
      </c>
      <c r="O14" s="44" t="s">
        <v>870</v>
      </c>
      <c r="P14" s="12" t="s">
        <v>837</v>
      </c>
      <c r="Q14" s="12">
        <f t="shared" si="0"/>
        <v>829</v>
      </c>
      <c r="R14" s="12"/>
      <c r="S14" s="12"/>
      <c r="T14" s="12"/>
      <c r="U14" s="12"/>
      <c r="V14" s="12"/>
      <c r="W14" s="12"/>
      <c r="X14" s="12"/>
      <c r="Y14" s="12"/>
      <c r="Z14" s="12"/>
      <c r="AA14" s="12"/>
      <c r="AB14" s="12"/>
      <c r="AC14" s="12">
        <v>829</v>
      </c>
    </row>
    <row r="15" spans="1:29" ht="19.95" customHeight="1" x14ac:dyDescent="0.25">
      <c r="A15" s="38">
        <v>6372334521</v>
      </c>
      <c r="B15" s="56" t="s">
        <v>898</v>
      </c>
      <c r="C15" s="131" t="s">
        <v>899</v>
      </c>
      <c r="D15" s="56" t="s">
        <v>897</v>
      </c>
      <c r="E15" s="56" t="s">
        <v>889</v>
      </c>
      <c r="F15" s="56" t="s">
        <v>349</v>
      </c>
      <c r="G15" s="56" t="s">
        <v>891</v>
      </c>
      <c r="H15" s="56" t="s">
        <v>314</v>
      </c>
      <c r="I15" s="56" t="s">
        <v>842</v>
      </c>
      <c r="J15" s="56" t="s">
        <v>347</v>
      </c>
      <c r="K15" s="56"/>
      <c r="L15" s="56"/>
      <c r="M15" s="56"/>
      <c r="N15" s="56" t="s">
        <v>16</v>
      </c>
      <c r="O15" s="44" t="s">
        <v>871</v>
      </c>
      <c r="P15" s="12" t="s">
        <v>837</v>
      </c>
      <c r="Q15" s="12">
        <f t="shared" si="0"/>
        <v>1658</v>
      </c>
      <c r="R15" s="12"/>
      <c r="S15" s="12"/>
      <c r="T15" s="12"/>
      <c r="U15" s="12"/>
      <c r="V15" s="12">
        <v>520</v>
      </c>
      <c r="W15" s="12">
        <v>309</v>
      </c>
      <c r="X15" s="12"/>
      <c r="Y15" s="12"/>
      <c r="Z15" s="12"/>
      <c r="AA15" s="12"/>
      <c r="AB15" s="12"/>
      <c r="AC15" s="12">
        <v>829</v>
      </c>
    </row>
    <row r="16" spans="1:29" ht="19.95" customHeight="1" x14ac:dyDescent="0.25">
      <c r="A16" s="38">
        <v>6372334521</v>
      </c>
      <c r="B16" s="56" t="s">
        <v>898</v>
      </c>
      <c r="C16" s="131" t="s">
        <v>899</v>
      </c>
      <c r="D16" s="56" t="s">
        <v>897</v>
      </c>
      <c r="E16" s="56" t="s">
        <v>889</v>
      </c>
      <c r="F16" s="56" t="s">
        <v>349</v>
      </c>
      <c r="G16" s="56" t="s">
        <v>891</v>
      </c>
      <c r="H16" s="56" t="s">
        <v>314</v>
      </c>
      <c r="I16" s="56" t="s">
        <v>842</v>
      </c>
      <c r="J16" s="56" t="s">
        <v>347</v>
      </c>
      <c r="K16" s="56"/>
      <c r="L16" s="56"/>
      <c r="M16" s="56"/>
      <c r="N16" s="56" t="s">
        <v>16</v>
      </c>
      <c r="O16" s="44" t="s">
        <v>872</v>
      </c>
      <c r="P16" s="12" t="s">
        <v>837</v>
      </c>
      <c r="Q16" s="12">
        <f t="shared" si="0"/>
        <v>829</v>
      </c>
      <c r="R16" s="12"/>
      <c r="S16" s="12"/>
      <c r="T16" s="12">
        <v>829</v>
      </c>
      <c r="U16" s="12"/>
      <c r="V16" s="12"/>
      <c r="W16" s="12"/>
      <c r="X16" s="12"/>
      <c r="Y16" s="12"/>
      <c r="Z16" s="12"/>
      <c r="AA16" s="12"/>
      <c r="AB16" s="12"/>
      <c r="AC16" s="12"/>
    </row>
    <row r="17" spans="1:29" ht="19.95" customHeight="1" x14ac:dyDescent="0.25">
      <c r="A17" s="38">
        <v>6372334521</v>
      </c>
      <c r="B17" s="56" t="s">
        <v>898</v>
      </c>
      <c r="C17" s="131" t="s">
        <v>899</v>
      </c>
      <c r="D17" s="56" t="s">
        <v>897</v>
      </c>
      <c r="E17" s="56" t="s">
        <v>889</v>
      </c>
      <c r="F17" s="56" t="s">
        <v>349</v>
      </c>
      <c r="G17" s="56" t="s">
        <v>891</v>
      </c>
      <c r="H17" s="56" t="s">
        <v>314</v>
      </c>
      <c r="I17" s="56" t="s">
        <v>842</v>
      </c>
      <c r="J17" s="56" t="s">
        <v>347</v>
      </c>
      <c r="K17" s="56"/>
      <c r="L17" s="56"/>
      <c r="M17" s="56"/>
      <c r="N17" s="56" t="s">
        <v>16</v>
      </c>
      <c r="O17" s="44" t="s">
        <v>873</v>
      </c>
      <c r="P17" s="12" t="s">
        <v>837</v>
      </c>
      <c r="Q17" s="12">
        <f t="shared" si="0"/>
        <v>449</v>
      </c>
      <c r="R17" s="12"/>
      <c r="S17" s="12"/>
      <c r="T17" s="12"/>
      <c r="U17" s="12"/>
      <c r="V17" s="12">
        <v>449</v>
      </c>
      <c r="W17" s="12"/>
      <c r="X17" s="12"/>
      <c r="Y17" s="12"/>
      <c r="Z17" s="12"/>
      <c r="AA17" s="12"/>
      <c r="AB17" s="12"/>
      <c r="AC17" s="12"/>
    </row>
    <row r="18" spans="1:29" ht="19.95" customHeight="1" x14ac:dyDescent="0.25">
      <c r="A18" s="38">
        <v>6372334521</v>
      </c>
      <c r="B18" s="56" t="s">
        <v>898</v>
      </c>
      <c r="C18" s="131" t="s">
        <v>899</v>
      </c>
      <c r="D18" s="56" t="s">
        <v>897</v>
      </c>
      <c r="E18" s="56" t="s">
        <v>889</v>
      </c>
      <c r="F18" s="56" t="s">
        <v>349</v>
      </c>
      <c r="G18" s="56" t="s">
        <v>891</v>
      </c>
      <c r="H18" s="56" t="s">
        <v>314</v>
      </c>
      <c r="I18" s="56" t="s">
        <v>842</v>
      </c>
      <c r="J18" s="56" t="s">
        <v>347</v>
      </c>
      <c r="K18" s="56"/>
      <c r="L18" s="56"/>
      <c r="M18" s="56"/>
      <c r="N18" s="56" t="s">
        <v>16</v>
      </c>
      <c r="O18" s="44" t="s">
        <v>874</v>
      </c>
      <c r="P18" s="12" t="s">
        <v>837</v>
      </c>
      <c r="Q18" s="12">
        <f t="shared" si="0"/>
        <v>829</v>
      </c>
      <c r="R18" s="12"/>
      <c r="S18" s="12"/>
      <c r="T18" s="12"/>
      <c r="U18" s="12"/>
      <c r="V18" s="12">
        <v>829</v>
      </c>
      <c r="W18" s="12"/>
      <c r="X18" s="12"/>
      <c r="Y18" s="12"/>
      <c r="Z18" s="12"/>
      <c r="AA18" s="12"/>
      <c r="AB18" s="12"/>
      <c r="AC18" s="12"/>
    </row>
    <row r="19" spans="1:29" ht="19.95" customHeight="1" x14ac:dyDescent="0.25">
      <c r="A19" s="38">
        <v>6372334521</v>
      </c>
      <c r="B19" s="56" t="s">
        <v>898</v>
      </c>
      <c r="C19" s="131" t="s">
        <v>899</v>
      </c>
      <c r="D19" s="56" t="s">
        <v>897</v>
      </c>
      <c r="E19" s="56" t="s">
        <v>889</v>
      </c>
      <c r="F19" s="56" t="s">
        <v>349</v>
      </c>
      <c r="G19" s="56" t="s">
        <v>891</v>
      </c>
      <c r="H19" s="56" t="s">
        <v>314</v>
      </c>
      <c r="I19" s="56" t="s">
        <v>842</v>
      </c>
      <c r="J19" s="56" t="s">
        <v>347</v>
      </c>
      <c r="K19" s="56"/>
      <c r="L19" s="56"/>
      <c r="M19" s="56"/>
      <c r="N19" s="56" t="s">
        <v>16</v>
      </c>
      <c r="O19" s="44" t="s">
        <v>721</v>
      </c>
      <c r="P19" s="12" t="s">
        <v>837</v>
      </c>
      <c r="Q19" s="12">
        <f t="shared" si="0"/>
        <v>829</v>
      </c>
      <c r="R19" s="12"/>
      <c r="S19" s="12"/>
      <c r="T19" s="12"/>
      <c r="U19" s="12"/>
      <c r="V19" s="12">
        <v>415</v>
      </c>
      <c r="W19" s="12">
        <v>414</v>
      </c>
      <c r="X19" s="12"/>
      <c r="Y19" s="12"/>
      <c r="Z19" s="12"/>
      <c r="AA19" s="12"/>
      <c r="AB19" s="12"/>
      <c r="AC19" s="12"/>
    </row>
    <row r="20" spans="1:29" ht="19.95" customHeight="1" x14ac:dyDescent="0.25">
      <c r="A20" s="38">
        <v>6372334521</v>
      </c>
      <c r="B20" s="56" t="s">
        <v>898</v>
      </c>
      <c r="C20" s="131" t="s">
        <v>899</v>
      </c>
      <c r="D20" s="56" t="s">
        <v>897</v>
      </c>
      <c r="E20" s="56" t="s">
        <v>889</v>
      </c>
      <c r="F20" s="56" t="s">
        <v>349</v>
      </c>
      <c r="G20" s="56" t="s">
        <v>891</v>
      </c>
      <c r="H20" s="56" t="s">
        <v>314</v>
      </c>
      <c r="I20" s="56" t="s">
        <v>842</v>
      </c>
      <c r="J20" s="56" t="s">
        <v>347</v>
      </c>
      <c r="K20" s="56"/>
      <c r="L20" s="56"/>
      <c r="M20" s="56"/>
      <c r="N20" s="56" t="s">
        <v>16</v>
      </c>
      <c r="O20" s="44" t="s">
        <v>875</v>
      </c>
      <c r="P20" s="12" t="s">
        <v>837</v>
      </c>
      <c r="Q20" s="12">
        <f t="shared" si="0"/>
        <v>2</v>
      </c>
      <c r="R20" s="12"/>
      <c r="S20" s="12"/>
      <c r="T20" s="12"/>
      <c r="U20" s="12"/>
      <c r="V20" s="12"/>
      <c r="W20" s="12"/>
      <c r="X20" s="12">
        <v>2</v>
      </c>
      <c r="Y20" s="12"/>
      <c r="Z20" s="12"/>
      <c r="AA20" s="12"/>
      <c r="AB20" s="12"/>
      <c r="AC20" s="12"/>
    </row>
    <row r="21" spans="1:29" ht="19.95" customHeight="1" x14ac:dyDescent="0.25">
      <c r="A21" s="38">
        <v>6372334521</v>
      </c>
      <c r="B21" s="56" t="s">
        <v>898</v>
      </c>
      <c r="C21" s="131" t="s">
        <v>899</v>
      </c>
      <c r="D21" s="56" t="s">
        <v>897</v>
      </c>
      <c r="E21" s="56" t="s">
        <v>889</v>
      </c>
      <c r="F21" s="56" t="s">
        <v>349</v>
      </c>
      <c r="G21" s="56" t="s">
        <v>891</v>
      </c>
      <c r="H21" s="56" t="s">
        <v>314</v>
      </c>
      <c r="I21" s="56" t="s">
        <v>842</v>
      </c>
      <c r="J21" s="56" t="s">
        <v>347</v>
      </c>
      <c r="K21" s="56"/>
      <c r="L21" s="56"/>
      <c r="M21" s="56"/>
      <c r="N21" s="56" t="s">
        <v>16</v>
      </c>
      <c r="O21" s="44" t="s">
        <v>876</v>
      </c>
      <c r="P21" s="12" t="s">
        <v>21</v>
      </c>
      <c r="Q21" s="96">
        <v>1</v>
      </c>
      <c r="R21" s="12"/>
      <c r="S21" s="12"/>
      <c r="T21" s="12"/>
      <c r="U21" s="12"/>
      <c r="V21" s="12"/>
      <c r="W21" s="12"/>
      <c r="X21" s="12"/>
      <c r="Y21" s="96">
        <v>1</v>
      </c>
      <c r="Z21" s="96">
        <v>1</v>
      </c>
      <c r="AA21" s="96">
        <v>1</v>
      </c>
      <c r="AB21" s="96">
        <v>1</v>
      </c>
      <c r="AC21" s="12"/>
    </row>
    <row r="22" spans="1:29" ht="19.95" customHeight="1" x14ac:dyDescent="0.25">
      <c r="A22" s="38">
        <v>6372334521</v>
      </c>
      <c r="B22" s="56" t="s">
        <v>898</v>
      </c>
      <c r="C22" s="131" t="s">
        <v>899</v>
      </c>
      <c r="D22" s="56" t="s">
        <v>897</v>
      </c>
      <c r="E22" s="56" t="s">
        <v>889</v>
      </c>
      <c r="F22" s="56" t="s">
        <v>349</v>
      </c>
      <c r="G22" s="56" t="s">
        <v>891</v>
      </c>
      <c r="H22" s="56" t="s">
        <v>314</v>
      </c>
      <c r="I22" s="56" t="s">
        <v>842</v>
      </c>
      <c r="J22" s="56" t="s">
        <v>347</v>
      </c>
      <c r="K22" s="56"/>
      <c r="L22" s="56"/>
      <c r="M22" s="56"/>
      <c r="N22" s="56" t="s">
        <v>16</v>
      </c>
      <c r="O22" s="44" t="s">
        <v>877</v>
      </c>
      <c r="P22" s="12" t="s">
        <v>21</v>
      </c>
      <c r="Q22" s="96">
        <v>1</v>
      </c>
      <c r="R22" s="12"/>
      <c r="S22" s="12"/>
      <c r="T22" s="12"/>
      <c r="U22" s="96">
        <v>1</v>
      </c>
      <c r="V22" s="96">
        <v>1</v>
      </c>
      <c r="W22" s="96">
        <v>1</v>
      </c>
      <c r="X22" s="96">
        <v>1</v>
      </c>
      <c r="Y22" s="96">
        <v>1</v>
      </c>
      <c r="Z22" s="96">
        <v>1</v>
      </c>
      <c r="AA22" s="96">
        <v>1</v>
      </c>
      <c r="AB22" s="96">
        <v>1</v>
      </c>
      <c r="AC22" s="96">
        <v>1</v>
      </c>
    </row>
    <row r="23" spans="1:29" ht="19.95" customHeight="1" x14ac:dyDescent="0.25">
      <c r="A23" s="38">
        <v>6372334521</v>
      </c>
      <c r="B23" s="56" t="s">
        <v>898</v>
      </c>
      <c r="C23" s="131" t="s">
        <v>899</v>
      </c>
      <c r="D23" s="56" t="s">
        <v>897</v>
      </c>
      <c r="E23" s="56" t="s">
        <v>889</v>
      </c>
      <c r="F23" s="56" t="s">
        <v>349</v>
      </c>
      <c r="G23" s="56" t="s">
        <v>891</v>
      </c>
      <c r="H23" s="56" t="s">
        <v>314</v>
      </c>
      <c r="I23" s="56" t="s">
        <v>842</v>
      </c>
      <c r="J23" s="56" t="s">
        <v>347</v>
      </c>
      <c r="K23" s="56"/>
      <c r="L23" s="56"/>
      <c r="M23" s="56"/>
      <c r="N23" s="56" t="s">
        <v>16</v>
      </c>
      <c r="O23" s="44" t="s">
        <v>878</v>
      </c>
      <c r="P23" s="12" t="s">
        <v>887</v>
      </c>
      <c r="Q23" s="12">
        <f t="shared" ref="Q23:Q31" si="1">SUM(R23:AC23)</f>
        <v>180</v>
      </c>
      <c r="R23" s="12"/>
      <c r="S23" s="12"/>
      <c r="T23" s="12"/>
      <c r="U23" s="12">
        <v>30</v>
      </c>
      <c r="V23" s="12">
        <v>30</v>
      </c>
      <c r="W23" s="12">
        <v>30</v>
      </c>
      <c r="X23" s="12">
        <v>30</v>
      </c>
      <c r="Y23" s="12">
        <v>30</v>
      </c>
      <c r="Z23" s="12">
        <v>30</v>
      </c>
      <c r="AA23" s="12"/>
      <c r="AB23" s="12"/>
      <c r="AC23" s="12"/>
    </row>
    <row r="24" spans="1:29" ht="19.95" customHeight="1" x14ac:dyDescent="0.25">
      <c r="A24" s="38">
        <v>6372334521</v>
      </c>
      <c r="B24" s="56" t="s">
        <v>898</v>
      </c>
      <c r="C24" s="131" t="s">
        <v>899</v>
      </c>
      <c r="D24" s="56" t="s">
        <v>897</v>
      </c>
      <c r="E24" s="56" t="s">
        <v>889</v>
      </c>
      <c r="F24" s="56" t="s">
        <v>349</v>
      </c>
      <c r="G24" s="56" t="s">
        <v>891</v>
      </c>
      <c r="H24" s="56" t="s">
        <v>314</v>
      </c>
      <c r="I24" s="56" t="s">
        <v>842</v>
      </c>
      <c r="J24" s="56" t="s">
        <v>347</v>
      </c>
      <c r="K24" s="56"/>
      <c r="L24" s="56"/>
      <c r="M24" s="56"/>
      <c r="N24" s="56" t="s">
        <v>16</v>
      </c>
      <c r="O24" s="44" t="s">
        <v>879</v>
      </c>
      <c r="P24" s="12" t="s">
        <v>837</v>
      </c>
      <c r="Q24" s="12">
        <f t="shared" si="1"/>
        <v>18</v>
      </c>
      <c r="R24" s="12"/>
      <c r="S24" s="12"/>
      <c r="T24" s="12"/>
      <c r="U24" s="12">
        <v>2</v>
      </c>
      <c r="V24" s="12">
        <v>2</v>
      </c>
      <c r="W24" s="12">
        <v>2</v>
      </c>
      <c r="X24" s="12">
        <v>2</v>
      </c>
      <c r="Y24" s="12">
        <v>2</v>
      </c>
      <c r="Z24" s="12">
        <v>2</v>
      </c>
      <c r="AA24" s="12">
        <v>2</v>
      </c>
      <c r="AB24" s="12">
        <v>2</v>
      </c>
      <c r="AC24" s="12">
        <v>2</v>
      </c>
    </row>
    <row r="25" spans="1:29" ht="19.95" customHeight="1" x14ac:dyDescent="0.25">
      <c r="A25" s="38">
        <v>6372334521</v>
      </c>
      <c r="B25" s="56" t="s">
        <v>898</v>
      </c>
      <c r="C25" s="131" t="s">
        <v>899</v>
      </c>
      <c r="D25" s="56" t="s">
        <v>897</v>
      </c>
      <c r="E25" s="56" t="s">
        <v>889</v>
      </c>
      <c r="F25" s="56" t="s">
        <v>349</v>
      </c>
      <c r="G25" s="56" t="s">
        <v>891</v>
      </c>
      <c r="H25" s="56" t="s">
        <v>314</v>
      </c>
      <c r="I25" s="56" t="s">
        <v>842</v>
      </c>
      <c r="J25" s="56" t="s">
        <v>347</v>
      </c>
      <c r="K25" s="56"/>
      <c r="L25" s="56"/>
      <c r="M25" s="56"/>
      <c r="N25" s="56" t="s">
        <v>16</v>
      </c>
      <c r="O25" s="44" t="s">
        <v>880</v>
      </c>
      <c r="P25" s="12" t="s">
        <v>837</v>
      </c>
      <c r="Q25" s="12">
        <f t="shared" si="1"/>
        <v>28</v>
      </c>
      <c r="R25" s="12"/>
      <c r="S25" s="12"/>
      <c r="T25" s="12"/>
      <c r="U25" s="12">
        <v>28</v>
      </c>
      <c r="V25" s="12"/>
      <c r="W25" s="12"/>
      <c r="X25" s="12"/>
      <c r="Y25" s="12"/>
      <c r="Z25" s="12"/>
      <c r="AA25" s="12"/>
      <c r="AB25" s="12"/>
      <c r="AC25" s="12"/>
    </row>
    <row r="26" spans="1:29" ht="19.95" customHeight="1" x14ac:dyDescent="0.25">
      <c r="A26" s="38">
        <v>6372334521</v>
      </c>
      <c r="B26" s="56" t="s">
        <v>898</v>
      </c>
      <c r="C26" s="131" t="s">
        <v>899</v>
      </c>
      <c r="D26" s="56" t="s">
        <v>897</v>
      </c>
      <c r="E26" s="56" t="s">
        <v>889</v>
      </c>
      <c r="F26" s="56" t="s">
        <v>349</v>
      </c>
      <c r="G26" s="56" t="s">
        <v>891</v>
      </c>
      <c r="H26" s="56" t="s">
        <v>314</v>
      </c>
      <c r="I26" s="56" t="s">
        <v>842</v>
      </c>
      <c r="J26" s="56" t="s">
        <v>347</v>
      </c>
      <c r="K26" s="56"/>
      <c r="L26" s="56"/>
      <c r="M26" s="56"/>
      <c r="N26" s="56" t="s">
        <v>16</v>
      </c>
      <c r="O26" s="44" t="s">
        <v>881</v>
      </c>
      <c r="P26" s="12" t="s">
        <v>837</v>
      </c>
      <c r="Q26" s="12">
        <f t="shared" si="1"/>
        <v>30</v>
      </c>
      <c r="R26" s="12"/>
      <c r="S26" s="12"/>
      <c r="T26" s="12"/>
      <c r="U26" s="12">
        <v>5</v>
      </c>
      <c r="V26" s="12">
        <v>5</v>
      </c>
      <c r="W26" s="12">
        <v>5</v>
      </c>
      <c r="X26" s="12">
        <v>5</v>
      </c>
      <c r="Y26" s="12">
        <v>5</v>
      </c>
      <c r="Z26" s="12">
        <v>5</v>
      </c>
      <c r="AA26" s="12"/>
      <c r="AB26" s="12"/>
      <c r="AC26" s="12"/>
    </row>
    <row r="27" spans="1:29" ht="19.95" customHeight="1" x14ac:dyDescent="0.25">
      <c r="A27" s="38">
        <v>6372334521</v>
      </c>
      <c r="B27" s="56" t="s">
        <v>898</v>
      </c>
      <c r="C27" s="131" t="s">
        <v>899</v>
      </c>
      <c r="D27" s="56" t="s">
        <v>897</v>
      </c>
      <c r="E27" s="56" t="s">
        <v>889</v>
      </c>
      <c r="F27" s="56" t="s">
        <v>349</v>
      </c>
      <c r="G27" s="56" t="s">
        <v>891</v>
      </c>
      <c r="H27" s="56" t="s">
        <v>314</v>
      </c>
      <c r="I27" s="56" t="s">
        <v>842</v>
      </c>
      <c r="J27" s="56" t="s">
        <v>347</v>
      </c>
      <c r="K27" s="56"/>
      <c r="L27" s="56"/>
      <c r="M27" s="56"/>
      <c r="N27" s="56" t="s">
        <v>16</v>
      </c>
      <c r="O27" s="44" t="s">
        <v>882</v>
      </c>
      <c r="P27" s="12" t="s">
        <v>837</v>
      </c>
      <c r="Q27" s="12">
        <f t="shared" si="1"/>
        <v>36</v>
      </c>
      <c r="R27" s="12">
        <v>3</v>
      </c>
      <c r="S27" s="12">
        <v>3</v>
      </c>
      <c r="T27" s="12">
        <v>3</v>
      </c>
      <c r="U27" s="12">
        <v>3</v>
      </c>
      <c r="V27" s="12">
        <v>3</v>
      </c>
      <c r="W27" s="12">
        <v>3</v>
      </c>
      <c r="X27" s="12">
        <v>3</v>
      </c>
      <c r="Y27" s="12">
        <v>3</v>
      </c>
      <c r="Z27" s="12">
        <v>3</v>
      </c>
      <c r="AA27" s="12">
        <v>3</v>
      </c>
      <c r="AB27" s="12">
        <v>3</v>
      </c>
      <c r="AC27" s="12">
        <v>3</v>
      </c>
    </row>
    <row r="28" spans="1:29" ht="19.95" customHeight="1" x14ac:dyDescent="0.25">
      <c r="A28" s="38">
        <v>6372334521</v>
      </c>
      <c r="B28" s="56" t="s">
        <v>898</v>
      </c>
      <c r="C28" s="131" t="s">
        <v>899</v>
      </c>
      <c r="D28" s="56" t="s">
        <v>897</v>
      </c>
      <c r="E28" s="56" t="s">
        <v>889</v>
      </c>
      <c r="F28" s="56" t="s">
        <v>349</v>
      </c>
      <c r="G28" s="56" t="s">
        <v>891</v>
      </c>
      <c r="H28" s="56" t="s">
        <v>314</v>
      </c>
      <c r="I28" s="56" t="s">
        <v>842</v>
      </c>
      <c r="J28" s="56" t="s">
        <v>347</v>
      </c>
      <c r="K28" s="56"/>
      <c r="L28" s="56"/>
      <c r="M28" s="56"/>
      <c r="N28" s="56" t="s">
        <v>16</v>
      </c>
      <c r="O28" s="44" t="s">
        <v>883</v>
      </c>
      <c r="P28" s="12" t="s">
        <v>837</v>
      </c>
      <c r="Q28" s="12">
        <f t="shared" si="1"/>
        <v>10</v>
      </c>
      <c r="R28" s="12"/>
      <c r="S28" s="12"/>
      <c r="T28" s="12"/>
      <c r="U28" s="12"/>
      <c r="V28" s="12">
        <v>5</v>
      </c>
      <c r="W28" s="12"/>
      <c r="X28" s="12"/>
      <c r="Y28" s="12"/>
      <c r="Z28" s="12">
        <v>5</v>
      </c>
      <c r="AA28" s="12"/>
      <c r="AB28" s="12"/>
      <c r="AC28" s="12"/>
    </row>
    <row r="29" spans="1:29" ht="19.95" customHeight="1" x14ac:dyDescent="0.25">
      <c r="A29" s="38">
        <v>6372334521</v>
      </c>
      <c r="B29" s="56" t="s">
        <v>898</v>
      </c>
      <c r="C29" s="131" t="s">
        <v>899</v>
      </c>
      <c r="D29" s="56" t="s">
        <v>897</v>
      </c>
      <c r="E29" s="56" t="s">
        <v>889</v>
      </c>
      <c r="F29" s="56" t="s">
        <v>349</v>
      </c>
      <c r="G29" s="56" t="s">
        <v>891</v>
      </c>
      <c r="H29" s="56" t="s">
        <v>314</v>
      </c>
      <c r="I29" s="56" t="s">
        <v>842</v>
      </c>
      <c r="J29" s="56" t="s">
        <v>347</v>
      </c>
      <c r="K29" s="56"/>
      <c r="L29" s="56"/>
      <c r="M29" s="56"/>
      <c r="N29" s="56" t="s">
        <v>16</v>
      </c>
      <c r="O29" s="44" t="s">
        <v>884</v>
      </c>
      <c r="P29" s="12" t="s">
        <v>837</v>
      </c>
      <c r="Q29" s="12">
        <f t="shared" si="1"/>
        <v>180</v>
      </c>
      <c r="R29" s="12"/>
      <c r="S29" s="12"/>
      <c r="T29" s="12"/>
      <c r="U29" s="12"/>
      <c r="V29" s="12">
        <v>60</v>
      </c>
      <c r="W29" s="12"/>
      <c r="X29" s="12"/>
      <c r="Y29" s="12"/>
      <c r="Z29" s="12">
        <v>60</v>
      </c>
      <c r="AA29" s="12"/>
      <c r="AB29" s="12"/>
      <c r="AC29" s="12">
        <v>60</v>
      </c>
    </row>
    <row r="30" spans="1:29" ht="19.95" customHeight="1" x14ac:dyDescent="0.25">
      <c r="A30" s="38">
        <v>6372334521</v>
      </c>
      <c r="B30" s="56" t="s">
        <v>898</v>
      </c>
      <c r="C30" s="131" t="s">
        <v>899</v>
      </c>
      <c r="D30" s="56" t="s">
        <v>897</v>
      </c>
      <c r="E30" s="56" t="s">
        <v>889</v>
      </c>
      <c r="F30" s="56" t="s">
        <v>349</v>
      </c>
      <c r="G30" s="56" t="s">
        <v>891</v>
      </c>
      <c r="H30" s="56" t="s">
        <v>314</v>
      </c>
      <c r="I30" s="56" t="s">
        <v>842</v>
      </c>
      <c r="J30" s="56" t="s">
        <v>347</v>
      </c>
      <c r="K30" s="56"/>
      <c r="L30" s="56"/>
      <c r="M30" s="56"/>
      <c r="N30" s="56" t="s">
        <v>16</v>
      </c>
      <c r="O30" s="44" t="s">
        <v>885</v>
      </c>
      <c r="P30" s="12" t="s">
        <v>837</v>
      </c>
      <c r="Q30" s="12">
        <f t="shared" si="1"/>
        <v>11</v>
      </c>
      <c r="R30" s="12"/>
      <c r="S30" s="12"/>
      <c r="T30" s="12"/>
      <c r="U30" s="12"/>
      <c r="V30" s="12"/>
      <c r="W30" s="12"/>
      <c r="X30" s="12">
        <v>11</v>
      </c>
      <c r="Y30" s="12"/>
      <c r="Z30" s="12"/>
      <c r="AA30" s="12"/>
      <c r="AB30" s="12"/>
      <c r="AC30" s="12"/>
    </row>
    <row r="31" spans="1:29" ht="19.95" customHeight="1" x14ac:dyDescent="0.25">
      <c r="A31" s="38">
        <v>6372334521</v>
      </c>
      <c r="B31" s="56" t="s">
        <v>898</v>
      </c>
      <c r="C31" s="131" t="s">
        <v>899</v>
      </c>
      <c r="D31" s="56" t="s">
        <v>897</v>
      </c>
      <c r="E31" s="56" t="s">
        <v>889</v>
      </c>
      <c r="F31" s="56" t="s">
        <v>349</v>
      </c>
      <c r="G31" s="56" t="s">
        <v>891</v>
      </c>
      <c r="H31" s="56" t="s">
        <v>314</v>
      </c>
      <c r="I31" s="56" t="s">
        <v>842</v>
      </c>
      <c r="J31" s="56" t="s">
        <v>347</v>
      </c>
      <c r="K31" s="56"/>
      <c r="L31" s="56"/>
      <c r="M31" s="56"/>
      <c r="N31" s="56" t="s">
        <v>16</v>
      </c>
      <c r="O31" s="44" t="s">
        <v>886</v>
      </c>
      <c r="P31" s="12" t="s">
        <v>21</v>
      </c>
      <c r="Q31" s="12">
        <f t="shared" si="1"/>
        <v>0</v>
      </c>
      <c r="R31" s="12"/>
      <c r="S31" s="12"/>
      <c r="T31" s="12"/>
      <c r="U31" s="12"/>
      <c r="V31" s="12"/>
      <c r="W31" s="12"/>
      <c r="X31" s="12"/>
      <c r="Y31" s="12"/>
      <c r="Z31" s="12"/>
      <c r="AA31" s="12"/>
      <c r="AB31" s="12"/>
      <c r="AC31" s="12"/>
    </row>
    <row r="32" spans="1:29" ht="19.95" customHeight="1" x14ac:dyDescent="0.25"/>
  </sheetData>
  <hyperlinks>
    <hyperlink ref="C2" r:id="rId1" xr:uid="{E33304A7-59AE-4DA8-B18C-C460F3B73EB8}"/>
    <hyperlink ref="C3" r:id="rId2" xr:uid="{AFB4B20B-CC0F-4322-9631-F6A2086C6D91}"/>
    <hyperlink ref="C4" r:id="rId3" xr:uid="{3434C120-A41F-4309-9D6F-9ED203E6E112}"/>
    <hyperlink ref="C5" r:id="rId4" xr:uid="{0A105952-A09F-4D95-B182-ED15D8A7B385}"/>
    <hyperlink ref="C6" r:id="rId5" xr:uid="{3DD47613-5803-4331-AC25-3943BAB42298}"/>
    <hyperlink ref="C7" r:id="rId6" xr:uid="{CEA3CD10-B369-441C-844B-D2EAF396274F}"/>
    <hyperlink ref="C8" r:id="rId7" xr:uid="{CA72F36C-1EF8-4DB8-A736-F549F931C0FF}"/>
    <hyperlink ref="C9" r:id="rId8" xr:uid="{26609E16-7295-4EB0-926A-34AFBE34CBD6}"/>
    <hyperlink ref="C10" r:id="rId9" xr:uid="{F0C7C4FD-7625-4ADD-93AD-9DCE1207AFCE}"/>
    <hyperlink ref="C11" r:id="rId10" xr:uid="{D7EEAC70-90AD-456D-9C8C-F857DE8BEF7F}"/>
    <hyperlink ref="C12" r:id="rId11" xr:uid="{8E47656C-1DB5-4668-97CF-99BB951F8B9D}"/>
    <hyperlink ref="C13" r:id="rId12" xr:uid="{FD835C35-ECF5-4C73-A99C-B7AFAB4ED733}"/>
    <hyperlink ref="C14" r:id="rId13" xr:uid="{C6FD0B36-CAFA-413C-9153-130A91703A1B}"/>
    <hyperlink ref="C15" r:id="rId14" xr:uid="{E9B4D979-8671-44D3-B5E3-77A7804D13FC}"/>
    <hyperlink ref="C16" r:id="rId15" xr:uid="{63FC9AB5-0548-4691-89C9-46585BE75F3A}"/>
    <hyperlink ref="C17" r:id="rId16" xr:uid="{DE48EB50-A6EC-4546-98BF-3578A8026245}"/>
    <hyperlink ref="C18" r:id="rId17" xr:uid="{77453506-51EF-4B20-ADDF-1745FB8FF9F3}"/>
    <hyperlink ref="C19" r:id="rId18" xr:uid="{CA73B8A8-B46E-483A-B71D-B91137DE5342}"/>
    <hyperlink ref="C20" r:id="rId19" xr:uid="{72651A69-BC54-4039-ADC4-CBC82B5FBB26}"/>
    <hyperlink ref="C21" r:id="rId20" xr:uid="{1284A5C9-B41E-4162-90F3-D0D463C3BF20}"/>
    <hyperlink ref="C22" r:id="rId21" xr:uid="{4972D81E-159D-4BE9-99A7-040CB35858FE}"/>
    <hyperlink ref="C23" r:id="rId22" xr:uid="{79F68B92-542D-4BFF-B6F3-4D8282DEEBC3}"/>
    <hyperlink ref="C24" r:id="rId23" xr:uid="{244D0A63-7976-45D0-92A4-B97ECB60D0FF}"/>
    <hyperlink ref="C25" r:id="rId24" xr:uid="{5CBB0917-65BB-42A5-AA1E-15CE7B01A0FA}"/>
    <hyperlink ref="C26" r:id="rId25" xr:uid="{A5E5E474-0198-401C-A39B-5CED56AAB44F}"/>
    <hyperlink ref="C27" r:id="rId26" xr:uid="{CB75B9DE-63C7-48B5-B64C-08D553B6EA1D}"/>
    <hyperlink ref="C28" r:id="rId27" xr:uid="{DEE41561-F427-49FC-9D5E-D9EA70DA0AA0}"/>
    <hyperlink ref="C29" r:id="rId28" xr:uid="{37BE1E40-AFBE-4D37-BC01-40AF00DB22B3}"/>
    <hyperlink ref="C30" r:id="rId29" xr:uid="{AA9B1443-649B-4AA3-B2A6-475BB7F99605}"/>
    <hyperlink ref="C31" r:id="rId30" xr:uid="{C6F858B3-2A00-44B4-BE1C-18ABC8606C78}"/>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24FBE-DCB1-4B31-82D0-A6D49B914502}">
  <dimension ref="A1:AC32"/>
  <sheetViews>
    <sheetView topLeftCell="N10" workbookViewId="0">
      <selection activeCell="S19" sqref="S19"/>
    </sheetView>
  </sheetViews>
  <sheetFormatPr defaultRowHeight="13.2" x14ac:dyDescent="0.25"/>
  <cols>
    <col min="1" max="1" width="12.109375" bestFit="1" customWidth="1"/>
    <col min="2" max="2" width="15.33203125" bestFit="1" customWidth="1"/>
    <col min="3" max="3" width="28.21875" bestFit="1" customWidth="1"/>
    <col min="4" max="4" width="10.77734375" customWidth="1"/>
    <col min="5" max="5" width="18.21875" bestFit="1" customWidth="1"/>
    <col min="6" max="6" width="12.44140625" bestFit="1" customWidth="1"/>
    <col min="7" max="7" width="12.44140625" style="116" bestFit="1" customWidth="1"/>
    <col min="9" max="9" width="17.21875" bestFit="1" customWidth="1"/>
    <col min="10" max="10" width="11.44140625" style="116" bestFit="1" customWidth="1"/>
    <col min="11" max="13" width="11.44140625" bestFit="1" customWidth="1"/>
    <col min="14" max="14" width="14.5546875" style="116" bestFit="1" customWidth="1"/>
    <col min="15" max="15" width="75.6640625" bestFit="1" customWidth="1"/>
    <col min="16" max="16" width="20.88671875" bestFit="1" customWidth="1"/>
    <col min="17" max="17" width="14" bestFit="1" customWidth="1"/>
  </cols>
  <sheetData>
    <row r="1" spans="1:29" ht="27.6" x14ac:dyDescent="0.25">
      <c r="A1" s="35" t="s">
        <v>123</v>
      </c>
      <c r="B1" s="58" t="s">
        <v>1</v>
      </c>
      <c r="C1" s="35" t="s">
        <v>2</v>
      </c>
      <c r="D1" s="58" t="s">
        <v>3</v>
      </c>
      <c r="E1" s="35" t="s">
        <v>4</v>
      </c>
      <c r="F1" s="35" t="s">
        <v>5</v>
      </c>
      <c r="G1" s="35" t="s">
        <v>6</v>
      </c>
      <c r="H1" s="35" t="s">
        <v>7</v>
      </c>
      <c r="I1" s="58" t="s">
        <v>8</v>
      </c>
      <c r="J1" s="35" t="s">
        <v>9</v>
      </c>
      <c r="K1" s="35" t="s">
        <v>10</v>
      </c>
      <c r="L1" s="35" t="s">
        <v>126</v>
      </c>
      <c r="M1" s="35" t="s">
        <v>127</v>
      </c>
      <c r="N1" s="35" t="s">
        <v>11</v>
      </c>
      <c r="O1" s="35" t="s">
        <v>654</v>
      </c>
      <c r="P1" s="35" t="s">
        <v>655</v>
      </c>
      <c r="Q1" s="35" t="s">
        <v>656</v>
      </c>
      <c r="R1" s="35" t="s">
        <v>657</v>
      </c>
      <c r="S1" s="35" t="s">
        <v>658</v>
      </c>
      <c r="T1" s="35" t="s">
        <v>659</v>
      </c>
      <c r="U1" s="35" t="s">
        <v>660</v>
      </c>
      <c r="V1" s="35" t="s">
        <v>661</v>
      </c>
      <c r="W1" s="35" t="s">
        <v>662</v>
      </c>
      <c r="X1" s="35" t="s">
        <v>663</v>
      </c>
      <c r="Y1" s="35" t="s">
        <v>664</v>
      </c>
      <c r="Z1" s="35" t="s">
        <v>665</v>
      </c>
      <c r="AA1" s="35" t="s">
        <v>666</v>
      </c>
      <c r="AB1" s="35" t="s">
        <v>667</v>
      </c>
      <c r="AC1" s="35" t="s">
        <v>668</v>
      </c>
    </row>
    <row r="2" spans="1:29" ht="19.95" customHeight="1" x14ac:dyDescent="0.25">
      <c r="A2" s="38">
        <v>8249657887</v>
      </c>
      <c r="B2" s="56" t="s">
        <v>894</v>
      </c>
      <c r="C2" s="131" t="s">
        <v>895</v>
      </c>
      <c r="D2" s="56" t="s">
        <v>896</v>
      </c>
      <c r="E2" s="56" t="s">
        <v>889</v>
      </c>
      <c r="F2" s="56" t="s">
        <v>890</v>
      </c>
      <c r="G2" s="38" t="s">
        <v>891</v>
      </c>
      <c r="H2" s="56" t="s">
        <v>314</v>
      </c>
      <c r="I2" s="56" t="s">
        <v>842</v>
      </c>
      <c r="J2" s="56" t="s">
        <v>347</v>
      </c>
      <c r="K2" s="56"/>
      <c r="L2" s="56"/>
      <c r="M2" s="56"/>
      <c r="N2" s="56" t="s">
        <v>16</v>
      </c>
      <c r="O2" s="150" t="s">
        <v>858</v>
      </c>
      <c r="P2" s="12" t="s">
        <v>837</v>
      </c>
      <c r="Q2" s="12">
        <f>SUM(R2:AC2)</f>
        <v>636</v>
      </c>
      <c r="R2" s="12"/>
      <c r="S2" s="12"/>
      <c r="T2" s="12"/>
      <c r="U2" s="12"/>
      <c r="V2" s="12"/>
      <c r="W2" s="12">
        <v>636</v>
      </c>
      <c r="X2" s="12"/>
      <c r="Y2" s="12"/>
      <c r="Z2" s="12"/>
      <c r="AA2" s="12"/>
      <c r="AB2" s="12"/>
      <c r="AC2" s="12"/>
    </row>
    <row r="3" spans="1:29" ht="19.95" customHeight="1" x14ac:dyDescent="0.25">
      <c r="A3" s="38">
        <v>8249657887</v>
      </c>
      <c r="B3" s="56" t="s">
        <v>894</v>
      </c>
      <c r="C3" s="131" t="s">
        <v>895</v>
      </c>
      <c r="D3" s="56" t="s">
        <v>896</v>
      </c>
      <c r="E3" s="56" t="s">
        <v>889</v>
      </c>
      <c r="F3" s="56" t="s">
        <v>890</v>
      </c>
      <c r="G3" s="38" t="s">
        <v>891</v>
      </c>
      <c r="H3" s="56" t="s">
        <v>314</v>
      </c>
      <c r="I3" s="56" t="s">
        <v>842</v>
      </c>
      <c r="J3" s="56" t="s">
        <v>347</v>
      </c>
      <c r="K3" s="56"/>
      <c r="L3" s="56"/>
      <c r="M3" s="56"/>
      <c r="N3" s="56" t="s">
        <v>16</v>
      </c>
      <c r="O3" s="150" t="s">
        <v>859</v>
      </c>
      <c r="P3" s="12" t="s">
        <v>887</v>
      </c>
      <c r="Q3" s="12">
        <f>SUM(R3:AC3)</f>
        <v>45</v>
      </c>
      <c r="R3" s="12"/>
      <c r="S3" s="12"/>
      <c r="T3" s="12"/>
      <c r="U3" s="12">
        <v>5</v>
      </c>
      <c r="V3" s="12">
        <v>5</v>
      </c>
      <c r="W3" s="12">
        <v>5</v>
      </c>
      <c r="X3" s="12">
        <v>5</v>
      </c>
      <c r="Y3" s="12">
        <v>5</v>
      </c>
      <c r="Z3" s="12">
        <v>5</v>
      </c>
      <c r="AA3" s="12">
        <v>5</v>
      </c>
      <c r="AB3" s="12">
        <v>5</v>
      </c>
      <c r="AC3" s="12">
        <v>5</v>
      </c>
    </row>
    <row r="4" spans="1:29" ht="19.95" customHeight="1" x14ac:dyDescent="0.25">
      <c r="A4" s="38">
        <v>8249657887</v>
      </c>
      <c r="B4" s="56" t="s">
        <v>894</v>
      </c>
      <c r="C4" s="131" t="s">
        <v>895</v>
      </c>
      <c r="D4" s="56" t="s">
        <v>896</v>
      </c>
      <c r="E4" s="56" t="s">
        <v>889</v>
      </c>
      <c r="F4" s="56" t="s">
        <v>890</v>
      </c>
      <c r="G4" s="38" t="s">
        <v>891</v>
      </c>
      <c r="H4" s="56" t="s">
        <v>314</v>
      </c>
      <c r="I4" s="56" t="s">
        <v>842</v>
      </c>
      <c r="J4" s="56" t="s">
        <v>347</v>
      </c>
      <c r="K4" s="56"/>
      <c r="L4" s="56"/>
      <c r="M4" s="56"/>
      <c r="N4" s="56" t="s">
        <v>16</v>
      </c>
      <c r="O4" s="150" t="s">
        <v>860</v>
      </c>
      <c r="P4" s="12" t="s">
        <v>837</v>
      </c>
      <c r="Q4" s="12">
        <f t="shared" ref="Q4:Q20" si="0">SUM(R4:AC4)</f>
        <v>140</v>
      </c>
      <c r="R4" s="12">
        <v>80</v>
      </c>
      <c r="S4" s="12">
        <v>60</v>
      </c>
      <c r="T4" s="12"/>
      <c r="U4" s="12"/>
      <c r="V4" s="12"/>
      <c r="W4" s="12"/>
      <c r="X4" s="12"/>
      <c r="Y4" s="12"/>
      <c r="Z4" s="12"/>
      <c r="AA4" s="12"/>
      <c r="AB4" s="12"/>
      <c r="AC4" s="12"/>
    </row>
    <row r="5" spans="1:29" ht="19.95" customHeight="1" x14ac:dyDescent="0.25">
      <c r="A5" s="38">
        <v>8249657887</v>
      </c>
      <c r="B5" s="56" t="s">
        <v>894</v>
      </c>
      <c r="C5" s="131" t="s">
        <v>895</v>
      </c>
      <c r="D5" s="56" t="s">
        <v>896</v>
      </c>
      <c r="E5" s="56" t="s">
        <v>889</v>
      </c>
      <c r="F5" s="56" t="s">
        <v>890</v>
      </c>
      <c r="G5" s="38" t="s">
        <v>891</v>
      </c>
      <c r="H5" s="56" t="s">
        <v>314</v>
      </c>
      <c r="I5" s="56" t="s">
        <v>842</v>
      </c>
      <c r="J5" s="56" t="s">
        <v>347</v>
      </c>
      <c r="K5" s="56"/>
      <c r="L5" s="56"/>
      <c r="M5" s="56"/>
      <c r="N5" s="56" t="s">
        <v>16</v>
      </c>
      <c r="O5" s="150" t="s">
        <v>861</v>
      </c>
      <c r="P5" s="12" t="s">
        <v>837</v>
      </c>
      <c r="Q5" s="12">
        <f t="shared" si="0"/>
        <v>776</v>
      </c>
      <c r="R5" s="12"/>
      <c r="S5" s="12"/>
      <c r="T5" s="12">
        <v>173</v>
      </c>
      <c r="U5" s="12">
        <v>603</v>
      </c>
      <c r="V5" s="12"/>
      <c r="W5" s="12"/>
      <c r="X5" s="12"/>
      <c r="Y5" s="12"/>
      <c r="Z5" s="12"/>
      <c r="AA5" s="12"/>
      <c r="AB5" s="12"/>
      <c r="AC5" s="12"/>
    </row>
    <row r="6" spans="1:29" ht="19.95" customHeight="1" x14ac:dyDescent="0.25">
      <c r="A6" s="38">
        <v>8249657887</v>
      </c>
      <c r="B6" s="56" t="s">
        <v>894</v>
      </c>
      <c r="C6" s="131" t="s">
        <v>895</v>
      </c>
      <c r="D6" s="56" t="s">
        <v>896</v>
      </c>
      <c r="E6" s="56" t="s">
        <v>889</v>
      </c>
      <c r="F6" s="56" t="s">
        <v>890</v>
      </c>
      <c r="G6" s="38" t="s">
        <v>891</v>
      </c>
      <c r="H6" s="56" t="s">
        <v>314</v>
      </c>
      <c r="I6" s="56" t="s">
        <v>842</v>
      </c>
      <c r="J6" s="56" t="s">
        <v>347</v>
      </c>
      <c r="K6" s="56"/>
      <c r="L6" s="56"/>
      <c r="M6" s="56"/>
      <c r="N6" s="56" t="s">
        <v>16</v>
      </c>
      <c r="O6" s="150" t="s">
        <v>862</v>
      </c>
      <c r="P6" s="12" t="s">
        <v>837</v>
      </c>
      <c r="Q6" s="12">
        <f t="shared" si="0"/>
        <v>776</v>
      </c>
      <c r="R6" s="12"/>
      <c r="S6" s="12"/>
      <c r="T6" s="12"/>
      <c r="U6" s="12">
        <v>776</v>
      </c>
      <c r="V6" s="12"/>
      <c r="W6" s="12"/>
      <c r="X6" s="12"/>
      <c r="Y6" s="12"/>
      <c r="Z6" s="12"/>
      <c r="AA6" s="12"/>
      <c r="AB6" s="12"/>
      <c r="AC6" s="12"/>
    </row>
    <row r="7" spans="1:29" ht="19.95" customHeight="1" x14ac:dyDescent="0.25">
      <c r="A7" s="38">
        <v>8249657887</v>
      </c>
      <c r="B7" s="56" t="s">
        <v>894</v>
      </c>
      <c r="C7" s="131" t="s">
        <v>895</v>
      </c>
      <c r="D7" s="56" t="s">
        <v>896</v>
      </c>
      <c r="E7" s="56" t="s">
        <v>889</v>
      </c>
      <c r="F7" s="56" t="s">
        <v>890</v>
      </c>
      <c r="G7" s="38" t="s">
        <v>891</v>
      </c>
      <c r="H7" s="56" t="s">
        <v>314</v>
      </c>
      <c r="I7" s="56" t="s">
        <v>842</v>
      </c>
      <c r="J7" s="56" t="s">
        <v>347</v>
      </c>
      <c r="K7" s="56"/>
      <c r="L7" s="56"/>
      <c r="M7" s="56"/>
      <c r="N7" s="56" t="s">
        <v>16</v>
      </c>
      <c r="O7" s="150" t="s">
        <v>863</v>
      </c>
      <c r="P7" s="12" t="s">
        <v>837</v>
      </c>
      <c r="Q7" s="12">
        <f t="shared" si="0"/>
        <v>3104</v>
      </c>
      <c r="R7" s="12"/>
      <c r="S7" s="12"/>
      <c r="T7" s="12"/>
      <c r="U7" s="12">
        <v>776</v>
      </c>
      <c r="V7" s="12">
        <v>776</v>
      </c>
      <c r="W7" s="12">
        <v>776</v>
      </c>
      <c r="X7" s="12">
        <v>776</v>
      </c>
      <c r="Y7" s="12"/>
      <c r="Z7" s="12"/>
      <c r="AA7" s="12"/>
      <c r="AB7" s="12"/>
      <c r="AC7" s="12"/>
    </row>
    <row r="8" spans="1:29" ht="19.95" customHeight="1" x14ac:dyDescent="0.25">
      <c r="A8" s="38">
        <v>8249657887</v>
      </c>
      <c r="B8" s="56" t="s">
        <v>894</v>
      </c>
      <c r="C8" s="131" t="s">
        <v>895</v>
      </c>
      <c r="D8" s="56" t="s">
        <v>896</v>
      </c>
      <c r="E8" s="56" t="s">
        <v>889</v>
      </c>
      <c r="F8" s="56" t="s">
        <v>890</v>
      </c>
      <c r="G8" s="38" t="s">
        <v>891</v>
      </c>
      <c r="H8" s="56" t="s">
        <v>314</v>
      </c>
      <c r="I8" s="56" t="s">
        <v>842</v>
      </c>
      <c r="J8" s="56" t="s">
        <v>347</v>
      </c>
      <c r="K8" s="56"/>
      <c r="L8" s="56"/>
      <c r="M8" s="56"/>
      <c r="N8" s="56" t="s">
        <v>16</v>
      </c>
      <c r="O8" s="150" t="s">
        <v>864</v>
      </c>
      <c r="P8" s="12" t="s">
        <v>837</v>
      </c>
      <c r="Q8" s="12">
        <f t="shared" si="0"/>
        <v>776</v>
      </c>
      <c r="R8" s="12"/>
      <c r="S8" s="12"/>
      <c r="T8" s="12"/>
      <c r="U8" s="12"/>
      <c r="V8" s="12"/>
      <c r="W8" s="12">
        <v>776</v>
      </c>
      <c r="X8" s="12"/>
      <c r="Y8" s="12"/>
      <c r="Z8" s="12"/>
      <c r="AA8" s="12"/>
      <c r="AB8" s="12"/>
      <c r="AC8" s="12"/>
    </row>
    <row r="9" spans="1:29" ht="19.95" customHeight="1" x14ac:dyDescent="0.25">
      <c r="A9" s="38">
        <v>8249657887</v>
      </c>
      <c r="B9" s="56" t="s">
        <v>894</v>
      </c>
      <c r="C9" s="131" t="s">
        <v>895</v>
      </c>
      <c r="D9" s="56" t="s">
        <v>896</v>
      </c>
      <c r="E9" s="56" t="s">
        <v>889</v>
      </c>
      <c r="F9" s="56" t="s">
        <v>890</v>
      </c>
      <c r="G9" s="38" t="s">
        <v>891</v>
      </c>
      <c r="H9" s="56" t="s">
        <v>314</v>
      </c>
      <c r="I9" s="56" t="s">
        <v>842</v>
      </c>
      <c r="J9" s="56" t="s">
        <v>347</v>
      </c>
      <c r="K9" s="56"/>
      <c r="L9" s="56"/>
      <c r="M9" s="56"/>
      <c r="N9" s="56" t="s">
        <v>16</v>
      </c>
      <c r="O9" s="150" t="s">
        <v>865</v>
      </c>
      <c r="P9" s="12" t="s">
        <v>837</v>
      </c>
      <c r="Q9" s="12">
        <f t="shared" si="0"/>
        <v>776</v>
      </c>
      <c r="R9" s="12"/>
      <c r="S9" s="12"/>
      <c r="T9" s="12"/>
      <c r="U9" s="12"/>
      <c r="V9" s="12"/>
      <c r="W9" s="12">
        <v>776</v>
      </c>
      <c r="X9" s="12"/>
      <c r="Y9" s="12"/>
      <c r="Z9" s="12"/>
      <c r="AA9" s="12"/>
      <c r="AB9" s="12"/>
      <c r="AC9" s="12"/>
    </row>
    <row r="10" spans="1:29" ht="19.95" customHeight="1" x14ac:dyDescent="0.25">
      <c r="A10" s="38">
        <v>8249657887</v>
      </c>
      <c r="B10" s="56" t="s">
        <v>894</v>
      </c>
      <c r="C10" s="131" t="s">
        <v>895</v>
      </c>
      <c r="D10" s="56" t="s">
        <v>896</v>
      </c>
      <c r="E10" s="56" t="s">
        <v>889</v>
      </c>
      <c r="F10" s="56" t="s">
        <v>890</v>
      </c>
      <c r="G10" s="38" t="s">
        <v>891</v>
      </c>
      <c r="H10" s="56" t="s">
        <v>314</v>
      </c>
      <c r="I10" s="56" t="s">
        <v>842</v>
      </c>
      <c r="J10" s="56" t="s">
        <v>347</v>
      </c>
      <c r="K10" s="56"/>
      <c r="L10" s="56"/>
      <c r="M10" s="56"/>
      <c r="N10" s="56" t="s">
        <v>16</v>
      </c>
      <c r="O10" s="150" t="s">
        <v>866</v>
      </c>
      <c r="P10" s="12" t="s">
        <v>837</v>
      </c>
      <c r="Q10" s="12">
        <f t="shared" si="0"/>
        <v>776</v>
      </c>
      <c r="R10" s="12"/>
      <c r="S10" s="12"/>
      <c r="T10" s="12"/>
      <c r="U10" s="12"/>
      <c r="V10" s="12"/>
      <c r="W10" s="12"/>
      <c r="X10" s="12">
        <v>776</v>
      </c>
      <c r="Y10" s="12"/>
      <c r="Z10" s="12"/>
      <c r="AA10" s="12"/>
      <c r="AB10" s="12"/>
      <c r="AC10" s="12"/>
    </row>
    <row r="11" spans="1:29" ht="19.95" customHeight="1" x14ac:dyDescent="0.25">
      <c r="A11" s="38">
        <v>8249657887</v>
      </c>
      <c r="B11" s="56" t="s">
        <v>894</v>
      </c>
      <c r="C11" s="131" t="s">
        <v>895</v>
      </c>
      <c r="D11" s="56" t="s">
        <v>896</v>
      </c>
      <c r="E11" s="56" t="s">
        <v>889</v>
      </c>
      <c r="F11" s="56" t="s">
        <v>890</v>
      </c>
      <c r="G11" s="38" t="s">
        <v>891</v>
      </c>
      <c r="H11" s="56" t="s">
        <v>314</v>
      </c>
      <c r="I11" s="56" t="s">
        <v>842</v>
      </c>
      <c r="J11" s="56" t="s">
        <v>347</v>
      </c>
      <c r="K11" s="56"/>
      <c r="L11" s="56"/>
      <c r="M11" s="56"/>
      <c r="N11" s="56" t="s">
        <v>16</v>
      </c>
      <c r="O11" s="150" t="s">
        <v>867</v>
      </c>
      <c r="P11" s="12" t="s">
        <v>837</v>
      </c>
      <c r="Q11" s="12">
        <f t="shared" si="0"/>
        <v>776</v>
      </c>
      <c r="R11" s="12"/>
      <c r="S11" s="12"/>
      <c r="T11" s="12"/>
      <c r="U11" s="12"/>
      <c r="V11" s="12"/>
      <c r="W11" s="12"/>
      <c r="X11" s="12"/>
      <c r="Y11" s="12">
        <v>776</v>
      </c>
      <c r="Z11" s="12"/>
      <c r="AA11" s="12"/>
      <c r="AB11" s="12"/>
      <c r="AC11" s="12"/>
    </row>
    <row r="12" spans="1:29" ht="19.95" customHeight="1" x14ac:dyDescent="0.25">
      <c r="A12" s="38">
        <v>8249657887</v>
      </c>
      <c r="B12" s="56" t="s">
        <v>894</v>
      </c>
      <c r="C12" s="131" t="s">
        <v>895</v>
      </c>
      <c r="D12" s="56" t="s">
        <v>896</v>
      </c>
      <c r="E12" s="56" t="s">
        <v>889</v>
      </c>
      <c r="F12" s="56" t="s">
        <v>890</v>
      </c>
      <c r="G12" s="38" t="s">
        <v>891</v>
      </c>
      <c r="H12" s="56" t="s">
        <v>314</v>
      </c>
      <c r="I12" s="56" t="s">
        <v>842</v>
      </c>
      <c r="J12" s="56" t="s">
        <v>347</v>
      </c>
      <c r="K12" s="56"/>
      <c r="L12" s="56"/>
      <c r="M12" s="56"/>
      <c r="N12" s="56" t="s">
        <v>16</v>
      </c>
      <c r="O12" s="150" t="s">
        <v>868</v>
      </c>
      <c r="P12" s="12" t="s">
        <v>837</v>
      </c>
      <c r="Q12" s="12">
        <f t="shared" si="0"/>
        <v>776</v>
      </c>
      <c r="R12" s="12"/>
      <c r="S12" s="12"/>
      <c r="T12" s="12"/>
      <c r="U12" s="12"/>
      <c r="V12" s="12"/>
      <c r="W12" s="12"/>
      <c r="X12" s="12"/>
      <c r="Y12" s="12"/>
      <c r="Z12" s="12"/>
      <c r="AA12" s="12"/>
      <c r="AB12" s="12">
        <v>776</v>
      </c>
      <c r="AC12" s="12"/>
    </row>
    <row r="13" spans="1:29" ht="19.95" customHeight="1" x14ac:dyDescent="0.25">
      <c r="A13" s="38">
        <v>8249657887</v>
      </c>
      <c r="B13" s="56" t="s">
        <v>894</v>
      </c>
      <c r="C13" s="131" t="s">
        <v>895</v>
      </c>
      <c r="D13" s="56" t="s">
        <v>896</v>
      </c>
      <c r="E13" s="56" t="s">
        <v>889</v>
      </c>
      <c r="F13" s="56" t="s">
        <v>890</v>
      </c>
      <c r="G13" s="38" t="s">
        <v>891</v>
      </c>
      <c r="H13" s="56" t="s">
        <v>314</v>
      </c>
      <c r="I13" s="56" t="s">
        <v>842</v>
      </c>
      <c r="J13" s="56" t="s">
        <v>347</v>
      </c>
      <c r="K13" s="56"/>
      <c r="L13" s="56"/>
      <c r="M13" s="56"/>
      <c r="N13" s="56" t="s">
        <v>16</v>
      </c>
      <c r="O13" s="150" t="s">
        <v>869</v>
      </c>
      <c r="P13" s="12" t="s">
        <v>837</v>
      </c>
      <c r="Q13" s="12">
        <f t="shared" si="0"/>
        <v>2328</v>
      </c>
      <c r="R13" s="12"/>
      <c r="S13" s="12"/>
      <c r="T13" s="12"/>
      <c r="U13" s="12"/>
      <c r="V13" s="12"/>
      <c r="W13" s="12"/>
      <c r="X13" s="12"/>
      <c r="Y13" s="12">
        <v>776</v>
      </c>
      <c r="Z13" s="12">
        <v>776</v>
      </c>
      <c r="AA13" s="12">
        <v>776</v>
      </c>
      <c r="AB13" s="12"/>
      <c r="AC13" s="12"/>
    </row>
    <row r="14" spans="1:29" ht="19.95" customHeight="1" x14ac:dyDescent="0.25">
      <c r="A14" s="38">
        <v>8249657887</v>
      </c>
      <c r="B14" s="56" t="s">
        <v>894</v>
      </c>
      <c r="C14" s="131" t="s">
        <v>895</v>
      </c>
      <c r="D14" s="56" t="s">
        <v>896</v>
      </c>
      <c r="E14" s="56" t="s">
        <v>889</v>
      </c>
      <c r="F14" s="56" t="s">
        <v>890</v>
      </c>
      <c r="G14" s="38" t="s">
        <v>891</v>
      </c>
      <c r="H14" s="56" t="s">
        <v>314</v>
      </c>
      <c r="I14" s="56" t="s">
        <v>842</v>
      </c>
      <c r="J14" s="56" t="s">
        <v>347</v>
      </c>
      <c r="K14" s="56"/>
      <c r="L14" s="56"/>
      <c r="M14" s="56"/>
      <c r="N14" s="56" t="s">
        <v>16</v>
      </c>
      <c r="O14" s="150" t="s">
        <v>870</v>
      </c>
      <c r="P14" s="12" t="s">
        <v>837</v>
      </c>
      <c r="Q14" s="12">
        <f t="shared" si="0"/>
        <v>776</v>
      </c>
      <c r="R14" s="12"/>
      <c r="S14" s="12"/>
      <c r="T14" s="12"/>
      <c r="U14" s="12"/>
      <c r="V14" s="12"/>
      <c r="W14" s="12"/>
      <c r="X14" s="12"/>
      <c r="Y14" s="12"/>
      <c r="Z14" s="12"/>
      <c r="AA14" s="12"/>
      <c r="AB14" s="12"/>
      <c r="AC14" s="12">
        <v>776</v>
      </c>
    </row>
    <row r="15" spans="1:29" ht="19.95" customHeight="1" x14ac:dyDescent="0.25">
      <c r="A15" s="38">
        <v>8249657887</v>
      </c>
      <c r="B15" s="56" t="s">
        <v>894</v>
      </c>
      <c r="C15" s="131" t="s">
        <v>895</v>
      </c>
      <c r="D15" s="56" t="s">
        <v>896</v>
      </c>
      <c r="E15" s="56" t="s">
        <v>889</v>
      </c>
      <c r="F15" s="56" t="s">
        <v>890</v>
      </c>
      <c r="G15" s="38" t="s">
        <v>891</v>
      </c>
      <c r="H15" s="56" t="s">
        <v>314</v>
      </c>
      <c r="I15" s="56" t="s">
        <v>842</v>
      </c>
      <c r="J15" s="56" t="s">
        <v>347</v>
      </c>
      <c r="K15" s="56"/>
      <c r="L15" s="56"/>
      <c r="M15" s="56"/>
      <c r="N15" s="56" t="s">
        <v>16</v>
      </c>
      <c r="O15" s="150" t="s">
        <v>871</v>
      </c>
      <c r="P15" s="12" t="s">
        <v>837</v>
      </c>
      <c r="Q15" s="12">
        <f t="shared" si="0"/>
        <v>1552</v>
      </c>
      <c r="R15" s="12"/>
      <c r="S15" s="12"/>
      <c r="T15" s="12"/>
      <c r="U15" s="12"/>
      <c r="V15" s="12">
        <v>368</v>
      </c>
      <c r="W15" s="12">
        <v>408</v>
      </c>
      <c r="X15" s="12"/>
      <c r="Y15" s="12"/>
      <c r="Z15" s="12"/>
      <c r="AA15" s="12"/>
      <c r="AB15" s="12"/>
      <c r="AC15" s="12">
        <v>776</v>
      </c>
    </row>
    <row r="16" spans="1:29" ht="19.95" customHeight="1" x14ac:dyDescent="0.25">
      <c r="A16" s="38">
        <v>8249657887</v>
      </c>
      <c r="B16" s="56" t="s">
        <v>894</v>
      </c>
      <c r="C16" s="131" t="s">
        <v>895</v>
      </c>
      <c r="D16" s="56" t="s">
        <v>896</v>
      </c>
      <c r="E16" s="56" t="s">
        <v>889</v>
      </c>
      <c r="F16" s="56" t="s">
        <v>890</v>
      </c>
      <c r="G16" s="38" t="s">
        <v>891</v>
      </c>
      <c r="H16" s="56" t="s">
        <v>314</v>
      </c>
      <c r="I16" s="56" t="s">
        <v>842</v>
      </c>
      <c r="J16" s="56" t="s">
        <v>347</v>
      </c>
      <c r="K16" s="56"/>
      <c r="L16" s="56"/>
      <c r="M16" s="56"/>
      <c r="N16" s="56" t="s">
        <v>16</v>
      </c>
      <c r="O16" s="150" t="s">
        <v>872</v>
      </c>
      <c r="P16" s="12" t="s">
        <v>837</v>
      </c>
      <c r="Q16" s="12">
        <f t="shared" si="0"/>
        <v>776</v>
      </c>
      <c r="R16" s="12"/>
      <c r="S16" s="12"/>
      <c r="T16" s="12"/>
      <c r="U16" s="12">
        <v>776</v>
      </c>
      <c r="V16" s="12"/>
      <c r="W16" s="12"/>
      <c r="X16" s="12"/>
      <c r="Y16" s="12"/>
      <c r="Z16" s="12"/>
      <c r="AA16" s="12"/>
      <c r="AB16" s="12"/>
      <c r="AC16" s="12"/>
    </row>
    <row r="17" spans="1:29" ht="19.95" customHeight="1" x14ac:dyDescent="0.25">
      <c r="A17" s="38">
        <v>8249657887</v>
      </c>
      <c r="B17" s="56" t="s">
        <v>894</v>
      </c>
      <c r="C17" s="131" t="s">
        <v>895</v>
      </c>
      <c r="D17" s="56" t="s">
        <v>896</v>
      </c>
      <c r="E17" s="56" t="s">
        <v>889</v>
      </c>
      <c r="F17" s="56" t="s">
        <v>890</v>
      </c>
      <c r="G17" s="38" t="s">
        <v>891</v>
      </c>
      <c r="H17" s="56" t="s">
        <v>314</v>
      </c>
      <c r="I17" s="56" t="s">
        <v>842</v>
      </c>
      <c r="J17" s="56" t="s">
        <v>347</v>
      </c>
      <c r="K17" s="56"/>
      <c r="L17" s="56"/>
      <c r="M17" s="56"/>
      <c r="N17" s="56" t="s">
        <v>16</v>
      </c>
      <c r="O17" s="150" t="s">
        <v>873</v>
      </c>
      <c r="P17" s="12" t="s">
        <v>837</v>
      </c>
      <c r="Q17" s="12">
        <f t="shared" si="0"/>
        <v>140</v>
      </c>
      <c r="R17" s="12"/>
      <c r="S17" s="12"/>
      <c r="T17" s="12"/>
      <c r="U17" s="12"/>
      <c r="V17" s="12">
        <v>140</v>
      </c>
      <c r="W17" s="12"/>
      <c r="X17" s="12"/>
      <c r="Y17" s="12"/>
      <c r="Z17" s="12"/>
      <c r="AA17" s="12"/>
      <c r="AB17" s="12"/>
      <c r="AC17" s="12"/>
    </row>
    <row r="18" spans="1:29" ht="19.95" customHeight="1" x14ac:dyDescent="0.25">
      <c r="A18" s="38">
        <v>8249657887</v>
      </c>
      <c r="B18" s="56" t="s">
        <v>894</v>
      </c>
      <c r="C18" s="131" t="s">
        <v>895</v>
      </c>
      <c r="D18" s="56" t="s">
        <v>896</v>
      </c>
      <c r="E18" s="56" t="s">
        <v>889</v>
      </c>
      <c r="F18" s="56" t="s">
        <v>890</v>
      </c>
      <c r="G18" s="38" t="s">
        <v>891</v>
      </c>
      <c r="H18" s="56" t="s">
        <v>314</v>
      </c>
      <c r="I18" s="56" t="s">
        <v>842</v>
      </c>
      <c r="J18" s="56" t="s">
        <v>347</v>
      </c>
      <c r="K18" s="56"/>
      <c r="L18" s="56"/>
      <c r="M18" s="56"/>
      <c r="N18" s="56" t="s">
        <v>16</v>
      </c>
      <c r="O18" s="150" t="s">
        <v>874</v>
      </c>
      <c r="P18" s="12" t="s">
        <v>837</v>
      </c>
      <c r="Q18" s="12">
        <f t="shared" si="0"/>
        <v>776</v>
      </c>
      <c r="R18" s="12"/>
      <c r="S18" s="12"/>
      <c r="T18" s="12"/>
      <c r="U18" s="12"/>
      <c r="V18" s="12">
        <v>776</v>
      </c>
      <c r="W18" s="12"/>
      <c r="X18" s="12"/>
      <c r="Y18" s="12"/>
      <c r="Z18" s="12"/>
      <c r="AA18" s="12"/>
      <c r="AB18" s="12"/>
      <c r="AC18" s="12"/>
    </row>
    <row r="19" spans="1:29" ht="19.95" customHeight="1" x14ac:dyDescent="0.25">
      <c r="A19" s="38">
        <v>8249657887</v>
      </c>
      <c r="B19" s="56" t="s">
        <v>894</v>
      </c>
      <c r="C19" s="131" t="s">
        <v>895</v>
      </c>
      <c r="D19" s="56" t="s">
        <v>896</v>
      </c>
      <c r="E19" s="56" t="s">
        <v>889</v>
      </c>
      <c r="F19" s="56" t="s">
        <v>890</v>
      </c>
      <c r="G19" s="38" t="s">
        <v>891</v>
      </c>
      <c r="H19" s="56" t="s">
        <v>314</v>
      </c>
      <c r="I19" s="56" t="s">
        <v>842</v>
      </c>
      <c r="J19" s="56" t="s">
        <v>347</v>
      </c>
      <c r="K19" s="56"/>
      <c r="L19" s="56"/>
      <c r="M19" s="56"/>
      <c r="N19" s="56" t="s">
        <v>16</v>
      </c>
      <c r="O19" s="150" t="s">
        <v>721</v>
      </c>
      <c r="P19" s="12" t="s">
        <v>837</v>
      </c>
      <c r="Q19" s="12">
        <f t="shared" si="0"/>
        <v>776</v>
      </c>
      <c r="R19" s="12"/>
      <c r="S19" s="12"/>
      <c r="T19" s="12"/>
      <c r="U19" s="12"/>
      <c r="V19" s="12">
        <v>355</v>
      </c>
      <c r="W19" s="12">
        <v>421</v>
      </c>
      <c r="X19" s="12"/>
      <c r="Y19" s="12"/>
      <c r="Z19" s="12"/>
      <c r="AA19" s="12"/>
      <c r="AB19" s="12"/>
      <c r="AC19" s="12"/>
    </row>
    <row r="20" spans="1:29" ht="19.95" customHeight="1" x14ac:dyDescent="0.25">
      <c r="A20" s="38">
        <v>8249657887</v>
      </c>
      <c r="B20" s="56" t="s">
        <v>894</v>
      </c>
      <c r="C20" s="131" t="s">
        <v>895</v>
      </c>
      <c r="D20" s="56" t="s">
        <v>896</v>
      </c>
      <c r="E20" s="56" t="s">
        <v>889</v>
      </c>
      <c r="F20" s="56" t="s">
        <v>890</v>
      </c>
      <c r="G20" s="38" t="s">
        <v>891</v>
      </c>
      <c r="H20" s="56" t="s">
        <v>314</v>
      </c>
      <c r="I20" s="56" t="s">
        <v>842</v>
      </c>
      <c r="J20" s="56" t="s">
        <v>347</v>
      </c>
      <c r="K20" s="56"/>
      <c r="L20" s="56"/>
      <c r="M20" s="56"/>
      <c r="N20" s="56" t="s">
        <v>16</v>
      </c>
      <c r="O20" s="150" t="s">
        <v>875</v>
      </c>
      <c r="P20" s="12" t="s">
        <v>837</v>
      </c>
      <c r="Q20" s="12">
        <f t="shared" si="0"/>
        <v>2</v>
      </c>
      <c r="R20" s="12"/>
      <c r="S20" s="12"/>
      <c r="T20" s="12"/>
      <c r="U20" s="12"/>
      <c r="V20" s="12"/>
      <c r="W20" s="12"/>
      <c r="X20" s="12">
        <v>2</v>
      </c>
      <c r="Y20" s="12"/>
      <c r="Z20" s="12"/>
      <c r="AA20" s="12"/>
      <c r="AB20" s="12"/>
      <c r="AC20" s="12"/>
    </row>
    <row r="21" spans="1:29" ht="19.95" customHeight="1" x14ac:dyDescent="0.25">
      <c r="A21" s="38">
        <v>8249657887</v>
      </c>
      <c r="B21" s="56" t="s">
        <v>894</v>
      </c>
      <c r="C21" s="131" t="s">
        <v>895</v>
      </c>
      <c r="D21" s="56" t="s">
        <v>896</v>
      </c>
      <c r="E21" s="56" t="s">
        <v>889</v>
      </c>
      <c r="F21" s="56" t="s">
        <v>890</v>
      </c>
      <c r="G21" s="38" t="s">
        <v>891</v>
      </c>
      <c r="H21" s="56" t="s">
        <v>314</v>
      </c>
      <c r="I21" s="56" t="s">
        <v>842</v>
      </c>
      <c r="J21" s="56" t="s">
        <v>347</v>
      </c>
      <c r="K21" s="56"/>
      <c r="L21" s="56"/>
      <c r="M21" s="56"/>
      <c r="N21" s="56" t="s">
        <v>16</v>
      </c>
      <c r="O21" s="150" t="s">
        <v>876</v>
      </c>
      <c r="P21" s="12" t="s">
        <v>21</v>
      </c>
      <c r="Q21" s="96">
        <v>1</v>
      </c>
      <c r="R21" s="12"/>
      <c r="S21" s="12"/>
      <c r="T21" s="12"/>
      <c r="U21" s="12"/>
      <c r="V21" s="12"/>
      <c r="W21" s="12"/>
      <c r="X21" s="12"/>
      <c r="Y21" s="96">
        <v>1</v>
      </c>
      <c r="Z21" s="96">
        <v>1</v>
      </c>
      <c r="AA21" s="96">
        <v>1</v>
      </c>
      <c r="AB21" s="96">
        <v>1</v>
      </c>
      <c r="AC21" s="12"/>
    </row>
    <row r="22" spans="1:29" ht="19.95" customHeight="1" x14ac:dyDescent="0.25">
      <c r="A22" s="38">
        <v>8249657887</v>
      </c>
      <c r="B22" s="56" t="s">
        <v>894</v>
      </c>
      <c r="C22" s="131" t="s">
        <v>895</v>
      </c>
      <c r="D22" s="56" t="s">
        <v>896</v>
      </c>
      <c r="E22" s="56" t="s">
        <v>889</v>
      </c>
      <c r="F22" s="56" t="s">
        <v>890</v>
      </c>
      <c r="G22" s="38" t="s">
        <v>891</v>
      </c>
      <c r="H22" s="56" t="s">
        <v>314</v>
      </c>
      <c r="I22" s="56" t="s">
        <v>842</v>
      </c>
      <c r="J22" s="56" t="s">
        <v>347</v>
      </c>
      <c r="K22" s="56"/>
      <c r="L22" s="56"/>
      <c r="M22" s="56"/>
      <c r="N22" s="56" t="s">
        <v>16</v>
      </c>
      <c r="O22" s="150" t="s">
        <v>877</v>
      </c>
      <c r="P22" s="12" t="s">
        <v>21</v>
      </c>
      <c r="Q22" s="96">
        <v>1</v>
      </c>
      <c r="R22" s="12"/>
      <c r="S22" s="12"/>
      <c r="T22" s="12"/>
      <c r="U22" s="96">
        <v>1</v>
      </c>
      <c r="V22" s="96">
        <v>1</v>
      </c>
      <c r="W22" s="96">
        <v>1</v>
      </c>
      <c r="X22" s="96">
        <v>1</v>
      </c>
      <c r="Y22" s="96">
        <v>1</v>
      </c>
      <c r="Z22" s="96">
        <v>1</v>
      </c>
      <c r="AA22" s="96">
        <v>1</v>
      </c>
      <c r="AB22" s="96">
        <v>1</v>
      </c>
      <c r="AC22" s="96">
        <v>1</v>
      </c>
    </row>
    <row r="23" spans="1:29" ht="19.95" customHeight="1" x14ac:dyDescent="0.25">
      <c r="A23" s="38">
        <v>8249657887</v>
      </c>
      <c r="B23" s="56" t="s">
        <v>894</v>
      </c>
      <c r="C23" s="131" t="s">
        <v>895</v>
      </c>
      <c r="D23" s="56" t="s">
        <v>896</v>
      </c>
      <c r="E23" s="56" t="s">
        <v>889</v>
      </c>
      <c r="F23" s="56" t="s">
        <v>890</v>
      </c>
      <c r="G23" s="38" t="s">
        <v>891</v>
      </c>
      <c r="H23" s="56" t="s">
        <v>314</v>
      </c>
      <c r="I23" s="56" t="s">
        <v>842</v>
      </c>
      <c r="J23" s="56" t="s">
        <v>347</v>
      </c>
      <c r="K23" s="56"/>
      <c r="L23" s="56"/>
      <c r="M23" s="56"/>
      <c r="N23" s="56" t="s">
        <v>16</v>
      </c>
      <c r="O23" s="150" t="s">
        <v>878</v>
      </c>
      <c r="P23" s="12" t="s">
        <v>887</v>
      </c>
      <c r="Q23" s="12">
        <f t="shared" ref="Q23:Q31" si="1">SUM(R23:AC23)</f>
        <v>180</v>
      </c>
      <c r="R23" s="12"/>
      <c r="S23" s="12"/>
      <c r="T23" s="12"/>
      <c r="U23" s="12">
        <v>30</v>
      </c>
      <c r="V23" s="12">
        <v>30</v>
      </c>
      <c r="W23" s="12">
        <v>30</v>
      </c>
      <c r="X23" s="12">
        <v>30</v>
      </c>
      <c r="Y23" s="12">
        <v>30</v>
      </c>
      <c r="Z23" s="12">
        <v>30</v>
      </c>
      <c r="AA23" s="12"/>
      <c r="AB23" s="12"/>
      <c r="AC23" s="12"/>
    </row>
    <row r="24" spans="1:29" ht="19.95" customHeight="1" x14ac:dyDescent="0.25">
      <c r="A24" s="38">
        <v>8249657887</v>
      </c>
      <c r="B24" s="56" t="s">
        <v>894</v>
      </c>
      <c r="C24" s="131" t="s">
        <v>895</v>
      </c>
      <c r="D24" s="56" t="s">
        <v>896</v>
      </c>
      <c r="E24" s="56" t="s">
        <v>889</v>
      </c>
      <c r="F24" s="56" t="s">
        <v>890</v>
      </c>
      <c r="G24" s="38" t="s">
        <v>891</v>
      </c>
      <c r="H24" s="56" t="s">
        <v>314</v>
      </c>
      <c r="I24" s="56" t="s">
        <v>842</v>
      </c>
      <c r="J24" s="56" t="s">
        <v>347</v>
      </c>
      <c r="K24" s="56"/>
      <c r="L24" s="56"/>
      <c r="M24" s="56"/>
      <c r="N24" s="56" t="s">
        <v>16</v>
      </c>
      <c r="O24" s="150" t="s">
        <v>879</v>
      </c>
      <c r="P24" s="12" t="s">
        <v>837</v>
      </c>
      <c r="Q24" s="12">
        <f t="shared" si="1"/>
        <v>18</v>
      </c>
      <c r="R24" s="12"/>
      <c r="S24" s="12"/>
      <c r="T24" s="12"/>
      <c r="U24" s="12">
        <v>2</v>
      </c>
      <c r="V24" s="12">
        <v>2</v>
      </c>
      <c r="W24" s="12">
        <v>2</v>
      </c>
      <c r="X24" s="12">
        <v>2</v>
      </c>
      <c r="Y24" s="12">
        <v>2</v>
      </c>
      <c r="Z24" s="12">
        <v>2</v>
      </c>
      <c r="AA24" s="12">
        <v>2</v>
      </c>
      <c r="AB24" s="12">
        <v>2</v>
      </c>
      <c r="AC24" s="12">
        <v>2</v>
      </c>
    </row>
    <row r="25" spans="1:29" ht="19.95" customHeight="1" x14ac:dyDescent="0.25">
      <c r="A25" s="38">
        <v>8249657887</v>
      </c>
      <c r="B25" s="56" t="s">
        <v>894</v>
      </c>
      <c r="C25" s="131" t="s">
        <v>895</v>
      </c>
      <c r="D25" s="56" t="s">
        <v>896</v>
      </c>
      <c r="E25" s="56" t="s">
        <v>889</v>
      </c>
      <c r="F25" s="56" t="s">
        <v>890</v>
      </c>
      <c r="G25" s="38" t="s">
        <v>891</v>
      </c>
      <c r="H25" s="56" t="s">
        <v>314</v>
      </c>
      <c r="I25" s="56" t="s">
        <v>842</v>
      </c>
      <c r="J25" s="56" t="s">
        <v>347</v>
      </c>
      <c r="K25" s="56"/>
      <c r="L25" s="56"/>
      <c r="M25" s="56"/>
      <c r="N25" s="56" t="s">
        <v>16</v>
      </c>
      <c r="O25" s="150" t="s">
        <v>880</v>
      </c>
      <c r="P25" s="12" t="s">
        <v>837</v>
      </c>
      <c r="Q25" s="12">
        <f t="shared" si="1"/>
        <v>27</v>
      </c>
      <c r="R25" s="12"/>
      <c r="S25" s="12"/>
      <c r="T25" s="12"/>
      <c r="U25" s="12">
        <v>27</v>
      </c>
      <c r="V25" s="12"/>
      <c r="W25" s="12"/>
      <c r="X25" s="12"/>
      <c r="Y25" s="12"/>
      <c r="Z25" s="12"/>
      <c r="AA25" s="12"/>
      <c r="AB25" s="12"/>
      <c r="AC25" s="12"/>
    </row>
    <row r="26" spans="1:29" ht="19.95" customHeight="1" x14ac:dyDescent="0.25">
      <c r="A26" s="38">
        <v>8249657887</v>
      </c>
      <c r="B26" s="56" t="s">
        <v>894</v>
      </c>
      <c r="C26" s="131" t="s">
        <v>895</v>
      </c>
      <c r="D26" s="56" t="s">
        <v>896</v>
      </c>
      <c r="E26" s="56" t="s">
        <v>889</v>
      </c>
      <c r="F26" s="56" t="s">
        <v>890</v>
      </c>
      <c r="G26" s="38" t="s">
        <v>891</v>
      </c>
      <c r="H26" s="56" t="s">
        <v>314</v>
      </c>
      <c r="I26" s="56" t="s">
        <v>842</v>
      </c>
      <c r="J26" s="56" t="s">
        <v>347</v>
      </c>
      <c r="K26" s="56"/>
      <c r="L26" s="56"/>
      <c r="M26" s="56"/>
      <c r="N26" s="56" t="s">
        <v>16</v>
      </c>
      <c r="O26" s="150" t="s">
        <v>881</v>
      </c>
      <c r="P26" s="12" t="s">
        <v>837</v>
      </c>
      <c r="Q26" s="12">
        <f t="shared" si="1"/>
        <v>30</v>
      </c>
      <c r="R26" s="12"/>
      <c r="S26" s="12"/>
      <c r="T26" s="12"/>
      <c r="U26" s="12">
        <v>5</v>
      </c>
      <c r="V26" s="12">
        <v>5</v>
      </c>
      <c r="W26" s="12">
        <v>5</v>
      </c>
      <c r="X26" s="12">
        <v>5</v>
      </c>
      <c r="Y26" s="12">
        <v>5</v>
      </c>
      <c r="Z26" s="12">
        <v>5</v>
      </c>
      <c r="AA26" s="12"/>
      <c r="AB26" s="12"/>
      <c r="AC26" s="12"/>
    </row>
    <row r="27" spans="1:29" ht="19.95" customHeight="1" x14ac:dyDescent="0.25">
      <c r="A27" s="38">
        <v>8249657887</v>
      </c>
      <c r="B27" s="56" t="s">
        <v>894</v>
      </c>
      <c r="C27" s="131" t="s">
        <v>895</v>
      </c>
      <c r="D27" s="56" t="s">
        <v>896</v>
      </c>
      <c r="E27" s="56" t="s">
        <v>889</v>
      </c>
      <c r="F27" s="56" t="s">
        <v>890</v>
      </c>
      <c r="G27" s="38" t="s">
        <v>891</v>
      </c>
      <c r="H27" s="56" t="s">
        <v>314</v>
      </c>
      <c r="I27" s="56" t="s">
        <v>842</v>
      </c>
      <c r="J27" s="56" t="s">
        <v>347</v>
      </c>
      <c r="K27" s="56"/>
      <c r="L27" s="56"/>
      <c r="M27" s="56"/>
      <c r="N27" s="56" t="s">
        <v>16</v>
      </c>
      <c r="O27" s="150" t="s">
        <v>882</v>
      </c>
      <c r="P27" s="12" t="s">
        <v>837</v>
      </c>
      <c r="Q27" s="12">
        <f t="shared" si="1"/>
        <v>48</v>
      </c>
      <c r="R27" s="12">
        <v>4</v>
      </c>
      <c r="S27" s="12">
        <v>4</v>
      </c>
      <c r="T27" s="12">
        <v>4</v>
      </c>
      <c r="U27" s="12">
        <v>4</v>
      </c>
      <c r="V27" s="12">
        <v>4</v>
      </c>
      <c r="W27" s="12">
        <v>4</v>
      </c>
      <c r="X27" s="12">
        <v>4</v>
      </c>
      <c r="Y27" s="12">
        <v>4</v>
      </c>
      <c r="Z27" s="12">
        <v>4</v>
      </c>
      <c r="AA27" s="12">
        <v>4</v>
      </c>
      <c r="AB27" s="12">
        <v>4</v>
      </c>
      <c r="AC27" s="12">
        <v>4</v>
      </c>
    </row>
    <row r="28" spans="1:29" ht="19.95" customHeight="1" x14ac:dyDescent="0.25">
      <c r="A28" s="38">
        <v>8249657887</v>
      </c>
      <c r="B28" s="56" t="s">
        <v>894</v>
      </c>
      <c r="C28" s="131" t="s">
        <v>895</v>
      </c>
      <c r="D28" s="56" t="s">
        <v>896</v>
      </c>
      <c r="E28" s="56" t="s">
        <v>889</v>
      </c>
      <c r="F28" s="56" t="s">
        <v>890</v>
      </c>
      <c r="G28" s="38" t="s">
        <v>891</v>
      </c>
      <c r="H28" s="56" t="s">
        <v>314</v>
      </c>
      <c r="I28" s="56" t="s">
        <v>842</v>
      </c>
      <c r="J28" s="56" t="s">
        <v>347</v>
      </c>
      <c r="K28" s="56"/>
      <c r="L28" s="56"/>
      <c r="M28" s="56"/>
      <c r="N28" s="56" t="s">
        <v>16</v>
      </c>
      <c r="O28" s="150" t="s">
        <v>883</v>
      </c>
      <c r="P28" s="12" t="s">
        <v>837</v>
      </c>
      <c r="Q28" s="12">
        <f t="shared" si="1"/>
        <v>10</v>
      </c>
      <c r="R28" s="12"/>
      <c r="S28" s="12"/>
      <c r="T28" s="12"/>
      <c r="U28" s="12"/>
      <c r="V28" s="12">
        <v>5</v>
      </c>
      <c r="W28" s="12"/>
      <c r="X28" s="12"/>
      <c r="Y28" s="12"/>
      <c r="Z28" s="12">
        <v>5</v>
      </c>
      <c r="AA28" s="12"/>
      <c r="AB28" s="12"/>
      <c r="AC28" s="12"/>
    </row>
    <row r="29" spans="1:29" ht="19.95" customHeight="1" x14ac:dyDescent="0.25">
      <c r="A29" s="38">
        <v>8249657887</v>
      </c>
      <c r="B29" s="56" t="s">
        <v>894</v>
      </c>
      <c r="C29" s="131" t="s">
        <v>895</v>
      </c>
      <c r="D29" s="56" t="s">
        <v>896</v>
      </c>
      <c r="E29" s="56" t="s">
        <v>889</v>
      </c>
      <c r="F29" s="56" t="s">
        <v>890</v>
      </c>
      <c r="G29" s="38" t="s">
        <v>891</v>
      </c>
      <c r="H29" s="56" t="s">
        <v>314</v>
      </c>
      <c r="I29" s="56" t="s">
        <v>842</v>
      </c>
      <c r="J29" s="56" t="s">
        <v>347</v>
      </c>
      <c r="K29" s="56"/>
      <c r="L29" s="56"/>
      <c r="M29" s="56"/>
      <c r="N29" s="56" t="s">
        <v>16</v>
      </c>
      <c r="O29" s="150" t="s">
        <v>884</v>
      </c>
      <c r="P29" s="12" t="s">
        <v>837</v>
      </c>
      <c r="Q29" s="12">
        <f t="shared" si="1"/>
        <v>180</v>
      </c>
      <c r="R29" s="12"/>
      <c r="S29" s="12"/>
      <c r="T29" s="12"/>
      <c r="U29" s="12"/>
      <c r="V29" s="12">
        <v>60</v>
      </c>
      <c r="W29" s="12"/>
      <c r="X29" s="12"/>
      <c r="Y29" s="12"/>
      <c r="Z29" s="12">
        <v>60</v>
      </c>
      <c r="AA29" s="12"/>
      <c r="AB29" s="12"/>
      <c r="AC29" s="12">
        <v>60</v>
      </c>
    </row>
    <row r="30" spans="1:29" ht="19.95" customHeight="1" x14ac:dyDescent="0.25">
      <c r="A30" s="38">
        <v>8249657887</v>
      </c>
      <c r="B30" s="56" t="s">
        <v>894</v>
      </c>
      <c r="C30" s="131" t="s">
        <v>895</v>
      </c>
      <c r="D30" s="56" t="s">
        <v>896</v>
      </c>
      <c r="E30" s="56" t="s">
        <v>889</v>
      </c>
      <c r="F30" s="56" t="s">
        <v>890</v>
      </c>
      <c r="G30" s="38" t="s">
        <v>891</v>
      </c>
      <c r="H30" s="56" t="s">
        <v>314</v>
      </c>
      <c r="I30" s="56" t="s">
        <v>842</v>
      </c>
      <c r="J30" s="56" t="s">
        <v>347</v>
      </c>
      <c r="K30" s="56"/>
      <c r="L30" s="56"/>
      <c r="M30" s="56"/>
      <c r="N30" s="56" t="s">
        <v>16</v>
      </c>
      <c r="O30" s="150" t="s">
        <v>885</v>
      </c>
      <c r="P30" s="12" t="s">
        <v>837</v>
      </c>
      <c r="Q30" s="12">
        <f t="shared" si="1"/>
        <v>9</v>
      </c>
      <c r="R30" s="12"/>
      <c r="S30" s="12"/>
      <c r="T30" s="12"/>
      <c r="U30" s="12"/>
      <c r="V30" s="12"/>
      <c r="W30" s="12"/>
      <c r="X30" s="12">
        <v>9</v>
      </c>
      <c r="Y30" s="12"/>
      <c r="Z30" s="12"/>
      <c r="AA30" s="12"/>
      <c r="AB30" s="12"/>
      <c r="AC30" s="12"/>
    </row>
    <row r="31" spans="1:29" ht="19.95" customHeight="1" x14ac:dyDescent="0.25">
      <c r="A31" s="38">
        <v>8249657887</v>
      </c>
      <c r="B31" s="56" t="s">
        <v>894</v>
      </c>
      <c r="C31" s="131" t="s">
        <v>895</v>
      </c>
      <c r="D31" s="56" t="s">
        <v>896</v>
      </c>
      <c r="E31" s="56" t="s">
        <v>889</v>
      </c>
      <c r="F31" s="56" t="s">
        <v>890</v>
      </c>
      <c r="G31" s="38" t="s">
        <v>891</v>
      </c>
      <c r="H31" s="56" t="s">
        <v>314</v>
      </c>
      <c r="I31" s="56" t="s">
        <v>842</v>
      </c>
      <c r="J31" s="56" t="s">
        <v>347</v>
      </c>
      <c r="K31" s="56"/>
      <c r="L31" s="56"/>
      <c r="M31" s="56"/>
      <c r="N31" s="56" t="s">
        <v>16</v>
      </c>
      <c r="O31" s="150" t="s">
        <v>886</v>
      </c>
      <c r="P31" s="12" t="s">
        <v>21</v>
      </c>
      <c r="Q31" s="12">
        <f t="shared" si="1"/>
        <v>0</v>
      </c>
      <c r="R31" s="12"/>
      <c r="S31" s="12"/>
      <c r="T31" s="12"/>
      <c r="U31" s="12"/>
      <c r="V31" s="12"/>
      <c r="W31" s="12"/>
      <c r="X31" s="12"/>
      <c r="Y31" s="12"/>
      <c r="Z31" s="12"/>
      <c r="AA31" s="12"/>
      <c r="AB31" s="12"/>
      <c r="AC31" s="12"/>
    </row>
    <row r="32" spans="1:29" ht="19.95" customHeight="1" x14ac:dyDescent="0.25"/>
  </sheetData>
  <hyperlinks>
    <hyperlink ref="C2" r:id="rId1" xr:uid="{A4D8CD4D-D811-4915-BC5E-50CB1EE420D5}"/>
    <hyperlink ref="C3" r:id="rId2" xr:uid="{ED83B787-2CA6-40CE-B4FA-BC893BBBFCEF}"/>
    <hyperlink ref="C4" r:id="rId3" xr:uid="{0D6F5A30-DC60-4B82-B68E-17B8F5D9E1D2}"/>
    <hyperlink ref="C5" r:id="rId4" xr:uid="{162AEC6E-DFA0-4AB9-9237-ED130CFA79A5}"/>
    <hyperlink ref="C6" r:id="rId5" xr:uid="{271C52D8-71E6-4541-B2BD-8AA443275515}"/>
    <hyperlink ref="C7" r:id="rId6" xr:uid="{509044D8-2F5E-4438-B589-BA3B4B1451C0}"/>
    <hyperlink ref="C8" r:id="rId7" xr:uid="{22C5584D-17D8-4A4A-8BF1-454167A6A136}"/>
    <hyperlink ref="C9" r:id="rId8" xr:uid="{843EBD09-5EED-4AA8-8726-88EBC2199F4B}"/>
    <hyperlink ref="C10" r:id="rId9" xr:uid="{1BAF1954-545E-43FD-B00A-5D9C6092E2A2}"/>
    <hyperlink ref="C11" r:id="rId10" xr:uid="{AF742C33-E595-4332-BA8C-B5BF94786E9E}"/>
    <hyperlink ref="C12" r:id="rId11" xr:uid="{BA807E58-F023-47A3-917A-E80E60A0B140}"/>
    <hyperlink ref="C13" r:id="rId12" xr:uid="{592101FE-C5A8-4DFE-AC11-1CE1CD0AAC81}"/>
    <hyperlink ref="C14" r:id="rId13" xr:uid="{E5BB3010-A26B-4399-A44E-942658874446}"/>
    <hyperlink ref="C15" r:id="rId14" xr:uid="{2CFFF37A-64E3-4505-A46B-046DE9AB0A66}"/>
    <hyperlink ref="C16" r:id="rId15" xr:uid="{AB91985D-B00B-4477-BC43-009D5502F453}"/>
    <hyperlink ref="C17" r:id="rId16" xr:uid="{AD383541-451B-4F57-A3D9-0B1A2665E395}"/>
    <hyperlink ref="C18" r:id="rId17" xr:uid="{9ABBC03D-49B1-49E7-BF05-BC92D4C03373}"/>
    <hyperlink ref="C19" r:id="rId18" xr:uid="{25CBAE97-E87C-47E7-81E5-D47261F28716}"/>
    <hyperlink ref="C20" r:id="rId19" xr:uid="{EA7E9602-E466-4AB8-8E16-5691CDC689A2}"/>
    <hyperlink ref="C21" r:id="rId20" xr:uid="{AD0B58CF-E63D-4B70-82AC-AFAF6A1692F9}"/>
    <hyperlink ref="C22" r:id="rId21" xr:uid="{D9990282-ADF5-483E-B6CB-BFF7BA236E40}"/>
    <hyperlink ref="C23" r:id="rId22" xr:uid="{E933EBAB-8A06-495C-A2E1-B217A84F1147}"/>
    <hyperlink ref="C24" r:id="rId23" xr:uid="{EE2AED60-A11A-4AC7-9446-7D6D56CA208D}"/>
    <hyperlink ref="C25" r:id="rId24" xr:uid="{63EA6AA6-3C0A-442E-95D6-153F1E8FB5E8}"/>
    <hyperlink ref="C26" r:id="rId25" xr:uid="{6F106396-C436-474D-AD69-9753E31CDC46}"/>
    <hyperlink ref="C27" r:id="rId26" xr:uid="{168FFFFF-D974-440B-94F5-CC1775EA48C0}"/>
    <hyperlink ref="C28" r:id="rId27" xr:uid="{77555E98-CDDA-4CAB-BC90-4D6C231D029E}"/>
    <hyperlink ref="C29" r:id="rId28" xr:uid="{745045D5-957A-463C-BA32-9ED73F18CA97}"/>
    <hyperlink ref="C30" r:id="rId29" xr:uid="{F7CEA4AD-7CAE-418A-9056-21C453C54507}"/>
    <hyperlink ref="C31" r:id="rId30" xr:uid="{5DA76A0D-93C2-4F53-B6BE-D754DCE588E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D4E82-2431-4B7A-9033-B7873B41D856}">
  <dimension ref="A1:AC32"/>
  <sheetViews>
    <sheetView topLeftCell="L16" workbookViewId="0">
      <selection activeCell="P22" sqref="P22"/>
    </sheetView>
  </sheetViews>
  <sheetFormatPr defaultRowHeight="13.2" x14ac:dyDescent="0.25"/>
  <cols>
    <col min="1" max="1" width="12.109375" bestFit="1" customWidth="1"/>
    <col min="2" max="2" width="13.77734375" bestFit="1" customWidth="1"/>
    <col min="3" max="3" width="28.21875" bestFit="1" customWidth="1"/>
    <col min="4" max="4" width="10.77734375" customWidth="1"/>
    <col min="5" max="5" width="18.21875" bestFit="1" customWidth="1"/>
    <col min="6" max="6" width="12.44140625" bestFit="1" customWidth="1"/>
    <col min="7" max="7" width="12.44140625" style="116" bestFit="1" customWidth="1"/>
    <col min="9" max="9" width="17.21875" bestFit="1" customWidth="1"/>
    <col min="10" max="10" width="11.44140625" style="116" bestFit="1" customWidth="1"/>
    <col min="11" max="13" width="11.44140625" bestFit="1" customWidth="1"/>
    <col min="14" max="14" width="14.5546875" style="116" bestFit="1" customWidth="1"/>
    <col min="15" max="15" width="75.6640625" bestFit="1" customWidth="1"/>
    <col min="16" max="16" width="20.88671875" bestFit="1" customWidth="1"/>
    <col min="17" max="17" width="14" bestFit="1" customWidth="1"/>
  </cols>
  <sheetData>
    <row r="1" spans="1:29" ht="27.6" x14ac:dyDescent="0.25">
      <c r="A1" s="35" t="s">
        <v>123</v>
      </c>
      <c r="B1" s="58" t="s">
        <v>1</v>
      </c>
      <c r="C1" s="35" t="s">
        <v>2</v>
      </c>
      <c r="D1" s="58" t="s">
        <v>3</v>
      </c>
      <c r="E1" s="35" t="s">
        <v>4</v>
      </c>
      <c r="F1" s="35" t="s">
        <v>5</v>
      </c>
      <c r="G1" s="35" t="s">
        <v>6</v>
      </c>
      <c r="H1" s="35" t="s">
        <v>7</v>
      </c>
      <c r="I1" s="58" t="s">
        <v>8</v>
      </c>
      <c r="J1" s="35" t="s">
        <v>9</v>
      </c>
      <c r="K1" s="35" t="s">
        <v>10</v>
      </c>
      <c r="L1" s="35" t="s">
        <v>126</v>
      </c>
      <c r="M1" s="35" t="s">
        <v>127</v>
      </c>
      <c r="N1" s="35" t="s">
        <v>11</v>
      </c>
      <c r="O1" s="35" t="s">
        <v>654</v>
      </c>
      <c r="P1" s="35" t="s">
        <v>655</v>
      </c>
      <c r="Q1" s="35" t="s">
        <v>656</v>
      </c>
      <c r="R1" s="35" t="s">
        <v>657</v>
      </c>
      <c r="S1" s="35" t="s">
        <v>658</v>
      </c>
      <c r="T1" s="35" t="s">
        <v>659</v>
      </c>
      <c r="U1" s="35" t="s">
        <v>660</v>
      </c>
      <c r="V1" s="35" t="s">
        <v>661</v>
      </c>
      <c r="W1" s="35" t="s">
        <v>662</v>
      </c>
      <c r="X1" s="35" t="s">
        <v>663</v>
      </c>
      <c r="Y1" s="35" t="s">
        <v>664</v>
      </c>
      <c r="Z1" s="35" t="s">
        <v>665</v>
      </c>
      <c r="AA1" s="35" t="s">
        <v>666</v>
      </c>
      <c r="AB1" s="35" t="s">
        <v>667</v>
      </c>
      <c r="AC1" s="35" t="s">
        <v>668</v>
      </c>
    </row>
    <row r="2" spans="1:29" ht="19.95" customHeight="1" x14ac:dyDescent="0.25">
      <c r="A2" s="38">
        <v>8018271318</v>
      </c>
      <c r="B2" s="56" t="s">
        <v>905</v>
      </c>
      <c r="C2" s="10" t="s">
        <v>904</v>
      </c>
      <c r="D2" s="56" t="s">
        <v>299</v>
      </c>
      <c r="E2" s="56" t="s">
        <v>889</v>
      </c>
      <c r="F2" s="56" t="s">
        <v>349</v>
      </c>
      <c r="G2" s="113" t="s">
        <v>891</v>
      </c>
      <c r="H2" s="112" t="s">
        <v>314</v>
      </c>
      <c r="I2" s="112" t="s">
        <v>842</v>
      </c>
      <c r="J2" s="113" t="s">
        <v>347</v>
      </c>
      <c r="K2" s="112"/>
      <c r="L2" s="112"/>
      <c r="M2" s="112"/>
      <c r="N2" s="113" t="s">
        <v>16</v>
      </c>
      <c r="O2" s="44" t="s">
        <v>858</v>
      </c>
      <c r="P2" s="12" t="s">
        <v>837</v>
      </c>
      <c r="Q2" s="12">
        <f>SUM(R2:AC2)</f>
        <v>207</v>
      </c>
      <c r="R2" s="12"/>
      <c r="S2" s="12"/>
      <c r="T2" s="12"/>
      <c r="U2" s="12"/>
      <c r="V2" s="12"/>
      <c r="W2" s="12">
        <v>207</v>
      </c>
      <c r="X2" s="12"/>
      <c r="Y2" s="12"/>
      <c r="Z2" s="12"/>
      <c r="AA2" s="12"/>
      <c r="AB2" s="12"/>
      <c r="AC2" s="12"/>
    </row>
    <row r="3" spans="1:29" ht="19.95" customHeight="1" x14ac:dyDescent="0.25">
      <c r="A3" s="38">
        <v>8018271318</v>
      </c>
      <c r="B3" s="56" t="s">
        <v>905</v>
      </c>
      <c r="C3" s="10" t="s">
        <v>904</v>
      </c>
      <c r="D3" s="56" t="s">
        <v>299</v>
      </c>
      <c r="E3" s="56" t="s">
        <v>889</v>
      </c>
      <c r="F3" s="56" t="s">
        <v>349</v>
      </c>
      <c r="G3" s="113" t="s">
        <v>891</v>
      </c>
      <c r="H3" s="112" t="s">
        <v>314</v>
      </c>
      <c r="I3" s="112" t="s">
        <v>842</v>
      </c>
      <c r="J3" s="113" t="s">
        <v>347</v>
      </c>
      <c r="K3" s="112"/>
      <c r="L3" s="112"/>
      <c r="M3" s="112"/>
      <c r="N3" s="113" t="s">
        <v>16</v>
      </c>
      <c r="O3" s="44" t="s">
        <v>859</v>
      </c>
      <c r="P3" s="12" t="s">
        <v>887</v>
      </c>
      <c r="Q3" s="12">
        <f>SUM(R3:AC3)</f>
        <v>36</v>
      </c>
      <c r="R3" s="12"/>
      <c r="S3" s="12"/>
      <c r="T3" s="12"/>
      <c r="U3" s="12">
        <v>4</v>
      </c>
      <c r="V3" s="12">
        <v>4</v>
      </c>
      <c r="W3" s="12">
        <v>4</v>
      </c>
      <c r="X3" s="12">
        <v>4</v>
      </c>
      <c r="Y3" s="12">
        <v>4</v>
      </c>
      <c r="Z3" s="12">
        <v>4</v>
      </c>
      <c r="AA3" s="12">
        <v>4</v>
      </c>
      <c r="AB3" s="12">
        <v>4</v>
      </c>
      <c r="AC3" s="12">
        <v>4</v>
      </c>
    </row>
    <row r="4" spans="1:29" ht="19.95" customHeight="1" x14ac:dyDescent="0.25">
      <c r="A4" s="38">
        <v>8018271318</v>
      </c>
      <c r="B4" s="56" t="s">
        <v>905</v>
      </c>
      <c r="C4" s="10" t="s">
        <v>904</v>
      </c>
      <c r="D4" s="56" t="s">
        <v>299</v>
      </c>
      <c r="E4" s="56" t="s">
        <v>889</v>
      </c>
      <c r="F4" s="56" t="s">
        <v>349</v>
      </c>
      <c r="G4" s="113" t="s">
        <v>891</v>
      </c>
      <c r="H4" s="112" t="s">
        <v>314</v>
      </c>
      <c r="I4" s="112" t="s">
        <v>842</v>
      </c>
      <c r="J4" s="113" t="s">
        <v>347</v>
      </c>
      <c r="K4" s="112"/>
      <c r="L4" s="112"/>
      <c r="M4" s="112"/>
      <c r="N4" s="113" t="s">
        <v>16</v>
      </c>
      <c r="O4" s="44" t="s">
        <v>860</v>
      </c>
      <c r="P4" s="12" t="s">
        <v>837</v>
      </c>
      <c r="Q4" s="12">
        <f t="shared" ref="Q4:Q20" si="0">SUM(R4:AC4)</f>
        <v>447</v>
      </c>
      <c r="R4" s="12">
        <v>197</v>
      </c>
      <c r="S4" s="12">
        <v>140</v>
      </c>
      <c r="T4" s="12">
        <v>110</v>
      </c>
      <c r="U4" s="12"/>
      <c r="V4" s="12"/>
      <c r="W4" s="12"/>
      <c r="X4" s="12"/>
      <c r="Y4" s="12"/>
      <c r="Z4" s="12"/>
      <c r="AA4" s="12"/>
      <c r="AB4" s="12"/>
      <c r="AC4" s="12"/>
    </row>
    <row r="5" spans="1:29" ht="19.95" customHeight="1" x14ac:dyDescent="0.25">
      <c r="A5" s="38">
        <v>8018271318</v>
      </c>
      <c r="B5" s="56" t="s">
        <v>905</v>
      </c>
      <c r="C5" s="10" t="s">
        <v>904</v>
      </c>
      <c r="D5" s="56" t="s">
        <v>299</v>
      </c>
      <c r="E5" s="56" t="s">
        <v>889</v>
      </c>
      <c r="F5" s="56" t="s">
        <v>349</v>
      </c>
      <c r="G5" s="113" t="s">
        <v>891</v>
      </c>
      <c r="H5" s="112" t="s">
        <v>314</v>
      </c>
      <c r="I5" s="112" t="s">
        <v>842</v>
      </c>
      <c r="J5" s="113" t="s">
        <v>347</v>
      </c>
      <c r="K5" s="112"/>
      <c r="L5" s="112"/>
      <c r="M5" s="112"/>
      <c r="N5" s="113" t="s">
        <v>16</v>
      </c>
      <c r="O5" s="44" t="s">
        <v>861</v>
      </c>
      <c r="P5" s="12" t="s">
        <v>837</v>
      </c>
      <c r="Q5" s="12">
        <f t="shared" si="0"/>
        <v>654</v>
      </c>
      <c r="R5" s="12"/>
      <c r="S5" s="12"/>
      <c r="T5" s="12">
        <v>160</v>
      </c>
      <c r="U5" s="12">
        <v>494</v>
      </c>
      <c r="V5" s="12"/>
      <c r="W5" s="12"/>
      <c r="X5" s="12"/>
      <c r="Y5" s="12"/>
      <c r="Z5" s="12"/>
      <c r="AA5" s="12"/>
      <c r="AB5" s="12"/>
      <c r="AC5" s="12"/>
    </row>
    <row r="6" spans="1:29" ht="19.95" customHeight="1" x14ac:dyDescent="0.25">
      <c r="A6" s="38">
        <v>8018271318</v>
      </c>
      <c r="B6" s="56" t="s">
        <v>905</v>
      </c>
      <c r="C6" s="10" t="s">
        <v>904</v>
      </c>
      <c r="D6" s="56" t="s">
        <v>299</v>
      </c>
      <c r="E6" s="56" t="s">
        <v>889</v>
      </c>
      <c r="F6" s="56" t="s">
        <v>349</v>
      </c>
      <c r="G6" s="113" t="s">
        <v>891</v>
      </c>
      <c r="H6" s="112" t="s">
        <v>314</v>
      </c>
      <c r="I6" s="112" t="s">
        <v>842</v>
      </c>
      <c r="J6" s="113" t="s">
        <v>347</v>
      </c>
      <c r="K6" s="112"/>
      <c r="L6" s="112"/>
      <c r="M6" s="112"/>
      <c r="N6" s="113" t="s">
        <v>16</v>
      </c>
      <c r="O6" s="44" t="s">
        <v>862</v>
      </c>
      <c r="P6" s="12" t="s">
        <v>837</v>
      </c>
      <c r="Q6" s="12">
        <f t="shared" si="0"/>
        <v>654</v>
      </c>
      <c r="R6" s="12"/>
      <c r="S6" s="12"/>
      <c r="T6" s="12"/>
      <c r="U6" s="12">
        <v>654</v>
      </c>
      <c r="V6" s="12"/>
      <c r="W6" s="12"/>
      <c r="X6" s="12"/>
      <c r="Y6" s="12"/>
      <c r="Z6" s="12"/>
      <c r="AA6" s="12"/>
      <c r="AB6" s="12"/>
      <c r="AC6" s="12"/>
    </row>
    <row r="7" spans="1:29" ht="19.95" customHeight="1" x14ac:dyDescent="0.25">
      <c r="A7" s="38">
        <v>8018271318</v>
      </c>
      <c r="B7" s="56" t="s">
        <v>905</v>
      </c>
      <c r="C7" s="10" t="s">
        <v>904</v>
      </c>
      <c r="D7" s="56" t="s">
        <v>299</v>
      </c>
      <c r="E7" s="56" t="s">
        <v>889</v>
      </c>
      <c r="F7" s="56" t="s">
        <v>349</v>
      </c>
      <c r="G7" s="113" t="s">
        <v>891</v>
      </c>
      <c r="H7" s="112" t="s">
        <v>314</v>
      </c>
      <c r="I7" s="112" t="s">
        <v>842</v>
      </c>
      <c r="J7" s="113" t="s">
        <v>347</v>
      </c>
      <c r="K7" s="112"/>
      <c r="L7" s="112"/>
      <c r="M7" s="112"/>
      <c r="N7" s="113" t="s">
        <v>16</v>
      </c>
      <c r="O7" s="44" t="s">
        <v>863</v>
      </c>
      <c r="P7" s="12" t="s">
        <v>837</v>
      </c>
      <c r="Q7" s="12">
        <f t="shared" si="0"/>
        <v>2616</v>
      </c>
      <c r="R7" s="12"/>
      <c r="S7" s="12"/>
      <c r="T7" s="12"/>
      <c r="U7" s="12">
        <v>654</v>
      </c>
      <c r="V7" s="12">
        <v>654</v>
      </c>
      <c r="W7" s="12">
        <v>654</v>
      </c>
      <c r="X7" s="12">
        <v>654</v>
      </c>
      <c r="Y7" s="12"/>
      <c r="Z7" s="12"/>
      <c r="AA7" s="12"/>
      <c r="AB7" s="12"/>
      <c r="AC7" s="12"/>
    </row>
    <row r="8" spans="1:29" ht="19.95" customHeight="1" x14ac:dyDescent="0.25">
      <c r="A8" s="38">
        <v>8018271318</v>
      </c>
      <c r="B8" s="56" t="s">
        <v>905</v>
      </c>
      <c r="C8" s="10" t="s">
        <v>904</v>
      </c>
      <c r="D8" s="56" t="s">
        <v>299</v>
      </c>
      <c r="E8" s="56" t="s">
        <v>889</v>
      </c>
      <c r="F8" s="56" t="s">
        <v>349</v>
      </c>
      <c r="G8" s="113" t="s">
        <v>891</v>
      </c>
      <c r="H8" s="112" t="s">
        <v>314</v>
      </c>
      <c r="I8" s="112" t="s">
        <v>842</v>
      </c>
      <c r="J8" s="113" t="s">
        <v>347</v>
      </c>
      <c r="K8" s="112"/>
      <c r="L8" s="112"/>
      <c r="M8" s="112"/>
      <c r="N8" s="113" t="s">
        <v>16</v>
      </c>
      <c r="O8" s="44" t="s">
        <v>864</v>
      </c>
      <c r="P8" s="12" t="s">
        <v>837</v>
      </c>
      <c r="Q8" s="12">
        <f t="shared" si="0"/>
        <v>654</v>
      </c>
      <c r="R8" s="12"/>
      <c r="S8" s="12"/>
      <c r="T8" s="12"/>
      <c r="U8" s="12"/>
      <c r="V8" s="12"/>
      <c r="W8" s="12">
        <v>654</v>
      </c>
      <c r="X8" s="12"/>
      <c r="Y8" s="12"/>
      <c r="Z8" s="12"/>
      <c r="AA8" s="12"/>
      <c r="AB8" s="12"/>
      <c r="AC8" s="12"/>
    </row>
    <row r="9" spans="1:29" ht="19.95" customHeight="1" x14ac:dyDescent="0.25">
      <c r="A9" s="38">
        <v>8018271318</v>
      </c>
      <c r="B9" s="56" t="s">
        <v>905</v>
      </c>
      <c r="C9" s="10" t="s">
        <v>904</v>
      </c>
      <c r="D9" s="56" t="s">
        <v>299</v>
      </c>
      <c r="E9" s="56" t="s">
        <v>889</v>
      </c>
      <c r="F9" s="56" t="s">
        <v>349</v>
      </c>
      <c r="G9" s="113" t="s">
        <v>891</v>
      </c>
      <c r="H9" s="112" t="s">
        <v>314</v>
      </c>
      <c r="I9" s="112" t="s">
        <v>842</v>
      </c>
      <c r="J9" s="113" t="s">
        <v>347</v>
      </c>
      <c r="K9" s="112"/>
      <c r="L9" s="112"/>
      <c r="M9" s="112"/>
      <c r="N9" s="113" t="s">
        <v>16</v>
      </c>
      <c r="O9" s="44" t="s">
        <v>865</v>
      </c>
      <c r="P9" s="12" t="s">
        <v>837</v>
      </c>
      <c r="Q9" s="12">
        <f t="shared" si="0"/>
        <v>654</v>
      </c>
      <c r="R9" s="12"/>
      <c r="S9" s="12"/>
      <c r="T9" s="12"/>
      <c r="U9" s="12"/>
      <c r="V9" s="12"/>
      <c r="W9" s="12">
        <v>654</v>
      </c>
      <c r="X9" s="12"/>
      <c r="Y9" s="12"/>
      <c r="Z9" s="12"/>
      <c r="AA9" s="12"/>
      <c r="AB9" s="12"/>
      <c r="AC9" s="12"/>
    </row>
    <row r="10" spans="1:29" ht="19.95" customHeight="1" x14ac:dyDescent="0.25">
      <c r="A10" s="38">
        <v>8018271318</v>
      </c>
      <c r="B10" s="56" t="s">
        <v>905</v>
      </c>
      <c r="C10" s="10" t="s">
        <v>904</v>
      </c>
      <c r="D10" s="56" t="s">
        <v>299</v>
      </c>
      <c r="E10" s="56" t="s">
        <v>889</v>
      </c>
      <c r="F10" s="56" t="s">
        <v>349</v>
      </c>
      <c r="G10" s="113" t="s">
        <v>891</v>
      </c>
      <c r="H10" s="112" t="s">
        <v>314</v>
      </c>
      <c r="I10" s="112" t="s">
        <v>842</v>
      </c>
      <c r="J10" s="113" t="s">
        <v>347</v>
      </c>
      <c r="K10" s="112"/>
      <c r="L10" s="112"/>
      <c r="M10" s="112"/>
      <c r="N10" s="113" t="s">
        <v>16</v>
      </c>
      <c r="O10" s="44" t="s">
        <v>866</v>
      </c>
      <c r="P10" s="12" t="s">
        <v>837</v>
      </c>
      <c r="Q10" s="12">
        <f t="shared" si="0"/>
        <v>654</v>
      </c>
      <c r="R10" s="12"/>
      <c r="S10" s="12"/>
      <c r="T10" s="12"/>
      <c r="U10" s="12"/>
      <c r="V10" s="12"/>
      <c r="W10" s="12"/>
      <c r="X10" s="12">
        <v>654</v>
      </c>
      <c r="Y10" s="12"/>
      <c r="Z10" s="12"/>
      <c r="AA10" s="12"/>
      <c r="AB10" s="12"/>
      <c r="AC10" s="12"/>
    </row>
    <row r="11" spans="1:29" ht="19.95" customHeight="1" x14ac:dyDescent="0.25">
      <c r="A11" s="38">
        <v>8018271318</v>
      </c>
      <c r="B11" s="56" t="s">
        <v>905</v>
      </c>
      <c r="C11" s="10" t="s">
        <v>904</v>
      </c>
      <c r="D11" s="56" t="s">
        <v>299</v>
      </c>
      <c r="E11" s="56" t="s">
        <v>889</v>
      </c>
      <c r="F11" s="56" t="s">
        <v>349</v>
      </c>
      <c r="G11" s="113" t="s">
        <v>891</v>
      </c>
      <c r="H11" s="112" t="s">
        <v>314</v>
      </c>
      <c r="I11" s="112" t="s">
        <v>842</v>
      </c>
      <c r="J11" s="113" t="s">
        <v>347</v>
      </c>
      <c r="K11" s="112"/>
      <c r="L11" s="112"/>
      <c r="M11" s="112"/>
      <c r="N11" s="113" t="s">
        <v>16</v>
      </c>
      <c r="O11" s="44" t="s">
        <v>867</v>
      </c>
      <c r="P11" s="12" t="s">
        <v>837</v>
      </c>
      <c r="Q11" s="12">
        <f t="shared" si="0"/>
        <v>654</v>
      </c>
      <c r="R11" s="12"/>
      <c r="S11" s="12"/>
      <c r="T11" s="12"/>
      <c r="U11" s="12"/>
      <c r="V11" s="12"/>
      <c r="W11" s="12"/>
      <c r="X11" s="12"/>
      <c r="Y11" s="12">
        <v>654</v>
      </c>
      <c r="Z11" s="12"/>
      <c r="AA11" s="12"/>
      <c r="AB11" s="12"/>
      <c r="AC11" s="12"/>
    </row>
    <row r="12" spans="1:29" ht="19.95" customHeight="1" x14ac:dyDescent="0.25">
      <c r="A12" s="38">
        <v>8018271318</v>
      </c>
      <c r="B12" s="56" t="s">
        <v>905</v>
      </c>
      <c r="C12" s="10" t="s">
        <v>904</v>
      </c>
      <c r="D12" s="56" t="s">
        <v>299</v>
      </c>
      <c r="E12" s="56" t="s">
        <v>889</v>
      </c>
      <c r="F12" s="56" t="s">
        <v>349</v>
      </c>
      <c r="G12" s="113" t="s">
        <v>891</v>
      </c>
      <c r="H12" s="112" t="s">
        <v>314</v>
      </c>
      <c r="I12" s="112" t="s">
        <v>842</v>
      </c>
      <c r="J12" s="113" t="s">
        <v>347</v>
      </c>
      <c r="K12" s="112"/>
      <c r="L12" s="112"/>
      <c r="M12" s="112"/>
      <c r="N12" s="113" t="s">
        <v>16</v>
      </c>
      <c r="O12" s="44" t="s">
        <v>868</v>
      </c>
      <c r="P12" s="12" t="s">
        <v>837</v>
      </c>
      <c r="Q12" s="12">
        <f t="shared" si="0"/>
        <v>654</v>
      </c>
      <c r="R12" s="12"/>
      <c r="S12" s="12"/>
      <c r="T12" s="12"/>
      <c r="U12" s="12"/>
      <c r="V12" s="12"/>
      <c r="W12" s="12"/>
      <c r="X12" s="12"/>
      <c r="Y12" s="12"/>
      <c r="Z12" s="12"/>
      <c r="AA12" s="12"/>
      <c r="AB12" s="12">
        <v>654</v>
      </c>
      <c r="AC12" s="12"/>
    </row>
    <row r="13" spans="1:29" ht="19.95" customHeight="1" x14ac:dyDescent="0.25">
      <c r="A13" s="38">
        <v>8018271318</v>
      </c>
      <c r="B13" s="56" t="s">
        <v>905</v>
      </c>
      <c r="C13" s="10" t="s">
        <v>904</v>
      </c>
      <c r="D13" s="56" t="s">
        <v>299</v>
      </c>
      <c r="E13" s="56" t="s">
        <v>889</v>
      </c>
      <c r="F13" s="56" t="s">
        <v>349</v>
      </c>
      <c r="G13" s="113" t="s">
        <v>891</v>
      </c>
      <c r="H13" s="112" t="s">
        <v>314</v>
      </c>
      <c r="I13" s="112" t="s">
        <v>842</v>
      </c>
      <c r="J13" s="113" t="s">
        <v>347</v>
      </c>
      <c r="K13" s="112"/>
      <c r="L13" s="112"/>
      <c r="M13" s="112"/>
      <c r="N13" s="113" t="s">
        <v>16</v>
      </c>
      <c r="O13" s="44" t="s">
        <v>869</v>
      </c>
      <c r="P13" s="12" t="s">
        <v>837</v>
      </c>
      <c r="Q13" s="12">
        <f t="shared" si="0"/>
        <v>1962</v>
      </c>
      <c r="R13" s="12"/>
      <c r="S13" s="12"/>
      <c r="T13" s="12"/>
      <c r="U13" s="12"/>
      <c r="V13" s="12"/>
      <c r="W13" s="12"/>
      <c r="X13" s="12"/>
      <c r="Y13" s="12">
        <v>654</v>
      </c>
      <c r="Z13" s="12">
        <v>654</v>
      </c>
      <c r="AA13" s="12">
        <v>654</v>
      </c>
      <c r="AB13" s="12"/>
      <c r="AC13" s="12"/>
    </row>
    <row r="14" spans="1:29" ht="19.95" customHeight="1" x14ac:dyDescent="0.25">
      <c r="A14" s="38">
        <v>8018271318</v>
      </c>
      <c r="B14" s="56" t="s">
        <v>905</v>
      </c>
      <c r="C14" s="10" t="s">
        <v>904</v>
      </c>
      <c r="D14" s="56" t="s">
        <v>299</v>
      </c>
      <c r="E14" s="56" t="s">
        <v>889</v>
      </c>
      <c r="F14" s="56" t="s">
        <v>349</v>
      </c>
      <c r="G14" s="113" t="s">
        <v>891</v>
      </c>
      <c r="H14" s="112" t="s">
        <v>314</v>
      </c>
      <c r="I14" s="112" t="s">
        <v>842</v>
      </c>
      <c r="J14" s="113" t="s">
        <v>347</v>
      </c>
      <c r="K14" s="112"/>
      <c r="L14" s="112"/>
      <c r="M14" s="112"/>
      <c r="N14" s="113" t="s">
        <v>16</v>
      </c>
      <c r="O14" s="44" t="s">
        <v>870</v>
      </c>
      <c r="P14" s="12" t="s">
        <v>837</v>
      </c>
      <c r="Q14" s="12">
        <f t="shared" si="0"/>
        <v>654</v>
      </c>
      <c r="R14" s="12"/>
      <c r="S14" s="12"/>
      <c r="T14" s="12"/>
      <c r="U14" s="12"/>
      <c r="V14" s="12"/>
      <c r="W14" s="12"/>
      <c r="X14" s="12"/>
      <c r="Y14" s="12"/>
      <c r="Z14" s="12"/>
      <c r="AA14" s="12"/>
      <c r="AB14" s="12"/>
      <c r="AC14" s="12">
        <v>654</v>
      </c>
    </row>
    <row r="15" spans="1:29" ht="19.95" customHeight="1" x14ac:dyDescent="0.25">
      <c r="A15" s="38">
        <v>8018271318</v>
      </c>
      <c r="B15" s="56" t="s">
        <v>905</v>
      </c>
      <c r="C15" s="10" t="s">
        <v>904</v>
      </c>
      <c r="D15" s="56" t="s">
        <v>299</v>
      </c>
      <c r="E15" s="56" t="s">
        <v>889</v>
      </c>
      <c r="F15" s="56" t="s">
        <v>349</v>
      </c>
      <c r="G15" s="113" t="s">
        <v>891</v>
      </c>
      <c r="H15" s="112" t="s">
        <v>314</v>
      </c>
      <c r="I15" s="112" t="s">
        <v>842</v>
      </c>
      <c r="J15" s="113" t="s">
        <v>347</v>
      </c>
      <c r="K15" s="112"/>
      <c r="L15" s="112"/>
      <c r="M15" s="112"/>
      <c r="N15" s="113" t="s">
        <v>16</v>
      </c>
      <c r="O15" s="44" t="s">
        <v>871</v>
      </c>
      <c r="P15" s="12" t="s">
        <v>837</v>
      </c>
      <c r="Q15" s="12">
        <f t="shared" si="0"/>
        <v>1308</v>
      </c>
      <c r="R15" s="12"/>
      <c r="S15" s="12"/>
      <c r="T15" s="12"/>
      <c r="U15" s="12"/>
      <c r="V15" s="12">
        <v>330</v>
      </c>
      <c r="W15" s="12">
        <v>324</v>
      </c>
      <c r="X15" s="12"/>
      <c r="Y15" s="12"/>
      <c r="Z15" s="12"/>
      <c r="AA15" s="12"/>
      <c r="AB15" s="12"/>
      <c r="AC15" s="12">
        <v>654</v>
      </c>
    </row>
    <row r="16" spans="1:29" ht="19.95" customHeight="1" x14ac:dyDescent="0.25">
      <c r="A16" s="38">
        <v>8018271318</v>
      </c>
      <c r="B16" s="56" t="s">
        <v>905</v>
      </c>
      <c r="C16" s="10" t="s">
        <v>904</v>
      </c>
      <c r="D16" s="56" t="s">
        <v>299</v>
      </c>
      <c r="E16" s="56" t="s">
        <v>889</v>
      </c>
      <c r="F16" s="56" t="s">
        <v>349</v>
      </c>
      <c r="G16" s="113" t="s">
        <v>891</v>
      </c>
      <c r="H16" s="112" t="s">
        <v>314</v>
      </c>
      <c r="I16" s="112" t="s">
        <v>842</v>
      </c>
      <c r="J16" s="113" t="s">
        <v>347</v>
      </c>
      <c r="K16" s="112"/>
      <c r="L16" s="112"/>
      <c r="M16" s="112"/>
      <c r="N16" s="113" t="s">
        <v>16</v>
      </c>
      <c r="O16" s="44" t="s">
        <v>872</v>
      </c>
      <c r="P16" s="12" t="s">
        <v>837</v>
      </c>
      <c r="Q16" s="12">
        <f t="shared" si="0"/>
        <v>654</v>
      </c>
      <c r="R16" s="12"/>
      <c r="S16" s="12"/>
      <c r="T16" s="12">
        <v>654</v>
      </c>
      <c r="U16" s="12"/>
      <c r="V16" s="12"/>
      <c r="W16" s="12"/>
      <c r="X16" s="12"/>
      <c r="Y16" s="12"/>
      <c r="Z16" s="12"/>
      <c r="AA16" s="12"/>
      <c r="AB16" s="12"/>
      <c r="AC16" s="12"/>
    </row>
    <row r="17" spans="1:29" ht="19.95" customHeight="1" x14ac:dyDescent="0.25">
      <c r="A17" s="38">
        <v>8018271318</v>
      </c>
      <c r="B17" s="56" t="s">
        <v>905</v>
      </c>
      <c r="C17" s="10" t="s">
        <v>904</v>
      </c>
      <c r="D17" s="56" t="s">
        <v>299</v>
      </c>
      <c r="E17" s="56" t="s">
        <v>889</v>
      </c>
      <c r="F17" s="56" t="s">
        <v>349</v>
      </c>
      <c r="G17" s="113" t="s">
        <v>891</v>
      </c>
      <c r="H17" s="112" t="s">
        <v>314</v>
      </c>
      <c r="I17" s="112" t="s">
        <v>842</v>
      </c>
      <c r="J17" s="113" t="s">
        <v>347</v>
      </c>
      <c r="K17" s="112"/>
      <c r="L17" s="112"/>
      <c r="M17" s="112"/>
      <c r="N17" s="113" t="s">
        <v>16</v>
      </c>
      <c r="O17" s="44" t="s">
        <v>873</v>
      </c>
      <c r="P17" s="12" t="s">
        <v>837</v>
      </c>
      <c r="Q17" s="12">
        <f t="shared" si="0"/>
        <v>447</v>
      </c>
      <c r="R17" s="12"/>
      <c r="S17" s="12"/>
      <c r="T17" s="12"/>
      <c r="U17" s="12"/>
      <c r="V17" s="12">
        <v>447</v>
      </c>
      <c r="W17" s="12"/>
      <c r="X17" s="12"/>
      <c r="Y17" s="12"/>
      <c r="Z17" s="12"/>
      <c r="AA17" s="12"/>
      <c r="AB17" s="12"/>
      <c r="AC17" s="12"/>
    </row>
    <row r="18" spans="1:29" ht="19.95" customHeight="1" x14ac:dyDescent="0.25">
      <c r="A18" s="38">
        <v>8018271318</v>
      </c>
      <c r="B18" s="56" t="s">
        <v>905</v>
      </c>
      <c r="C18" s="10" t="s">
        <v>904</v>
      </c>
      <c r="D18" s="56" t="s">
        <v>299</v>
      </c>
      <c r="E18" s="56" t="s">
        <v>889</v>
      </c>
      <c r="F18" s="56" t="s">
        <v>349</v>
      </c>
      <c r="G18" s="113" t="s">
        <v>891</v>
      </c>
      <c r="H18" s="112" t="s">
        <v>314</v>
      </c>
      <c r="I18" s="112" t="s">
        <v>842</v>
      </c>
      <c r="J18" s="113" t="s">
        <v>347</v>
      </c>
      <c r="K18" s="112"/>
      <c r="L18" s="112"/>
      <c r="M18" s="112"/>
      <c r="N18" s="113" t="s">
        <v>16</v>
      </c>
      <c r="O18" s="44" t="s">
        <v>874</v>
      </c>
      <c r="P18" s="12" t="s">
        <v>837</v>
      </c>
      <c r="Q18" s="12">
        <f t="shared" si="0"/>
        <v>654</v>
      </c>
      <c r="R18" s="12"/>
      <c r="S18" s="12"/>
      <c r="T18" s="12"/>
      <c r="U18" s="12"/>
      <c r="V18" s="12">
        <v>654</v>
      </c>
      <c r="W18" s="12"/>
      <c r="X18" s="12"/>
      <c r="Y18" s="12"/>
      <c r="Z18" s="12"/>
      <c r="AA18" s="12"/>
      <c r="AB18" s="12"/>
      <c r="AC18" s="12"/>
    </row>
    <row r="19" spans="1:29" ht="19.95" customHeight="1" x14ac:dyDescent="0.25">
      <c r="A19" s="38">
        <v>8018271318</v>
      </c>
      <c r="B19" s="56" t="s">
        <v>905</v>
      </c>
      <c r="C19" s="10" t="s">
        <v>904</v>
      </c>
      <c r="D19" s="56" t="s">
        <v>299</v>
      </c>
      <c r="E19" s="56" t="s">
        <v>889</v>
      </c>
      <c r="F19" s="56" t="s">
        <v>349</v>
      </c>
      <c r="G19" s="113" t="s">
        <v>891</v>
      </c>
      <c r="H19" s="112" t="s">
        <v>314</v>
      </c>
      <c r="I19" s="112" t="s">
        <v>842</v>
      </c>
      <c r="J19" s="113" t="s">
        <v>347</v>
      </c>
      <c r="K19" s="112"/>
      <c r="L19" s="112"/>
      <c r="M19" s="112"/>
      <c r="N19" s="113" t="s">
        <v>16</v>
      </c>
      <c r="O19" s="44" t="s">
        <v>721</v>
      </c>
      <c r="P19" s="12" t="s">
        <v>837</v>
      </c>
      <c r="Q19" s="12">
        <f t="shared" si="0"/>
        <v>654</v>
      </c>
      <c r="R19" s="12"/>
      <c r="S19" s="12"/>
      <c r="T19" s="12"/>
      <c r="U19" s="12"/>
      <c r="V19" s="12">
        <v>328</v>
      </c>
      <c r="W19" s="12">
        <v>326</v>
      </c>
      <c r="X19" s="12"/>
      <c r="Y19" s="12"/>
      <c r="Z19" s="12"/>
      <c r="AA19" s="12"/>
      <c r="AB19" s="12"/>
      <c r="AC19" s="12"/>
    </row>
    <row r="20" spans="1:29" ht="19.95" customHeight="1" x14ac:dyDescent="0.25">
      <c r="A20" s="38">
        <v>8018271318</v>
      </c>
      <c r="B20" s="56" t="s">
        <v>905</v>
      </c>
      <c r="C20" s="10" t="s">
        <v>904</v>
      </c>
      <c r="D20" s="56" t="s">
        <v>299</v>
      </c>
      <c r="E20" s="56" t="s">
        <v>889</v>
      </c>
      <c r="F20" s="56" t="s">
        <v>349</v>
      </c>
      <c r="G20" s="113" t="s">
        <v>891</v>
      </c>
      <c r="H20" s="112" t="s">
        <v>314</v>
      </c>
      <c r="I20" s="112" t="s">
        <v>842</v>
      </c>
      <c r="J20" s="113" t="s">
        <v>347</v>
      </c>
      <c r="K20" s="112"/>
      <c r="L20" s="112"/>
      <c r="M20" s="112"/>
      <c r="N20" s="113" t="s">
        <v>16</v>
      </c>
      <c r="O20" s="44" t="s">
        <v>875</v>
      </c>
      <c r="P20" s="12" t="s">
        <v>837</v>
      </c>
      <c r="Q20" s="12">
        <f t="shared" si="0"/>
        <v>1</v>
      </c>
      <c r="R20" s="12"/>
      <c r="S20" s="12"/>
      <c r="T20" s="12"/>
      <c r="U20" s="12"/>
      <c r="V20" s="12"/>
      <c r="W20" s="12"/>
      <c r="X20" s="12">
        <v>1</v>
      </c>
      <c r="Y20" s="12"/>
      <c r="Z20" s="12"/>
      <c r="AA20" s="12"/>
      <c r="AB20" s="12"/>
      <c r="AC20" s="12"/>
    </row>
    <row r="21" spans="1:29" ht="19.95" customHeight="1" x14ac:dyDescent="0.25">
      <c r="A21" s="38">
        <v>8018271318</v>
      </c>
      <c r="B21" s="56" t="s">
        <v>905</v>
      </c>
      <c r="C21" s="10" t="s">
        <v>904</v>
      </c>
      <c r="D21" s="56" t="s">
        <v>299</v>
      </c>
      <c r="E21" s="56" t="s">
        <v>889</v>
      </c>
      <c r="F21" s="56" t="s">
        <v>349</v>
      </c>
      <c r="G21" s="113" t="s">
        <v>891</v>
      </c>
      <c r="H21" s="112" t="s">
        <v>314</v>
      </c>
      <c r="I21" s="112" t="s">
        <v>842</v>
      </c>
      <c r="J21" s="113" t="s">
        <v>347</v>
      </c>
      <c r="K21" s="112"/>
      <c r="L21" s="112"/>
      <c r="M21" s="112"/>
      <c r="N21" s="113" t="s">
        <v>16</v>
      </c>
      <c r="O21" s="44" t="s">
        <v>876</v>
      </c>
      <c r="P21" s="12" t="s">
        <v>21</v>
      </c>
      <c r="Q21" s="96">
        <v>1</v>
      </c>
      <c r="R21" s="12"/>
      <c r="S21" s="12"/>
      <c r="T21" s="12"/>
      <c r="U21" s="12"/>
      <c r="V21" s="12"/>
      <c r="W21" s="12"/>
      <c r="X21" s="12"/>
      <c r="Y21" s="96">
        <v>1</v>
      </c>
      <c r="Z21" s="96">
        <v>1</v>
      </c>
      <c r="AA21" s="96">
        <v>1</v>
      </c>
      <c r="AB21" s="96">
        <v>1</v>
      </c>
      <c r="AC21" s="12"/>
    </row>
    <row r="22" spans="1:29" ht="19.95" customHeight="1" x14ac:dyDescent="0.25">
      <c r="A22" s="38">
        <v>8018271318</v>
      </c>
      <c r="B22" s="56" t="s">
        <v>905</v>
      </c>
      <c r="C22" s="10" t="s">
        <v>904</v>
      </c>
      <c r="D22" s="56" t="s">
        <v>299</v>
      </c>
      <c r="E22" s="56" t="s">
        <v>889</v>
      </c>
      <c r="F22" s="56" t="s">
        <v>349</v>
      </c>
      <c r="G22" s="113" t="s">
        <v>891</v>
      </c>
      <c r="H22" s="112" t="s">
        <v>314</v>
      </c>
      <c r="I22" s="112" t="s">
        <v>842</v>
      </c>
      <c r="J22" s="113" t="s">
        <v>347</v>
      </c>
      <c r="K22" s="112"/>
      <c r="L22" s="112"/>
      <c r="M22" s="112"/>
      <c r="N22" s="113" t="s">
        <v>16</v>
      </c>
      <c r="O22" s="44" t="s">
        <v>877</v>
      </c>
      <c r="P22" s="12" t="s">
        <v>21</v>
      </c>
      <c r="Q22" s="96">
        <v>1</v>
      </c>
      <c r="R22" s="12"/>
      <c r="S22" s="12"/>
      <c r="T22" s="12"/>
      <c r="U22" s="96">
        <v>1</v>
      </c>
      <c r="V22" s="96">
        <v>1</v>
      </c>
      <c r="W22" s="96">
        <v>1</v>
      </c>
      <c r="X22" s="96">
        <v>1</v>
      </c>
      <c r="Y22" s="96">
        <v>1</v>
      </c>
      <c r="Z22" s="96">
        <v>1</v>
      </c>
      <c r="AA22" s="96">
        <v>1</v>
      </c>
      <c r="AB22" s="96">
        <v>1</v>
      </c>
      <c r="AC22" s="96">
        <v>1</v>
      </c>
    </row>
    <row r="23" spans="1:29" ht="19.95" customHeight="1" x14ac:dyDescent="0.25">
      <c r="A23" s="38">
        <v>8018271318</v>
      </c>
      <c r="B23" s="56" t="s">
        <v>905</v>
      </c>
      <c r="C23" s="10" t="s">
        <v>904</v>
      </c>
      <c r="D23" s="56" t="s">
        <v>299</v>
      </c>
      <c r="E23" s="56" t="s">
        <v>889</v>
      </c>
      <c r="F23" s="56" t="s">
        <v>349</v>
      </c>
      <c r="G23" s="113" t="s">
        <v>891</v>
      </c>
      <c r="H23" s="112" t="s">
        <v>314</v>
      </c>
      <c r="I23" s="112" t="s">
        <v>842</v>
      </c>
      <c r="J23" s="113" t="s">
        <v>347</v>
      </c>
      <c r="K23" s="112"/>
      <c r="L23" s="112"/>
      <c r="M23" s="112"/>
      <c r="N23" s="113" t="s">
        <v>16</v>
      </c>
      <c r="O23" s="44" t="s">
        <v>878</v>
      </c>
      <c r="P23" s="12" t="s">
        <v>887</v>
      </c>
      <c r="Q23" s="12">
        <f t="shared" ref="Q23:Q31" si="1">SUM(R23:AC23)</f>
        <v>180</v>
      </c>
      <c r="R23" s="12"/>
      <c r="S23" s="12"/>
      <c r="T23" s="12"/>
      <c r="U23" s="12">
        <v>30</v>
      </c>
      <c r="V23" s="12">
        <v>30</v>
      </c>
      <c r="W23" s="12">
        <v>30</v>
      </c>
      <c r="X23" s="12">
        <v>30</v>
      </c>
      <c r="Y23" s="12">
        <v>30</v>
      </c>
      <c r="Z23" s="12">
        <v>30</v>
      </c>
      <c r="AA23" s="12"/>
      <c r="AB23" s="12"/>
      <c r="AC23" s="12"/>
    </row>
    <row r="24" spans="1:29" ht="19.95" customHeight="1" x14ac:dyDescent="0.25">
      <c r="A24" s="38">
        <v>8018271318</v>
      </c>
      <c r="B24" s="56" t="s">
        <v>905</v>
      </c>
      <c r="C24" s="10" t="s">
        <v>904</v>
      </c>
      <c r="D24" s="56" t="s">
        <v>299</v>
      </c>
      <c r="E24" s="56" t="s">
        <v>889</v>
      </c>
      <c r="F24" s="56" t="s">
        <v>349</v>
      </c>
      <c r="G24" s="113" t="s">
        <v>891</v>
      </c>
      <c r="H24" s="112" t="s">
        <v>314</v>
      </c>
      <c r="I24" s="112" t="s">
        <v>842</v>
      </c>
      <c r="J24" s="113" t="s">
        <v>347</v>
      </c>
      <c r="K24" s="112"/>
      <c r="L24" s="112"/>
      <c r="M24" s="112"/>
      <c r="N24" s="113" t="s">
        <v>16</v>
      </c>
      <c r="O24" s="44" t="s">
        <v>879</v>
      </c>
      <c r="P24" s="12" t="s">
        <v>837</v>
      </c>
      <c r="Q24" s="12">
        <f t="shared" si="1"/>
        <v>9</v>
      </c>
      <c r="R24" s="12"/>
      <c r="S24" s="12"/>
      <c r="T24" s="12"/>
      <c r="U24" s="12">
        <v>1</v>
      </c>
      <c r="V24" s="12">
        <v>1</v>
      </c>
      <c r="W24" s="12">
        <v>1</v>
      </c>
      <c r="X24" s="12">
        <v>1</v>
      </c>
      <c r="Y24" s="12">
        <v>1</v>
      </c>
      <c r="Z24" s="12">
        <v>1</v>
      </c>
      <c r="AA24" s="12">
        <v>1</v>
      </c>
      <c r="AB24" s="12">
        <v>1</v>
      </c>
      <c r="AC24" s="12">
        <v>1</v>
      </c>
    </row>
    <row r="25" spans="1:29" ht="19.95" customHeight="1" x14ac:dyDescent="0.25">
      <c r="A25" s="38">
        <v>8018271318</v>
      </c>
      <c r="B25" s="56" t="s">
        <v>905</v>
      </c>
      <c r="C25" s="10" t="s">
        <v>904</v>
      </c>
      <c r="D25" s="56" t="s">
        <v>299</v>
      </c>
      <c r="E25" s="56" t="s">
        <v>889</v>
      </c>
      <c r="F25" s="56" t="s">
        <v>349</v>
      </c>
      <c r="G25" s="113" t="s">
        <v>891</v>
      </c>
      <c r="H25" s="112" t="s">
        <v>314</v>
      </c>
      <c r="I25" s="112" t="s">
        <v>842</v>
      </c>
      <c r="J25" s="113" t="s">
        <v>347</v>
      </c>
      <c r="K25" s="112"/>
      <c r="L25" s="112"/>
      <c r="M25" s="112"/>
      <c r="N25" s="113" t="s">
        <v>16</v>
      </c>
      <c r="O25" s="44" t="s">
        <v>880</v>
      </c>
      <c r="P25" s="12" t="s">
        <v>837</v>
      </c>
      <c r="Q25" s="12">
        <f t="shared" si="1"/>
        <v>26</v>
      </c>
      <c r="R25" s="12"/>
      <c r="S25" s="12"/>
      <c r="T25" s="12"/>
      <c r="U25" s="12">
        <v>26</v>
      </c>
      <c r="V25" s="12"/>
      <c r="W25" s="12"/>
      <c r="X25" s="12"/>
      <c r="Y25" s="12"/>
      <c r="Z25" s="12"/>
      <c r="AA25" s="12"/>
      <c r="AB25" s="12"/>
      <c r="AC25" s="12"/>
    </row>
    <row r="26" spans="1:29" ht="19.95" customHeight="1" x14ac:dyDescent="0.25">
      <c r="A26" s="38">
        <v>8018271318</v>
      </c>
      <c r="B26" s="56" t="s">
        <v>905</v>
      </c>
      <c r="C26" s="10" t="s">
        <v>904</v>
      </c>
      <c r="D26" s="56" t="s">
        <v>299</v>
      </c>
      <c r="E26" s="56" t="s">
        <v>889</v>
      </c>
      <c r="F26" s="56" t="s">
        <v>349</v>
      </c>
      <c r="G26" s="113" t="s">
        <v>891</v>
      </c>
      <c r="H26" s="112" t="s">
        <v>314</v>
      </c>
      <c r="I26" s="112" t="s">
        <v>842</v>
      </c>
      <c r="J26" s="113" t="s">
        <v>347</v>
      </c>
      <c r="K26" s="112"/>
      <c r="L26" s="112"/>
      <c r="M26" s="112"/>
      <c r="N26" s="113" t="s">
        <v>16</v>
      </c>
      <c r="O26" s="44" t="s">
        <v>881</v>
      </c>
      <c r="P26" s="12" t="s">
        <v>837</v>
      </c>
      <c r="Q26" s="12">
        <f t="shared" si="1"/>
        <v>24</v>
      </c>
      <c r="R26" s="12"/>
      <c r="S26" s="12"/>
      <c r="T26" s="12"/>
      <c r="U26" s="12">
        <v>4</v>
      </c>
      <c r="V26" s="12">
        <v>4</v>
      </c>
      <c r="W26" s="12">
        <v>4</v>
      </c>
      <c r="X26" s="12">
        <v>4</v>
      </c>
      <c r="Y26" s="12">
        <v>4</v>
      </c>
      <c r="Z26" s="12">
        <v>4</v>
      </c>
      <c r="AA26" s="12"/>
      <c r="AB26" s="12"/>
      <c r="AC26" s="12"/>
    </row>
    <row r="27" spans="1:29" ht="19.95" customHeight="1" x14ac:dyDescent="0.25">
      <c r="A27" s="38">
        <v>8018271318</v>
      </c>
      <c r="B27" s="56" t="s">
        <v>905</v>
      </c>
      <c r="C27" s="10" t="s">
        <v>904</v>
      </c>
      <c r="D27" s="56" t="s">
        <v>299</v>
      </c>
      <c r="E27" s="56" t="s">
        <v>889</v>
      </c>
      <c r="F27" s="56" t="s">
        <v>349</v>
      </c>
      <c r="G27" s="113" t="s">
        <v>891</v>
      </c>
      <c r="H27" s="112" t="s">
        <v>314</v>
      </c>
      <c r="I27" s="112" t="s">
        <v>842</v>
      </c>
      <c r="J27" s="113" t="s">
        <v>347</v>
      </c>
      <c r="K27" s="112"/>
      <c r="L27" s="112"/>
      <c r="M27" s="112"/>
      <c r="N27" s="113" t="s">
        <v>16</v>
      </c>
      <c r="O27" s="44" t="s">
        <v>882</v>
      </c>
      <c r="P27" s="12" t="s">
        <v>837</v>
      </c>
      <c r="Q27" s="12">
        <f t="shared" si="1"/>
        <v>24</v>
      </c>
      <c r="R27" s="12">
        <v>2</v>
      </c>
      <c r="S27" s="12">
        <v>2</v>
      </c>
      <c r="T27" s="12">
        <v>2</v>
      </c>
      <c r="U27" s="12">
        <v>2</v>
      </c>
      <c r="V27" s="12">
        <v>2</v>
      </c>
      <c r="W27" s="12">
        <v>2</v>
      </c>
      <c r="X27" s="12">
        <v>2</v>
      </c>
      <c r="Y27" s="12">
        <v>2</v>
      </c>
      <c r="Z27" s="12">
        <v>2</v>
      </c>
      <c r="AA27" s="12">
        <v>2</v>
      </c>
      <c r="AB27" s="12">
        <v>2</v>
      </c>
      <c r="AC27" s="12">
        <v>2</v>
      </c>
    </row>
    <row r="28" spans="1:29" ht="19.95" customHeight="1" x14ac:dyDescent="0.25">
      <c r="A28" s="38">
        <v>8018271318</v>
      </c>
      <c r="B28" s="56" t="s">
        <v>905</v>
      </c>
      <c r="C28" s="10" t="s">
        <v>904</v>
      </c>
      <c r="D28" s="56" t="s">
        <v>299</v>
      </c>
      <c r="E28" s="56" t="s">
        <v>889</v>
      </c>
      <c r="F28" s="56" t="s">
        <v>349</v>
      </c>
      <c r="G28" s="113" t="s">
        <v>891</v>
      </c>
      <c r="H28" s="112" t="s">
        <v>314</v>
      </c>
      <c r="I28" s="112" t="s">
        <v>842</v>
      </c>
      <c r="J28" s="113" t="s">
        <v>347</v>
      </c>
      <c r="K28" s="112"/>
      <c r="L28" s="112"/>
      <c r="M28" s="112"/>
      <c r="N28" s="113" t="s">
        <v>16</v>
      </c>
      <c r="O28" s="44" t="s">
        <v>883</v>
      </c>
      <c r="P28" s="12" t="s">
        <v>837</v>
      </c>
      <c r="Q28" s="12">
        <f t="shared" si="1"/>
        <v>8</v>
      </c>
      <c r="R28" s="12"/>
      <c r="S28" s="12"/>
      <c r="T28" s="12"/>
      <c r="U28" s="12"/>
      <c r="V28" s="12">
        <v>4</v>
      </c>
      <c r="W28" s="12"/>
      <c r="X28" s="12"/>
      <c r="Y28" s="12"/>
      <c r="Z28" s="12">
        <v>4</v>
      </c>
      <c r="AA28" s="12"/>
      <c r="AB28" s="12"/>
      <c r="AC28" s="12"/>
    </row>
    <row r="29" spans="1:29" ht="19.95" customHeight="1" x14ac:dyDescent="0.25">
      <c r="A29" s="38">
        <v>8018271318</v>
      </c>
      <c r="B29" s="56" t="s">
        <v>905</v>
      </c>
      <c r="C29" s="10" t="s">
        <v>904</v>
      </c>
      <c r="D29" s="56" t="s">
        <v>299</v>
      </c>
      <c r="E29" s="56" t="s">
        <v>889</v>
      </c>
      <c r="F29" s="56" t="s">
        <v>349</v>
      </c>
      <c r="G29" s="113" t="s">
        <v>891</v>
      </c>
      <c r="H29" s="112" t="s">
        <v>314</v>
      </c>
      <c r="I29" s="112" t="s">
        <v>842</v>
      </c>
      <c r="J29" s="113" t="s">
        <v>347</v>
      </c>
      <c r="K29" s="112"/>
      <c r="L29" s="112"/>
      <c r="M29" s="112"/>
      <c r="N29" s="113" t="s">
        <v>16</v>
      </c>
      <c r="O29" s="44" t="s">
        <v>884</v>
      </c>
      <c r="P29" s="12" t="s">
        <v>837</v>
      </c>
      <c r="Q29" s="12">
        <f t="shared" si="1"/>
        <v>180</v>
      </c>
      <c r="R29" s="12"/>
      <c r="S29" s="12"/>
      <c r="T29" s="12"/>
      <c r="U29" s="12">
        <v>60</v>
      </c>
      <c r="V29" s="12"/>
      <c r="W29" s="12"/>
      <c r="X29" s="12"/>
      <c r="Y29" s="12">
        <v>60</v>
      </c>
      <c r="Z29" s="12"/>
      <c r="AA29" s="12"/>
      <c r="AB29" s="12">
        <v>60</v>
      </c>
      <c r="AC29" s="12"/>
    </row>
    <row r="30" spans="1:29" ht="19.95" customHeight="1" x14ac:dyDescent="0.25">
      <c r="A30" s="38">
        <v>8018271318</v>
      </c>
      <c r="B30" s="56" t="s">
        <v>905</v>
      </c>
      <c r="C30" s="10" t="s">
        <v>904</v>
      </c>
      <c r="D30" s="56" t="s">
        <v>299</v>
      </c>
      <c r="E30" s="56" t="s">
        <v>889</v>
      </c>
      <c r="F30" s="56" t="s">
        <v>349</v>
      </c>
      <c r="G30" s="113" t="s">
        <v>891</v>
      </c>
      <c r="H30" s="112" t="s">
        <v>314</v>
      </c>
      <c r="I30" s="112" t="s">
        <v>842</v>
      </c>
      <c r="J30" s="113" t="s">
        <v>347</v>
      </c>
      <c r="K30" s="112"/>
      <c r="L30" s="112"/>
      <c r="M30" s="112"/>
      <c r="N30" s="113" t="s">
        <v>16</v>
      </c>
      <c r="O30" s="44" t="s">
        <v>885</v>
      </c>
      <c r="P30" s="12" t="s">
        <v>837</v>
      </c>
      <c r="Q30" s="12">
        <f t="shared" si="1"/>
        <v>8</v>
      </c>
      <c r="R30" s="12"/>
      <c r="S30" s="12"/>
      <c r="T30" s="12"/>
      <c r="U30" s="12"/>
      <c r="V30" s="12"/>
      <c r="W30" s="12"/>
      <c r="X30" s="12">
        <v>8</v>
      </c>
      <c r="Y30" s="12"/>
      <c r="Z30" s="12"/>
      <c r="AA30" s="12"/>
      <c r="AB30" s="12"/>
      <c r="AC30" s="12"/>
    </row>
    <row r="31" spans="1:29" ht="19.95" customHeight="1" x14ac:dyDescent="0.25">
      <c r="A31" s="38">
        <v>8018271318</v>
      </c>
      <c r="B31" s="56" t="s">
        <v>905</v>
      </c>
      <c r="C31" s="10" t="s">
        <v>904</v>
      </c>
      <c r="D31" s="56" t="s">
        <v>299</v>
      </c>
      <c r="E31" s="56" t="s">
        <v>889</v>
      </c>
      <c r="F31" s="56" t="s">
        <v>349</v>
      </c>
      <c r="G31" s="113" t="s">
        <v>891</v>
      </c>
      <c r="H31" s="112" t="s">
        <v>314</v>
      </c>
      <c r="I31" s="112" t="s">
        <v>842</v>
      </c>
      <c r="J31" s="113" t="s">
        <v>347</v>
      </c>
      <c r="K31" s="112"/>
      <c r="L31" s="112"/>
      <c r="M31" s="112"/>
      <c r="N31" s="113" t="s">
        <v>16</v>
      </c>
      <c r="O31" s="44" t="s">
        <v>886</v>
      </c>
      <c r="P31" s="12" t="s">
        <v>21</v>
      </c>
      <c r="Q31" s="12">
        <f t="shared" si="1"/>
        <v>0</v>
      </c>
      <c r="R31" s="12"/>
      <c r="S31" s="12"/>
      <c r="T31" s="12"/>
      <c r="U31" s="12"/>
      <c r="V31" s="12"/>
      <c r="W31" s="12"/>
      <c r="X31" s="12"/>
      <c r="Y31" s="12"/>
      <c r="Z31" s="12"/>
      <c r="AA31" s="12"/>
      <c r="AB31" s="12"/>
      <c r="AC31" s="12"/>
    </row>
    <row r="32" spans="1:29" ht="19.95" customHeight="1" x14ac:dyDescent="0.25"/>
  </sheetData>
  <hyperlinks>
    <hyperlink ref="C2" r:id="rId1" xr:uid="{B526E274-C926-48DE-BE53-017F94E3D143}"/>
    <hyperlink ref="C3" r:id="rId2" xr:uid="{754232F9-8785-46DD-B0D5-0A2659FD88D3}"/>
    <hyperlink ref="C4" r:id="rId3" xr:uid="{77C3498A-F57A-46A6-B7E4-764924682EA5}"/>
    <hyperlink ref="C5" r:id="rId4" xr:uid="{47F8A4B8-8A3E-48DF-AA29-5997650D5AC8}"/>
    <hyperlink ref="C6" r:id="rId5" xr:uid="{8B241025-988F-4658-BFD1-1C3B2B077761}"/>
    <hyperlink ref="C7" r:id="rId6" xr:uid="{01CE7AC7-125B-4AE0-B448-919B2A24BA11}"/>
    <hyperlink ref="C8" r:id="rId7" xr:uid="{0CFADC81-766F-49BD-AA23-44F51B29A4B0}"/>
    <hyperlink ref="C9" r:id="rId8" xr:uid="{FA8B7DD9-FCD6-4468-BCFD-F943673F740F}"/>
    <hyperlink ref="C10" r:id="rId9" xr:uid="{7F90EB84-94C6-456B-8A64-9628C55E6FF3}"/>
    <hyperlink ref="C11" r:id="rId10" xr:uid="{CDF170FB-4D85-422D-B774-11DB1C1B9B0E}"/>
    <hyperlink ref="C12" r:id="rId11" xr:uid="{783C6D82-3360-4BDB-B9E6-DA0ACB0AB595}"/>
    <hyperlink ref="C13" r:id="rId12" xr:uid="{27554970-831B-4449-990B-43B8DDC85F14}"/>
    <hyperlink ref="C14" r:id="rId13" xr:uid="{CA01BF5F-5E68-40EF-A812-38CDD9E0761D}"/>
    <hyperlink ref="C15" r:id="rId14" xr:uid="{94F7FCD1-07DD-4952-B4F1-006BF1B8539F}"/>
    <hyperlink ref="C16" r:id="rId15" xr:uid="{D0E13E99-69A4-40E3-8ECC-61F6A52D125E}"/>
    <hyperlink ref="C17" r:id="rId16" xr:uid="{B3383360-DEB9-46B8-BFC2-D01B70315BFD}"/>
    <hyperlink ref="C18" r:id="rId17" xr:uid="{D60247C8-F670-4FC8-9B61-6370D6BF22D2}"/>
    <hyperlink ref="C19" r:id="rId18" xr:uid="{251E0F18-0E4D-4E5B-8875-1463C91C150A}"/>
    <hyperlink ref="C20" r:id="rId19" xr:uid="{768CADE0-ED34-4242-808D-1F98F6DDB7BC}"/>
    <hyperlink ref="C21" r:id="rId20" xr:uid="{BD0AEDA1-1294-451F-8AE3-DD4A8B57C988}"/>
    <hyperlink ref="C22" r:id="rId21" xr:uid="{2D0810F3-B33A-4E02-B40A-7AF93391638E}"/>
    <hyperlink ref="C23" r:id="rId22" xr:uid="{F3858B48-2AAD-4310-9BE7-3928F13FC04C}"/>
    <hyperlink ref="C24" r:id="rId23" xr:uid="{5906462F-1162-4D14-9625-8B8C07E7EB16}"/>
    <hyperlink ref="C25" r:id="rId24" xr:uid="{512CE9C2-B808-40A8-AC01-2C24F643EBB1}"/>
    <hyperlink ref="C26" r:id="rId25" xr:uid="{62FDCCEA-95F7-445D-841C-A732B01BE241}"/>
    <hyperlink ref="C27" r:id="rId26" xr:uid="{3DCDF52D-2E37-41F6-9193-8DA02240ADBF}"/>
    <hyperlink ref="C28" r:id="rId27" xr:uid="{E866382E-D48F-4051-8447-992832A06A0E}"/>
    <hyperlink ref="C29" r:id="rId28" xr:uid="{1519CC3B-D10E-41C8-8AD8-19F2D1D64AB3}"/>
    <hyperlink ref="C30" r:id="rId29" xr:uid="{78CCF41C-186B-4A92-A711-3CC0CDD90E21}"/>
    <hyperlink ref="C31" r:id="rId30" xr:uid="{081C3680-6A53-4B48-8C04-140AB32D8885}"/>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235E7-B3E4-49A9-AE73-A1E40992E8C6}">
  <dimension ref="A1:AC32"/>
  <sheetViews>
    <sheetView topLeftCell="M10" workbookViewId="0">
      <selection activeCell="R19" sqref="R19"/>
    </sheetView>
  </sheetViews>
  <sheetFormatPr defaultRowHeight="13.2" x14ac:dyDescent="0.25"/>
  <cols>
    <col min="1" max="1" width="12.109375" bestFit="1" customWidth="1"/>
    <col min="2" max="2" width="13.33203125" bestFit="1" customWidth="1"/>
    <col min="3" max="3" width="25.77734375" bestFit="1" customWidth="1"/>
    <col min="4" max="4" width="10.77734375" customWidth="1"/>
    <col min="5" max="5" width="18.21875" bestFit="1" customWidth="1"/>
    <col min="6" max="6" width="12.44140625" bestFit="1" customWidth="1"/>
    <col min="7" max="7" width="12.44140625" style="116" bestFit="1" customWidth="1"/>
    <col min="9" max="9" width="17.21875" bestFit="1" customWidth="1"/>
    <col min="10" max="10" width="11.44140625" style="116" bestFit="1" customWidth="1"/>
    <col min="11" max="13" width="11.44140625" bestFit="1" customWidth="1"/>
    <col min="14" max="14" width="14.5546875" style="116" bestFit="1" customWidth="1"/>
    <col min="15" max="15" width="75.6640625" bestFit="1" customWidth="1"/>
    <col min="16" max="16" width="20.88671875" bestFit="1" customWidth="1"/>
    <col min="17" max="17" width="14" bestFit="1" customWidth="1"/>
  </cols>
  <sheetData>
    <row r="1" spans="1:29" ht="27.6" x14ac:dyDescent="0.25">
      <c r="A1" s="35" t="s">
        <v>123</v>
      </c>
      <c r="B1" s="58" t="s">
        <v>1</v>
      </c>
      <c r="C1" s="35" t="s">
        <v>2</v>
      </c>
      <c r="D1" s="58" t="s">
        <v>3</v>
      </c>
      <c r="E1" s="35" t="s">
        <v>4</v>
      </c>
      <c r="F1" s="35" t="s">
        <v>5</v>
      </c>
      <c r="G1" s="35" t="s">
        <v>6</v>
      </c>
      <c r="H1" s="35" t="s">
        <v>7</v>
      </c>
      <c r="I1" s="58" t="s">
        <v>8</v>
      </c>
      <c r="J1" s="35" t="s">
        <v>9</v>
      </c>
      <c r="K1" s="35" t="s">
        <v>10</v>
      </c>
      <c r="L1" s="35" t="s">
        <v>126</v>
      </c>
      <c r="M1" s="35" t="s">
        <v>127</v>
      </c>
      <c r="N1" s="35" t="s">
        <v>11</v>
      </c>
      <c r="O1" s="35" t="s">
        <v>654</v>
      </c>
      <c r="P1" s="35" t="s">
        <v>655</v>
      </c>
      <c r="Q1" s="35" t="s">
        <v>656</v>
      </c>
      <c r="R1" s="35" t="s">
        <v>657</v>
      </c>
      <c r="S1" s="35" t="s">
        <v>658</v>
      </c>
      <c r="T1" s="35" t="s">
        <v>659</v>
      </c>
      <c r="U1" s="35" t="s">
        <v>660</v>
      </c>
      <c r="V1" s="35" t="s">
        <v>661</v>
      </c>
      <c r="W1" s="35" t="s">
        <v>662</v>
      </c>
      <c r="X1" s="35" t="s">
        <v>663</v>
      </c>
      <c r="Y1" s="35" t="s">
        <v>664</v>
      </c>
      <c r="Z1" s="35" t="s">
        <v>665</v>
      </c>
      <c r="AA1" s="35" t="s">
        <v>666</v>
      </c>
      <c r="AB1" s="35" t="s">
        <v>667</v>
      </c>
      <c r="AC1" s="35" t="s">
        <v>668</v>
      </c>
    </row>
    <row r="2" spans="1:29" ht="19.95" customHeight="1" x14ac:dyDescent="0.25">
      <c r="A2" s="38">
        <v>7327976522</v>
      </c>
      <c r="B2" s="56" t="s">
        <v>903</v>
      </c>
      <c r="C2" s="131" t="s">
        <v>900</v>
      </c>
      <c r="D2" s="56" t="s">
        <v>901</v>
      </c>
      <c r="E2" s="56" t="s">
        <v>889</v>
      </c>
      <c r="F2" s="56" t="s">
        <v>902</v>
      </c>
      <c r="G2" s="113" t="s">
        <v>891</v>
      </c>
      <c r="H2" s="112" t="s">
        <v>314</v>
      </c>
      <c r="I2" s="112" t="s">
        <v>842</v>
      </c>
      <c r="J2" s="113" t="s">
        <v>347</v>
      </c>
      <c r="K2" s="112"/>
      <c r="L2" s="112"/>
      <c r="M2" s="112"/>
      <c r="N2" s="113" t="s">
        <v>16</v>
      </c>
      <c r="O2" s="44" t="s">
        <v>858</v>
      </c>
      <c r="P2" s="6" t="s">
        <v>837</v>
      </c>
      <c r="Q2" s="6">
        <f>SUM(R2:AC2)</f>
        <v>524</v>
      </c>
      <c r="R2" s="6"/>
      <c r="S2" s="6"/>
      <c r="T2" s="6"/>
      <c r="U2" s="6"/>
      <c r="V2" s="6"/>
      <c r="W2" s="6">
        <v>524</v>
      </c>
      <c r="X2" s="6"/>
      <c r="Y2" s="6"/>
      <c r="Z2" s="6"/>
      <c r="AA2" s="6"/>
      <c r="AB2" s="6"/>
      <c r="AC2" s="6"/>
    </row>
    <row r="3" spans="1:29" ht="19.95" customHeight="1" x14ac:dyDescent="0.25">
      <c r="A3" s="38">
        <v>7327976522</v>
      </c>
      <c r="B3" s="56" t="s">
        <v>903</v>
      </c>
      <c r="C3" s="131" t="s">
        <v>900</v>
      </c>
      <c r="D3" s="56" t="s">
        <v>901</v>
      </c>
      <c r="E3" s="56" t="s">
        <v>889</v>
      </c>
      <c r="F3" s="56" t="s">
        <v>902</v>
      </c>
      <c r="G3" s="113" t="s">
        <v>891</v>
      </c>
      <c r="H3" s="112" t="s">
        <v>314</v>
      </c>
      <c r="I3" s="112" t="s">
        <v>842</v>
      </c>
      <c r="J3" s="113" t="s">
        <v>347</v>
      </c>
      <c r="K3" s="112"/>
      <c r="L3" s="112"/>
      <c r="M3" s="112"/>
      <c r="N3" s="113" t="s">
        <v>16</v>
      </c>
      <c r="O3" s="44" t="s">
        <v>859</v>
      </c>
      <c r="P3" s="6" t="s">
        <v>887</v>
      </c>
      <c r="Q3" s="6">
        <f>SUM(R3:AC3)</f>
        <v>54</v>
      </c>
      <c r="R3" s="6"/>
      <c r="S3" s="6"/>
      <c r="T3" s="6"/>
      <c r="U3" s="6">
        <v>6</v>
      </c>
      <c r="V3" s="6">
        <v>6</v>
      </c>
      <c r="W3" s="6">
        <v>6</v>
      </c>
      <c r="X3" s="6">
        <v>6</v>
      </c>
      <c r="Y3" s="6">
        <v>6</v>
      </c>
      <c r="Z3" s="6">
        <v>6</v>
      </c>
      <c r="AA3" s="6">
        <v>6</v>
      </c>
      <c r="AB3" s="6">
        <v>6</v>
      </c>
      <c r="AC3" s="6">
        <v>6</v>
      </c>
    </row>
    <row r="4" spans="1:29" ht="19.95" customHeight="1" x14ac:dyDescent="0.25">
      <c r="A4" s="38">
        <v>7327976522</v>
      </c>
      <c r="B4" s="56" t="s">
        <v>903</v>
      </c>
      <c r="C4" s="131" t="s">
        <v>900</v>
      </c>
      <c r="D4" s="56" t="s">
        <v>901</v>
      </c>
      <c r="E4" s="56" t="s">
        <v>889</v>
      </c>
      <c r="F4" s="56" t="s">
        <v>902</v>
      </c>
      <c r="G4" s="113" t="s">
        <v>891</v>
      </c>
      <c r="H4" s="112" t="s">
        <v>314</v>
      </c>
      <c r="I4" s="112" t="s">
        <v>842</v>
      </c>
      <c r="J4" s="113" t="s">
        <v>347</v>
      </c>
      <c r="K4" s="112"/>
      <c r="L4" s="112"/>
      <c r="M4" s="112"/>
      <c r="N4" s="113" t="s">
        <v>16</v>
      </c>
      <c r="O4" s="44" t="s">
        <v>860</v>
      </c>
      <c r="P4" s="6" t="s">
        <v>837</v>
      </c>
      <c r="Q4" s="6">
        <f t="shared" ref="Q4:Q20" si="0">SUM(R4:AC4)</f>
        <v>472</v>
      </c>
      <c r="R4" s="6">
        <v>185</v>
      </c>
      <c r="S4" s="6">
        <v>154</v>
      </c>
      <c r="T4" s="6">
        <v>133</v>
      </c>
      <c r="U4" s="6"/>
      <c r="V4" s="6"/>
      <c r="W4" s="6"/>
      <c r="X4" s="6"/>
      <c r="Y4" s="6"/>
      <c r="Z4" s="6"/>
      <c r="AA4" s="6"/>
      <c r="AB4" s="6"/>
      <c r="AC4" s="6"/>
    </row>
    <row r="5" spans="1:29" ht="19.95" customHeight="1" x14ac:dyDescent="0.25">
      <c r="A5" s="38">
        <v>7327976522</v>
      </c>
      <c r="B5" s="56" t="s">
        <v>903</v>
      </c>
      <c r="C5" s="131" t="s">
        <v>900</v>
      </c>
      <c r="D5" s="56" t="s">
        <v>901</v>
      </c>
      <c r="E5" s="56" t="s">
        <v>889</v>
      </c>
      <c r="F5" s="56" t="s">
        <v>902</v>
      </c>
      <c r="G5" s="113" t="s">
        <v>891</v>
      </c>
      <c r="H5" s="112" t="s">
        <v>314</v>
      </c>
      <c r="I5" s="112" t="s">
        <v>842</v>
      </c>
      <c r="J5" s="113" t="s">
        <v>347</v>
      </c>
      <c r="K5" s="112"/>
      <c r="L5" s="112"/>
      <c r="M5" s="112"/>
      <c r="N5" s="113" t="s">
        <v>16</v>
      </c>
      <c r="O5" s="44" t="s">
        <v>861</v>
      </c>
      <c r="P5" s="6" t="s">
        <v>837</v>
      </c>
      <c r="Q5" s="6">
        <f t="shared" si="0"/>
        <v>996</v>
      </c>
      <c r="R5" s="6"/>
      <c r="S5" s="6"/>
      <c r="T5" s="6">
        <v>243</v>
      </c>
      <c r="U5" s="6">
        <v>753</v>
      </c>
      <c r="V5" s="6"/>
      <c r="W5" s="6"/>
      <c r="X5" s="6"/>
      <c r="Y5" s="6"/>
      <c r="Z5" s="6"/>
      <c r="AA5" s="6"/>
      <c r="AB5" s="6"/>
      <c r="AC5" s="6"/>
    </row>
    <row r="6" spans="1:29" ht="19.95" customHeight="1" x14ac:dyDescent="0.25">
      <c r="A6" s="38">
        <v>7327976522</v>
      </c>
      <c r="B6" s="56" t="s">
        <v>903</v>
      </c>
      <c r="C6" s="131" t="s">
        <v>900</v>
      </c>
      <c r="D6" s="56" t="s">
        <v>901</v>
      </c>
      <c r="E6" s="56" t="s">
        <v>889</v>
      </c>
      <c r="F6" s="56" t="s">
        <v>902</v>
      </c>
      <c r="G6" s="113" t="s">
        <v>891</v>
      </c>
      <c r="H6" s="112" t="s">
        <v>314</v>
      </c>
      <c r="I6" s="112" t="s">
        <v>842</v>
      </c>
      <c r="J6" s="113" t="s">
        <v>347</v>
      </c>
      <c r="K6" s="112"/>
      <c r="L6" s="112"/>
      <c r="M6" s="112"/>
      <c r="N6" s="113" t="s">
        <v>16</v>
      </c>
      <c r="O6" s="44" t="s">
        <v>862</v>
      </c>
      <c r="P6" s="6" t="s">
        <v>837</v>
      </c>
      <c r="Q6" s="6">
        <f t="shared" si="0"/>
        <v>996</v>
      </c>
      <c r="R6" s="6"/>
      <c r="S6" s="6"/>
      <c r="T6" s="6"/>
      <c r="U6" s="6">
        <v>996</v>
      </c>
      <c r="V6" s="6"/>
      <c r="W6" s="6"/>
      <c r="X6" s="6"/>
      <c r="Y6" s="6"/>
      <c r="Z6" s="6"/>
      <c r="AA6" s="6"/>
      <c r="AB6" s="6"/>
      <c r="AC6" s="6"/>
    </row>
    <row r="7" spans="1:29" ht="19.95" customHeight="1" x14ac:dyDescent="0.25">
      <c r="A7" s="38">
        <v>7327976522</v>
      </c>
      <c r="B7" s="56" t="s">
        <v>903</v>
      </c>
      <c r="C7" s="131" t="s">
        <v>900</v>
      </c>
      <c r="D7" s="56" t="s">
        <v>901</v>
      </c>
      <c r="E7" s="56" t="s">
        <v>889</v>
      </c>
      <c r="F7" s="56" t="s">
        <v>902</v>
      </c>
      <c r="G7" s="113" t="s">
        <v>891</v>
      </c>
      <c r="H7" s="112" t="s">
        <v>314</v>
      </c>
      <c r="I7" s="112" t="s">
        <v>842</v>
      </c>
      <c r="J7" s="113" t="s">
        <v>347</v>
      </c>
      <c r="K7" s="112"/>
      <c r="L7" s="112"/>
      <c r="M7" s="112"/>
      <c r="N7" s="113" t="s">
        <v>16</v>
      </c>
      <c r="O7" s="44" t="s">
        <v>863</v>
      </c>
      <c r="P7" s="6" t="s">
        <v>837</v>
      </c>
      <c r="Q7" s="6">
        <f t="shared" si="0"/>
        <v>3984</v>
      </c>
      <c r="R7" s="6"/>
      <c r="S7" s="6"/>
      <c r="T7" s="6"/>
      <c r="U7" s="6">
        <v>996</v>
      </c>
      <c r="V7" s="6">
        <v>996</v>
      </c>
      <c r="W7" s="6">
        <v>996</v>
      </c>
      <c r="X7" s="6">
        <v>996</v>
      </c>
      <c r="Y7" s="6"/>
      <c r="Z7" s="6"/>
      <c r="AA7" s="6"/>
      <c r="AB7" s="6"/>
      <c r="AC7" s="6"/>
    </row>
    <row r="8" spans="1:29" ht="19.95" customHeight="1" x14ac:dyDescent="0.25">
      <c r="A8" s="38">
        <v>7327976522</v>
      </c>
      <c r="B8" s="56" t="s">
        <v>903</v>
      </c>
      <c r="C8" s="131" t="s">
        <v>900</v>
      </c>
      <c r="D8" s="56" t="s">
        <v>901</v>
      </c>
      <c r="E8" s="56" t="s">
        <v>889</v>
      </c>
      <c r="F8" s="56" t="s">
        <v>902</v>
      </c>
      <c r="G8" s="113" t="s">
        <v>891</v>
      </c>
      <c r="H8" s="112" t="s">
        <v>314</v>
      </c>
      <c r="I8" s="112" t="s">
        <v>842</v>
      </c>
      <c r="J8" s="113" t="s">
        <v>347</v>
      </c>
      <c r="K8" s="112"/>
      <c r="L8" s="112"/>
      <c r="M8" s="112"/>
      <c r="N8" s="113" t="s">
        <v>16</v>
      </c>
      <c r="O8" s="44" t="s">
        <v>864</v>
      </c>
      <c r="P8" s="6" t="s">
        <v>837</v>
      </c>
      <c r="Q8" s="6">
        <f t="shared" si="0"/>
        <v>996</v>
      </c>
      <c r="R8" s="6"/>
      <c r="S8" s="6"/>
      <c r="T8" s="6"/>
      <c r="U8" s="6"/>
      <c r="V8" s="6"/>
      <c r="W8" s="6">
        <v>996</v>
      </c>
      <c r="X8" s="6"/>
      <c r="Y8" s="6"/>
      <c r="Z8" s="6"/>
      <c r="AA8" s="6"/>
      <c r="AB8" s="6"/>
      <c r="AC8" s="6"/>
    </row>
    <row r="9" spans="1:29" ht="19.95" customHeight="1" x14ac:dyDescent="0.25">
      <c r="A9" s="38">
        <v>7327976522</v>
      </c>
      <c r="B9" s="56" t="s">
        <v>903</v>
      </c>
      <c r="C9" s="131" t="s">
        <v>900</v>
      </c>
      <c r="D9" s="56" t="s">
        <v>901</v>
      </c>
      <c r="E9" s="56" t="s">
        <v>889</v>
      </c>
      <c r="F9" s="56" t="s">
        <v>902</v>
      </c>
      <c r="G9" s="113" t="s">
        <v>891</v>
      </c>
      <c r="H9" s="112" t="s">
        <v>314</v>
      </c>
      <c r="I9" s="112" t="s">
        <v>842</v>
      </c>
      <c r="J9" s="113" t="s">
        <v>347</v>
      </c>
      <c r="K9" s="112"/>
      <c r="L9" s="112"/>
      <c r="M9" s="112"/>
      <c r="N9" s="113" t="s">
        <v>16</v>
      </c>
      <c r="O9" s="44" t="s">
        <v>865</v>
      </c>
      <c r="P9" s="6" t="s">
        <v>837</v>
      </c>
      <c r="Q9" s="6">
        <f t="shared" si="0"/>
        <v>996</v>
      </c>
      <c r="R9" s="6"/>
      <c r="S9" s="6"/>
      <c r="T9" s="6"/>
      <c r="U9" s="6"/>
      <c r="V9" s="6"/>
      <c r="W9" s="6">
        <v>996</v>
      </c>
      <c r="X9" s="6"/>
      <c r="Y9" s="6"/>
      <c r="Z9" s="6"/>
      <c r="AA9" s="6"/>
      <c r="AB9" s="6"/>
      <c r="AC9" s="6"/>
    </row>
    <row r="10" spans="1:29" ht="19.95" customHeight="1" x14ac:dyDescent="0.25">
      <c r="A10" s="38">
        <v>7327976522</v>
      </c>
      <c r="B10" s="56" t="s">
        <v>903</v>
      </c>
      <c r="C10" s="131" t="s">
        <v>900</v>
      </c>
      <c r="D10" s="56" t="s">
        <v>901</v>
      </c>
      <c r="E10" s="56" t="s">
        <v>889</v>
      </c>
      <c r="F10" s="56" t="s">
        <v>902</v>
      </c>
      <c r="G10" s="113" t="s">
        <v>891</v>
      </c>
      <c r="H10" s="112" t="s">
        <v>314</v>
      </c>
      <c r="I10" s="112" t="s">
        <v>842</v>
      </c>
      <c r="J10" s="113" t="s">
        <v>347</v>
      </c>
      <c r="K10" s="112"/>
      <c r="L10" s="112"/>
      <c r="M10" s="112"/>
      <c r="N10" s="113" t="s">
        <v>16</v>
      </c>
      <c r="O10" s="44" t="s">
        <v>866</v>
      </c>
      <c r="P10" s="6" t="s">
        <v>837</v>
      </c>
      <c r="Q10" s="6">
        <f t="shared" si="0"/>
        <v>996</v>
      </c>
      <c r="R10" s="6"/>
      <c r="S10" s="6"/>
      <c r="T10" s="6"/>
      <c r="U10" s="6"/>
      <c r="V10" s="6"/>
      <c r="W10" s="6"/>
      <c r="X10" s="6">
        <v>996</v>
      </c>
      <c r="Y10" s="6"/>
      <c r="Z10" s="6"/>
      <c r="AA10" s="6"/>
      <c r="AB10" s="6"/>
      <c r="AC10" s="6"/>
    </row>
    <row r="11" spans="1:29" ht="19.95" customHeight="1" x14ac:dyDescent="0.25">
      <c r="A11" s="38">
        <v>7327976522</v>
      </c>
      <c r="B11" s="56" t="s">
        <v>903</v>
      </c>
      <c r="C11" s="131" t="s">
        <v>900</v>
      </c>
      <c r="D11" s="56" t="s">
        <v>901</v>
      </c>
      <c r="E11" s="56" t="s">
        <v>889</v>
      </c>
      <c r="F11" s="56" t="s">
        <v>902</v>
      </c>
      <c r="G11" s="113" t="s">
        <v>891</v>
      </c>
      <c r="H11" s="112" t="s">
        <v>314</v>
      </c>
      <c r="I11" s="112" t="s">
        <v>842</v>
      </c>
      <c r="J11" s="113" t="s">
        <v>347</v>
      </c>
      <c r="K11" s="112"/>
      <c r="L11" s="112"/>
      <c r="M11" s="112"/>
      <c r="N11" s="113" t="s">
        <v>16</v>
      </c>
      <c r="O11" s="44" t="s">
        <v>867</v>
      </c>
      <c r="P11" s="6" t="s">
        <v>837</v>
      </c>
      <c r="Q11" s="6">
        <f t="shared" si="0"/>
        <v>996</v>
      </c>
      <c r="R11" s="6"/>
      <c r="S11" s="6"/>
      <c r="T11" s="6"/>
      <c r="U11" s="6"/>
      <c r="V11" s="6"/>
      <c r="W11" s="6"/>
      <c r="X11" s="6"/>
      <c r="Y11" s="6">
        <v>996</v>
      </c>
      <c r="Z11" s="6"/>
      <c r="AA11" s="6"/>
      <c r="AB11" s="6"/>
      <c r="AC11" s="6"/>
    </row>
    <row r="12" spans="1:29" ht="19.95" customHeight="1" x14ac:dyDescent="0.25">
      <c r="A12" s="38">
        <v>7327976522</v>
      </c>
      <c r="B12" s="56" t="s">
        <v>903</v>
      </c>
      <c r="C12" s="131" t="s">
        <v>900</v>
      </c>
      <c r="D12" s="56" t="s">
        <v>901</v>
      </c>
      <c r="E12" s="56" t="s">
        <v>889</v>
      </c>
      <c r="F12" s="56" t="s">
        <v>902</v>
      </c>
      <c r="G12" s="113" t="s">
        <v>891</v>
      </c>
      <c r="H12" s="112" t="s">
        <v>314</v>
      </c>
      <c r="I12" s="112" t="s">
        <v>842</v>
      </c>
      <c r="J12" s="113" t="s">
        <v>347</v>
      </c>
      <c r="K12" s="112"/>
      <c r="L12" s="112"/>
      <c r="M12" s="112"/>
      <c r="N12" s="113" t="s">
        <v>16</v>
      </c>
      <c r="O12" s="44" t="s">
        <v>868</v>
      </c>
      <c r="P12" s="6" t="s">
        <v>837</v>
      </c>
      <c r="Q12" s="6">
        <f t="shared" si="0"/>
        <v>996</v>
      </c>
      <c r="R12" s="6"/>
      <c r="S12" s="6"/>
      <c r="T12" s="6"/>
      <c r="U12" s="6"/>
      <c r="V12" s="6"/>
      <c r="W12" s="6"/>
      <c r="X12" s="6"/>
      <c r="Y12" s="6"/>
      <c r="Z12" s="6"/>
      <c r="AA12" s="6"/>
      <c r="AB12" s="6">
        <v>996</v>
      </c>
      <c r="AC12" s="6"/>
    </row>
    <row r="13" spans="1:29" ht="19.95" customHeight="1" x14ac:dyDescent="0.25">
      <c r="A13" s="38">
        <v>7327976522</v>
      </c>
      <c r="B13" s="56" t="s">
        <v>903</v>
      </c>
      <c r="C13" s="131" t="s">
        <v>900</v>
      </c>
      <c r="D13" s="56" t="s">
        <v>901</v>
      </c>
      <c r="E13" s="56" t="s">
        <v>889</v>
      </c>
      <c r="F13" s="56" t="s">
        <v>902</v>
      </c>
      <c r="G13" s="113" t="s">
        <v>891</v>
      </c>
      <c r="H13" s="112" t="s">
        <v>314</v>
      </c>
      <c r="I13" s="112" t="s">
        <v>842</v>
      </c>
      <c r="J13" s="113" t="s">
        <v>347</v>
      </c>
      <c r="K13" s="112"/>
      <c r="L13" s="112"/>
      <c r="M13" s="112"/>
      <c r="N13" s="113" t="s">
        <v>16</v>
      </c>
      <c r="O13" s="44" t="s">
        <v>869</v>
      </c>
      <c r="P13" s="6" t="s">
        <v>837</v>
      </c>
      <c r="Q13" s="6">
        <f t="shared" si="0"/>
        <v>2988</v>
      </c>
      <c r="R13" s="6"/>
      <c r="S13" s="6"/>
      <c r="T13" s="6"/>
      <c r="U13" s="6"/>
      <c r="V13" s="6"/>
      <c r="W13" s="6"/>
      <c r="X13" s="6"/>
      <c r="Y13" s="6">
        <v>996</v>
      </c>
      <c r="Z13" s="6">
        <v>996</v>
      </c>
      <c r="AA13" s="6">
        <v>996</v>
      </c>
      <c r="AB13" s="6"/>
      <c r="AC13" s="6"/>
    </row>
    <row r="14" spans="1:29" ht="19.95" customHeight="1" x14ac:dyDescent="0.25">
      <c r="A14" s="38">
        <v>7327976522</v>
      </c>
      <c r="B14" s="56" t="s">
        <v>903</v>
      </c>
      <c r="C14" s="131" t="s">
        <v>900</v>
      </c>
      <c r="D14" s="56" t="s">
        <v>901</v>
      </c>
      <c r="E14" s="56" t="s">
        <v>889</v>
      </c>
      <c r="F14" s="56" t="s">
        <v>902</v>
      </c>
      <c r="G14" s="113" t="s">
        <v>891</v>
      </c>
      <c r="H14" s="112" t="s">
        <v>314</v>
      </c>
      <c r="I14" s="112" t="s">
        <v>842</v>
      </c>
      <c r="J14" s="113" t="s">
        <v>347</v>
      </c>
      <c r="K14" s="112"/>
      <c r="L14" s="112"/>
      <c r="M14" s="112"/>
      <c r="N14" s="113" t="s">
        <v>16</v>
      </c>
      <c r="O14" s="44" t="s">
        <v>870</v>
      </c>
      <c r="P14" s="6" t="s">
        <v>837</v>
      </c>
      <c r="Q14" s="6">
        <f t="shared" si="0"/>
        <v>996</v>
      </c>
      <c r="R14" s="6"/>
      <c r="S14" s="6"/>
      <c r="T14" s="6"/>
      <c r="U14" s="6"/>
      <c r="V14" s="6"/>
      <c r="W14" s="6"/>
      <c r="X14" s="6"/>
      <c r="Y14" s="6"/>
      <c r="Z14" s="6"/>
      <c r="AA14" s="6"/>
      <c r="AB14" s="6"/>
      <c r="AC14" s="6">
        <v>996</v>
      </c>
    </row>
    <row r="15" spans="1:29" ht="19.95" customHeight="1" x14ac:dyDescent="0.25">
      <c r="A15" s="38">
        <v>7327976522</v>
      </c>
      <c r="B15" s="56" t="s">
        <v>903</v>
      </c>
      <c r="C15" s="131" t="s">
        <v>900</v>
      </c>
      <c r="D15" s="56" t="s">
        <v>901</v>
      </c>
      <c r="E15" s="56" t="s">
        <v>889</v>
      </c>
      <c r="F15" s="56" t="s">
        <v>902</v>
      </c>
      <c r="G15" s="113" t="s">
        <v>891</v>
      </c>
      <c r="H15" s="112" t="s">
        <v>314</v>
      </c>
      <c r="I15" s="112" t="s">
        <v>842</v>
      </c>
      <c r="J15" s="113" t="s">
        <v>347</v>
      </c>
      <c r="K15" s="112"/>
      <c r="L15" s="112"/>
      <c r="M15" s="112"/>
      <c r="N15" s="113" t="s">
        <v>16</v>
      </c>
      <c r="O15" s="44" t="s">
        <v>871</v>
      </c>
      <c r="P15" s="6" t="s">
        <v>837</v>
      </c>
      <c r="Q15" s="6">
        <f t="shared" si="0"/>
        <v>1992</v>
      </c>
      <c r="R15" s="6"/>
      <c r="S15" s="6"/>
      <c r="T15" s="6"/>
      <c r="U15" s="6"/>
      <c r="V15" s="6">
        <v>243</v>
      </c>
      <c r="W15" s="6">
        <v>753</v>
      </c>
      <c r="X15" s="6"/>
      <c r="Y15" s="6"/>
      <c r="Z15" s="6"/>
      <c r="AA15" s="6"/>
      <c r="AB15" s="6"/>
      <c r="AC15" s="6">
        <v>996</v>
      </c>
    </row>
    <row r="16" spans="1:29" ht="19.95" customHeight="1" x14ac:dyDescent="0.25">
      <c r="A16" s="38">
        <v>7327976522</v>
      </c>
      <c r="B16" s="56" t="s">
        <v>903</v>
      </c>
      <c r="C16" s="131" t="s">
        <v>900</v>
      </c>
      <c r="D16" s="56" t="s">
        <v>901</v>
      </c>
      <c r="E16" s="56" t="s">
        <v>889</v>
      </c>
      <c r="F16" s="56" t="s">
        <v>902</v>
      </c>
      <c r="G16" s="113" t="s">
        <v>891</v>
      </c>
      <c r="H16" s="112" t="s">
        <v>314</v>
      </c>
      <c r="I16" s="112" t="s">
        <v>842</v>
      </c>
      <c r="J16" s="113" t="s">
        <v>347</v>
      </c>
      <c r="K16" s="112"/>
      <c r="L16" s="112"/>
      <c r="M16" s="112"/>
      <c r="N16" s="113" t="s">
        <v>16</v>
      </c>
      <c r="O16" s="44" t="s">
        <v>872</v>
      </c>
      <c r="P16" s="6" t="s">
        <v>837</v>
      </c>
      <c r="Q16" s="6">
        <f t="shared" si="0"/>
        <v>996</v>
      </c>
      <c r="R16" s="6"/>
      <c r="S16" s="6"/>
      <c r="T16" s="6">
        <v>996</v>
      </c>
      <c r="U16" s="6"/>
      <c r="V16" s="6"/>
      <c r="W16" s="6"/>
      <c r="X16" s="6"/>
      <c r="Y16" s="6"/>
      <c r="Z16" s="6"/>
      <c r="AA16" s="6"/>
      <c r="AB16" s="6"/>
      <c r="AC16" s="6"/>
    </row>
    <row r="17" spans="1:29" ht="19.95" customHeight="1" x14ac:dyDescent="0.25">
      <c r="A17" s="38">
        <v>7327976522</v>
      </c>
      <c r="B17" s="56" t="s">
        <v>903</v>
      </c>
      <c r="C17" s="131" t="s">
        <v>900</v>
      </c>
      <c r="D17" s="56" t="s">
        <v>901</v>
      </c>
      <c r="E17" s="56" t="s">
        <v>889</v>
      </c>
      <c r="F17" s="56" t="s">
        <v>902</v>
      </c>
      <c r="G17" s="113" t="s">
        <v>891</v>
      </c>
      <c r="H17" s="112" t="s">
        <v>314</v>
      </c>
      <c r="I17" s="112" t="s">
        <v>842</v>
      </c>
      <c r="J17" s="113" t="s">
        <v>347</v>
      </c>
      <c r="K17" s="112"/>
      <c r="L17" s="112"/>
      <c r="M17" s="112"/>
      <c r="N17" s="113" t="s">
        <v>16</v>
      </c>
      <c r="O17" s="44" t="s">
        <v>873</v>
      </c>
      <c r="P17" s="6" t="s">
        <v>837</v>
      </c>
      <c r="Q17" s="6">
        <f t="shared" si="0"/>
        <v>472</v>
      </c>
      <c r="R17" s="6"/>
      <c r="S17" s="6"/>
      <c r="T17" s="6"/>
      <c r="U17" s="6"/>
      <c r="V17" s="6">
        <v>472</v>
      </c>
      <c r="W17" s="6"/>
      <c r="X17" s="6"/>
      <c r="Y17" s="6"/>
      <c r="Z17" s="6"/>
      <c r="AA17" s="6"/>
      <c r="AB17" s="6"/>
      <c r="AC17" s="6"/>
    </row>
    <row r="18" spans="1:29" ht="19.95" customHeight="1" x14ac:dyDescent="0.25">
      <c r="A18" s="38">
        <v>7327976522</v>
      </c>
      <c r="B18" s="56" t="s">
        <v>903</v>
      </c>
      <c r="C18" s="131" t="s">
        <v>900</v>
      </c>
      <c r="D18" s="56" t="s">
        <v>901</v>
      </c>
      <c r="E18" s="56" t="s">
        <v>889</v>
      </c>
      <c r="F18" s="56" t="s">
        <v>902</v>
      </c>
      <c r="G18" s="113" t="s">
        <v>891</v>
      </c>
      <c r="H18" s="112" t="s">
        <v>314</v>
      </c>
      <c r="I18" s="112" t="s">
        <v>842</v>
      </c>
      <c r="J18" s="113" t="s">
        <v>347</v>
      </c>
      <c r="K18" s="112"/>
      <c r="L18" s="112"/>
      <c r="M18" s="112"/>
      <c r="N18" s="113" t="s">
        <v>16</v>
      </c>
      <c r="O18" s="44" t="s">
        <v>874</v>
      </c>
      <c r="P18" s="6" t="s">
        <v>837</v>
      </c>
      <c r="Q18" s="6">
        <f t="shared" si="0"/>
        <v>996</v>
      </c>
      <c r="R18" s="6"/>
      <c r="S18" s="6"/>
      <c r="T18" s="6"/>
      <c r="U18" s="6"/>
      <c r="V18" s="6">
        <v>996</v>
      </c>
      <c r="W18" s="6"/>
      <c r="X18" s="6"/>
      <c r="Y18" s="6"/>
      <c r="Z18" s="6"/>
      <c r="AA18" s="6"/>
      <c r="AB18" s="6"/>
      <c r="AC18" s="6"/>
    </row>
    <row r="19" spans="1:29" ht="19.95" customHeight="1" x14ac:dyDescent="0.25">
      <c r="A19" s="38">
        <v>7327976522</v>
      </c>
      <c r="B19" s="56" t="s">
        <v>903</v>
      </c>
      <c r="C19" s="131" t="s">
        <v>900</v>
      </c>
      <c r="D19" s="56" t="s">
        <v>901</v>
      </c>
      <c r="E19" s="56" t="s">
        <v>889</v>
      </c>
      <c r="F19" s="56" t="s">
        <v>902</v>
      </c>
      <c r="G19" s="113" t="s">
        <v>891</v>
      </c>
      <c r="H19" s="112" t="s">
        <v>314</v>
      </c>
      <c r="I19" s="112" t="s">
        <v>842</v>
      </c>
      <c r="J19" s="113" t="s">
        <v>347</v>
      </c>
      <c r="K19" s="112"/>
      <c r="L19" s="112"/>
      <c r="M19" s="112"/>
      <c r="N19" s="113" t="s">
        <v>16</v>
      </c>
      <c r="O19" s="44" t="s">
        <v>721</v>
      </c>
      <c r="P19" s="6" t="s">
        <v>837</v>
      </c>
      <c r="Q19" s="6">
        <f t="shared" si="0"/>
        <v>996</v>
      </c>
      <c r="R19" s="6"/>
      <c r="S19" s="6"/>
      <c r="T19" s="6"/>
      <c r="U19" s="6"/>
      <c r="V19" s="6">
        <v>498</v>
      </c>
      <c r="W19" s="6">
        <v>498</v>
      </c>
      <c r="X19" s="6"/>
      <c r="Y19" s="6"/>
      <c r="Z19" s="6"/>
      <c r="AA19" s="6"/>
      <c r="AB19" s="6"/>
      <c r="AC19" s="6"/>
    </row>
    <row r="20" spans="1:29" ht="19.95" customHeight="1" x14ac:dyDescent="0.25">
      <c r="A20" s="38">
        <v>7327976522</v>
      </c>
      <c r="B20" s="56" t="s">
        <v>903</v>
      </c>
      <c r="C20" s="131" t="s">
        <v>900</v>
      </c>
      <c r="D20" s="56" t="s">
        <v>901</v>
      </c>
      <c r="E20" s="56" t="s">
        <v>889</v>
      </c>
      <c r="F20" s="56" t="s">
        <v>902</v>
      </c>
      <c r="G20" s="113" t="s">
        <v>891</v>
      </c>
      <c r="H20" s="112" t="s">
        <v>314</v>
      </c>
      <c r="I20" s="112" t="s">
        <v>842</v>
      </c>
      <c r="J20" s="113" t="s">
        <v>347</v>
      </c>
      <c r="K20" s="112"/>
      <c r="L20" s="112"/>
      <c r="M20" s="112"/>
      <c r="N20" s="113" t="s">
        <v>16</v>
      </c>
      <c r="O20" s="44" t="s">
        <v>875</v>
      </c>
      <c r="P20" s="6" t="s">
        <v>837</v>
      </c>
      <c r="Q20" s="6">
        <f t="shared" si="0"/>
        <v>2</v>
      </c>
      <c r="R20" s="6"/>
      <c r="S20" s="6"/>
      <c r="T20" s="6"/>
      <c r="U20" s="6"/>
      <c r="V20" s="6"/>
      <c r="W20" s="6"/>
      <c r="X20" s="6">
        <v>2</v>
      </c>
      <c r="Y20" s="6"/>
      <c r="Z20" s="6"/>
      <c r="AA20" s="6"/>
      <c r="AB20" s="6"/>
      <c r="AC20" s="6"/>
    </row>
    <row r="21" spans="1:29" ht="19.95" customHeight="1" x14ac:dyDescent="0.25">
      <c r="A21" s="38">
        <v>7327976522</v>
      </c>
      <c r="B21" s="56" t="s">
        <v>903</v>
      </c>
      <c r="C21" s="131" t="s">
        <v>900</v>
      </c>
      <c r="D21" s="56" t="s">
        <v>901</v>
      </c>
      <c r="E21" s="56" t="s">
        <v>889</v>
      </c>
      <c r="F21" s="56" t="s">
        <v>902</v>
      </c>
      <c r="G21" s="113" t="s">
        <v>891</v>
      </c>
      <c r="H21" s="112" t="s">
        <v>314</v>
      </c>
      <c r="I21" s="112" t="s">
        <v>842</v>
      </c>
      <c r="J21" s="113" t="s">
        <v>347</v>
      </c>
      <c r="K21" s="112"/>
      <c r="L21" s="112"/>
      <c r="M21" s="112"/>
      <c r="N21" s="113" t="s">
        <v>16</v>
      </c>
      <c r="O21" s="44" t="s">
        <v>876</v>
      </c>
      <c r="P21" s="6" t="s">
        <v>21</v>
      </c>
      <c r="Q21" s="151">
        <v>1</v>
      </c>
      <c r="R21" s="6"/>
      <c r="S21" s="6"/>
      <c r="T21" s="6"/>
      <c r="U21" s="6"/>
      <c r="V21" s="6"/>
      <c r="W21" s="6"/>
      <c r="X21" s="6"/>
      <c r="Y21" s="151">
        <v>1</v>
      </c>
      <c r="Z21" s="151">
        <v>1</v>
      </c>
      <c r="AA21" s="151">
        <v>1</v>
      </c>
      <c r="AB21" s="151">
        <v>1</v>
      </c>
      <c r="AC21" s="6"/>
    </row>
    <row r="22" spans="1:29" ht="19.95" customHeight="1" x14ac:dyDescent="0.25">
      <c r="A22" s="38">
        <v>7327976522</v>
      </c>
      <c r="B22" s="56" t="s">
        <v>903</v>
      </c>
      <c r="C22" s="131" t="s">
        <v>900</v>
      </c>
      <c r="D22" s="56" t="s">
        <v>901</v>
      </c>
      <c r="E22" s="56" t="s">
        <v>889</v>
      </c>
      <c r="F22" s="56" t="s">
        <v>902</v>
      </c>
      <c r="G22" s="113" t="s">
        <v>891</v>
      </c>
      <c r="H22" s="112" t="s">
        <v>314</v>
      </c>
      <c r="I22" s="112" t="s">
        <v>842</v>
      </c>
      <c r="J22" s="113" t="s">
        <v>347</v>
      </c>
      <c r="K22" s="112"/>
      <c r="L22" s="112"/>
      <c r="M22" s="112"/>
      <c r="N22" s="113" t="s">
        <v>16</v>
      </c>
      <c r="O22" s="44" t="s">
        <v>877</v>
      </c>
      <c r="P22" s="6" t="s">
        <v>21</v>
      </c>
      <c r="Q22" s="151">
        <v>1</v>
      </c>
      <c r="R22" s="6"/>
      <c r="S22" s="6"/>
      <c r="T22" s="6"/>
      <c r="U22" s="151">
        <v>1</v>
      </c>
      <c r="V22" s="151">
        <v>1</v>
      </c>
      <c r="W22" s="151">
        <v>1</v>
      </c>
      <c r="X22" s="151">
        <v>1</v>
      </c>
      <c r="Y22" s="151">
        <v>1</v>
      </c>
      <c r="Z22" s="151">
        <v>1</v>
      </c>
      <c r="AA22" s="151">
        <v>1</v>
      </c>
      <c r="AB22" s="151">
        <v>1</v>
      </c>
      <c r="AC22" s="151">
        <v>1</v>
      </c>
    </row>
    <row r="23" spans="1:29" ht="19.95" customHeight="1" x14ac:dyDescent="0.25">
      <c r="A23" s="38">
        <v>7327976522</v>
      </c>
      <c r="B23" s="56" t="s">
        <v>903</v>
      </c>
      <c r="C23" s="131" t="s">
        <v>900</v>
      </c>
      <c r="D23" s="56" t="s">
        <v>901</v>
      </c>
      <c r="E23" s="56" t="s">
        <v>889</v>
      </c>
      <c r="F23" s="56" t="s">
        <v>902</v>
      </c>
      <c r="G23" s="113" t="s">
        <v>891</v>
      </c>
      <c r="H23" s="112" t="s">
        <v>314</v>
      </c>
      <c r="I23" s="112" t="s">
        <v>842</v>
      </c>
      <c r="J23" s="113" t="s">
        <v>347</v>
      </c>
      <c r="K23" s="112"/>
      <c r="L23" s="112"/>
      <c r="M23" s="112"/>
      <c r="N23" s="113" t="s">
        <v>16</v>
      </c>
      <c r="O23" s="44" t="s">
        <v>878</v>
      </c>
      <c r="P23" s="6" t="s">
        <v>887</v>
      </c>
      <c r="Q23" s="6">
        <f t="shared" ref="Q23:Q31" si="1">SUM(R23:AC23)</f>
        <v>180</v>
      </c>
      <c r="R23" s="6"/>
      <c r="S23" s="6"/>
      <c r="T23" s="6"/>
      <c r="U23" s="6">
        <v>30</v>
      </c>
      <c r="V23" s="6">
        <v>30</v>
      </c>
      <c r="W23" s="6">
        <v>30</v>
      </c>
      <c r="X23" s="6">
        <v>30</v>
      </c>
      <c r="Y23" s="6">
        <v>30</v>
      </c>
      <c r="Z23" s="6">
        <v>30</v>
      </c>
      <c r="AA23" s="6"/>
      <c r="AB23" s="6"/>
      <c r="AC23" s="6"/>
    </row>
    <row r="24" spans="1:29" ht="19.95" customHeight="1" x14ac:dyDescent="0.25">
      <c r="A24" s="38">
        <v>7327976522</v>
      </c>
      <c r="B24" s="56" t="s">
        <v>903</v>
      </c>
      <c r="C24" s="131" t="s">
        <v>900</v>
      </c>
      <c r="D24" s="56" t="s">
        <v>901</v>
      </c>
      <c r="E24" s="56" t="s">
        <v>889</v>
      </c>
      <c r="F24" s="56" t="s">
        <v>902</v>
      </c>
      <c r="G24" s="113" t="s">
        <v>891</v>
      </c>
      <c r="H24" s="112" t="s">
        <v>314</v>
      </c>
      <c r="I24" s="112" t="s">
        <v>842</v>
      </c>
      <c r="J24" s="113" t="s">
        <v>347</v>
      </c>
      <c r="K24" s="112"/>
      <c r="L24" s="112"/>
      <c r="M24" s="112"/>
      <c r="N24" s="113" t="s">
        <v>16</v>
      </c>
      <c r="O24" s="44" t="s">
        <v>879</v>
      </c>
      <c r="P24" s="6" t="s">
        <v>837</v>
      </c>
      <c r="Q24" s="6">
        <f t="shared" si="1"/>
        <v>18</v>
      </c>
      <c r="R24" s="6"/>
      <c r="S24" s="6"/>
      <c r="T24" s="6"/>
      <c r="U24" s="6">
        <v>2</v>
      </c>
      <c r="V24" s="6">
        <v>2</v>
      </c>
      <c r="W24" s="6">
        <v>2</v>
      </c>
      <c r="X24" s="6">
        <v>2</v>
      </c>
      <c r="Y24" s="6">
        <v>2</v>
      </c>
      <c r="Z24" s="6">
        <v>2</v>
      </c>
      <c r="AA24" s="6">
        <v>2</v>
      </c>
      <c r="AB24" s="6">
        <v>2</v>
      </c>
      <c r="AC24" s="6">
        <v>2</v>
      </c>
    </row>
    <row r="25" spans="1:29" ht="19.95" customHeight="1" x14ac:dyDescent="0.25">
      <c r="A25" s="38">
        <v>7327976522</v>
      </c>
      <c r="B25" s="56" t="s">
        <v>903</v>
      </c>
      <c r="C25" s="131" t="s">
        <v>900</v>
      </c>
      <c r="D25" s="56" t="s">
        <v>901</v>
      </c>
      <c r="E25" s="56" t="s">
        <v>889</v>
      </c>
      <c r="F25" s="56" t="s">
        <v>902</v>
      </c>
      <c r="G25" s="113" t="s">
        <v>891</v>
      </c>
      <c r="H25" s="112" t="s">
        <v>314</v>
      </c>
      <c r="I25" s="112" t="s">
        <v>842</v>
      </c>
      <c r="J25" s="113" t="s">
        <v>347</v>
      </c>
      <c r="K25" s="112"/>
      <c r="L25" s="112"/>
      <c r="M25" s="112"/>
      <c r="N25" s="113" t="s">
        <v>16</v>
      </c>
      <c r="O25" s="44" t="s">
        <v>880</v>
      </c>
      <c r="P25" s="6" t="s">
        <v>837</v>
      </c>
      <c r="Q25" s="6">
        <f t="shared" si="1"/>
        <v>19</v>
      </c>
      <c r="R25" s="6"/>
      <c r="S25" s="6"/>
      <c r="T25" s="6"/>
      <c r="U25" s="6">
        <v>19</v>
      </c>
      <c r="V25" s="6"/>
      <c r="W25" s="6"/>
      <c r="X25" s="6"/>
      <c r="Y25" s="6"/>
      <c r="Z25" s="6"/>
      <c r="AA25" s="6"/>
      <c r="AB25" s="6"/>
      <c r="AC25" s="6"/>
    </row>
    <row r="26" spans="1:29" ht="19.95" customHeight="1" x14ac:dyDescent="0.25">
      <c r="A26" s="38">
        <v>7327976522</v>
      </c>
      <c r="B26" s="56" t="s">
        <v>903</v>
      </c>
      <c r="C26" s="131" t="s">
        <v>900</v>
      </c>
      <c r="D26" s="56" t="s">
        <v>901</v>
      </c>
      <c r="E26" s="56" t="s">
        <v>889</v>
      </c>
      <c r="F26" s="56" t="s">
        <v>902</v>
      </c>
      <c r="G26" s="113" t="s">
        <v>891</v>
      </c>
      <c r="H26" s="112" t="s">
        <v>314</v>
      </c>
      <c r="I26" s="112" t="s">
        <v>842</v>
      </c>
      <c r="J26" s="113" t="s">
        <v>347</v>
      </c>
      <c r="K26" s="112"/>
      <c r="L26" s="112"/>
      <c r="M26" s="112"/>
      <c r="N26" s="113" t="s">
        <v>16</v>
      </c>
      <c r="O26" s="44" t="s">
        <v>881</v>
      </c>
      <c r="P26" s="6" t="s">
        <v>837</v>
      </c>
      <c r="Q26" s="6">
        <f t="shared" si="1"/>
        <v>12</v>
      </c>
      <c r="R26" s="6"/>
      <c r="S26" s="6"/>
      <c r="T26" s="6"/>
      <c r="U26" s="6">
        <v>2</v>
      </c>
      <c r="V26" s="6">
        <v>2</v>
      </c>
      <c r="W26" s="6">
        <v>2</v>
      </c>
      <c r="X26" s="6">
        <v>2</v>
      </c>
      <c r="Y26" s="6">
        <v>2</v>
      </c>
      <c r="Z26" s="6">
        <v>2</v>
      </c>
      <c r="AA26" s="6"/>
      <c r="AB26" s="6"/>
      <c r="AC26" s="6"/>
    </row>
    <row r="27" spans="1:29" ht="19.95" customHeight="1" x14ac:dyDescent="0.25">
      <c r="A27" s="38">
        <v>7327976522</v>
      </c>
      <c r="B27" s="56" t="s">
        <v>903</v>
      </c>
      <c r="C27" s="131" t="s">
        <v>900</v>
      </c>
      <c r="D27" s="56" t="s">
        <v>901</v>
      </c>
      <c r="E27" s="56" t="s">
        <v>889</v>
      </c>
      <c r="F27" s="56" t="s">
        <v>902</v>
      </c>
      <c r="G27" s="113" t="s">
        <v>891</v>
      </c>
      <c r="H27" s="112" t="s">
        <v>314</v>
      </c>
      <c r="I27" s="112" t="s">
        <v>842</v>
      </c>
      <c r="J27" s="113" t="s">
        <v>347</v>
      </c>
      <c r="K27" s="112"/>
      <c r="L27" s="112"/>
      <c r="M27" s="112"/>
      <c r="N27" s="113" t="s">
        <v>16</v>
      </c>
      <c r="O27" s="44" t="s">
        <v>882</v>
      </c>
      <c r="P27" s="6" t="s">
        <v>837</v>
      </c>
      <c r="Q27" s="6">
        <f t="shared" si="1"/>
        <v>48</v>
      </c>
      <c r="R27" s="6">
        <v>4</v>
      </c>
      <c r="S27" s="6">
        <v>4</v>
      </c>
      <c r="T27" s="6">
        <v>4</v>
      </c>
      <c r="U27" s="6">
        <v>4</v>
      </c>
      <c r="V27" s="6">
        <v>4</v>
      </c>
      <c r="W27" s="6">
        <v>4</v>
      </c>
      <c r="X27" s="6">
        <v>4</v>
      </c>
      <c r="Y27" s="6">
        <v>4</v>
      </c>
      <c r="Z27" s="6">
        <v>4</v>
      </c>
      <c r="AA27" s="6">
        <v>4</v>
      </c>
      <c r="AB27" s="6">
        <v>4</v>
      </c>
      <c r="AC27" s="6">
        <v>4</v>
      </c>
    </row>
    <row r="28" spans="1:29" ht="19.95" customHeight="1" x14ac:dyDescent="0.25">
      <c r="A28" s="38">
        <v>7327976522</v>
      </c>
      <c r="B28" s="56" t="s">
        <v>903</v>
      </c>
      <c r="C28" s="131" t="s">
        <v>900</v>
      </c>
      <c r="D28" s="56" t="s">
        <v>901</v>
      </c>
      <c r="E28" s="56" t="s">
        <v>889</v>
      </c>
      <c r="F28" s="56" t="s">
        <v>902</v>
      </c>
      <c r="G28" s="113" t="s">
        <v>891</v>
      </c>
      <c r="H28" s="112" t="s">
        <v>314</v>
      </c>
      <c r="I28" s="112" t="s">
        <v>842</v>
      </c>
      <c r="J28" s="113" t="s">
        <v>347</v>
      </c>
      <c r="K28" s="112"/>
      <c r="L28" s="112"/>
      <c r="M28" s="112"/>
      <c r="N28" s="113" t="s">
        <v>16</v>
      </c>
      <c r="O28" s="44" t="s">
        <v>883</v>
      </c>
      <c r="P28" s="6" t="s">
        <v>837</v>
      </c>
      <c r="Q28" s="6">
        <f t="shared" si="1"/>
        <v>12</v>
      </c>
      <c r="R28" s="6"/>
      <c r="S28" s="6"/>
      <c r="T28" s="6"/>
      <c r="U28" s="6"/>
      <c r="V28" s="6">
        <v>6</v>
      </c>
      <c r="W28" s="6"/>
      <c r="X28" s="6"/>
      <c r="Y28" s="6"/>
      <c r="Z28" s="6">
        <v>6</v>
      </c>
      <c r="AA28" s="6"/>
      <c r="AB28" s="6"/>
      <c r="AC28" s="6"/>
    </row>
    <row r="29" spans="1:29" ht="19.95" customHeight="1" x14ac:dyDescent="0.25">
      <c r="A29" s="38">
        <v>7327976522</v>
      </c>
      <c r="B29" s="56" t="s">
        <v>903</v>
      </c>
      <c r="C29" s="131" t="s">
        <v>900</v>
      </c>
      <c r="D29" s="56" t="s">
        <v>901</v>
      </c>
      <c r="E29" s="56" t="s">
        <v>889</v>
      </c>
      <c r="F29" s="56" t="s">
        <v>902</v>
      </c>
      <c r="G29" s="113" t="s">
        <v>891</v>
      </c>
      <c r="H29" s="112" t="s">
        <v>314</v>
      </c>
      <c r="I29" s="112" t="s">
        <v>842</v>
      </c>
      <c r="J29" s="113" t="s">
        <v>347</v>
      </c>
      <c r="K29" s="112"/>
      <c r="L29" s="112"/>
      <c r="M29" s="112"/>
      <c r="N29" s="113" t="s">
        <v>16</v>
      </c>
      <c r="O29" s="44" t="s">
        <v>884</v>
      </c>
      <c r="P29" s="6" t="s">
        <v>837</v>
      </c>
      <c r="Q29" s="6">
        <f t="shared" si="1"/>
        <v>180</v>
      </c>
      <c r="R29" s="6"/>
      <c r="S29" s="6"/>
      <c r="T29" s="6"/>
      <c r="U29" s="6">
        <v>60</v>
      </c>
      <c r="V29" s="6"/>
      <c r="W29" s="6"/>
      <c r="X29" s="6"/>
      <c r="Y29" s="6">
        <v>60</v>
      </c>
      <c r="Z29" s="6"/>
      <c r="AA29" s="6"/>
      <c r="AB29" s="6">
        <v>60</v>
      </c>
      <c r="AC29" s="6"/>
    </row>
    <row r="30" spans="1:29" ht="19.95" customHeight="1" x14ac:dyDescent="0.25">
      <c r="A30" s="38">
        <v>7327976522</v>
      </c>
      <c r="B30" s="56" t="s">
        <v>903</v>
      </c>
      <c r="C30" s="131" t="s">
        <v>900</v>
      </c>
      <c r="D30" s="56" t="s">
        <v>901</v>
      </c>
      <c r="E30" s="56" t="s">
        <v>889</v>
      </c>
      <c r="F30" s="56" t="s">
        <v>902</v>
      </c>
      <c r="G30" s="113" t="s">
        <v>891</v>
      </c>
      <c r="H30" s="112" t="s">
        <v>314</v>
      </c>
      <c r="I30" s="112" t="s">
        <v>842</v>
      </c>
      <c r="J30" s="113" t="s">
        <v>347</v>
      </c>
      <c r="K30" s="112"/>
      <c r="L30" s="112"/>
      <c r="M30" s="112"/>
      <c r="N30" s="113" t="s">
        <v>16</v>
      </c>
      <c r="O30" s="44" t="s">
        <v>885</v>
      </c>
      <c r="P30" s="6" t="s">
        <v>837</v>
      </c>
      <c r="Q30" s="6">
        <f t="shared" si="1"/>
        <v>12</v>
      </c>
      <c r="R30" s="6"/>
      <c r="S30" s="6"/>
      <c r="T30" s="6"/>
      <c r="U30" s="6"/>
      <c r="V30" s="6"/>
      <c r="W30" s="6"/>
      <c r="X30" s="6">
        <v>12</v>
      </c>
      <c r="Y30" s="6"/>
      <c r="Z30" s="6"/>
      <c r="AA30" s="6"/>
      <c r="AB30" s="6"/>
      <c r="AC30" s="6"/>
    </row>
    <row r="31" spans="1:29" ht="19.95" customHeight="1" x14ac:dyDescent="0.25">
      <c r="A31" s="38">
        <v>7327976522</v>
      </c>
      <c r="B31" s="56" t="s">
        <v>903</v>
      </c>
      <c r="C31" s="131" t="s">
        <v>900</v>
      </c>
      <c r="D31" s="56" t="s">
        <v>901</v>
      </c>
      <c r="E31" s="56" t="s">
        <v>889</v>
      </c>
      <c r="F31" s="56" t="s">
        <v>902</v>
      </c>
      <c r="G31" s="113" t="s">
        <v>891</v>
      </c>
      <c r="H31" s="112" t="s">
        <v>314</v>
      </c>
      <c r="I31" s="112" t="s">
        <v>842</v>
      </c>
      <c r="J31" s="113" t="s">
        <v>347</v>
      </c>
      <c r="K31" s="112"/>
      <c r="L31" s="112"/>
      <c r="M31" s="112"/>
      <c r="N31" s="113" t="s">
        <v>16</v>
      </c>
      <c r="O31" s="44" t="s">
        <v>886</v>
      </c>
      <c r="P31" s="6" t="s">
        <v>21</v>
      </c>
      <c r="Q31" s="6">
        <f t="shared" si="1"/>
        <v>0</v>
      </c>
      <c r="R31" s="6"/>
      <c r="S31" s="6"/>
      <c r="T31" s="6"/>
      <c r="U31" s="6"/>
      <c r="V31" s="6"/>
      <c r="W31" s="6"/>
      <c r="X31" s="6"/>
      <c r="Y31" s="6"/>
      <c r="Z31" s="6"/>
      <c r="AA31" s="6"/>
      <c r="AB31" s="6"/>
      <c r="AC31" s="6"/>
    </row>
    <row r="32" spans="1:29" ht="19.95" customHeight="1" x14ac:dyDescent="0.25"/>
  </sheetData>
  <hyperlinks>
    <hyperlink ref="C2" r:id="rId1" xr:uid="{5453AAF8-E437-48A6-BFED-4B343EB6C69E}"/>
    <hyperlink ref="C3" r:id="rId2" xr:uid="{194E61D5-5732-4924-8AC8-24AD61DF10DA}"/>
    <hyperlink ref="C4" r:id="rId3" xr:uid="{45A600E8-C37F-4711-A826-D43E6373A588}"/>
    <hyperlink ref="C5" r:id="rId4" xr:uid="{EC16E2FF-4523-4DB6-825B-5026DBD9CC78}"/>
    <hyperlink ref="C6" r:id="rId5" xr:uid="{4F582CFE-6240-43F9-9EC5-BD757E7A1B60}"/>
    <hyperlink ref="C7" r:id="rId6" xr:uid="{5DC2DEBB-E5D5-4510-981D-3542681CDC2D}"/>
    <hyperlink ref="C8" r:id="rId7" xr:uid="{DB27AE6B-D0C0-4A54-B4BD-7E32D309EA1D}"/>
    <hyperlink ref="C9" r:id="rId8" xr:uid="{C3CD1B64-5C50-4B89-BF4D-2B5B002FB61C}"/>
    <hyperlink ref="C10" r:id="rId9" xr:uid="{6BF4AA29-4114-4B7A-B1B8-5C353E465424}"/>
    <hyperlink ref="C11" r:id="rId10" xr:uid="{1DA2AEA9-A9F6-4D01-AD90-9359A97D8B28}"/>
    <hyperlink ref="C12" r:id="rId11" xr:uid="{3F3FF188-0DD2-4809-B609-4B7E9547E050}"/>
    <hyperlink ref="C13" r:id="rId12" xr:uid="{F35A23AB-E8D3-48CC-B1E0-3B8605DB0792}"/>
    <hyperlink ref="C14" r:id="rId13" xr:uid="{4323C3C5-B515-4BC9-AED5-E5E7EA202F7A}"/>
    <hyperlink ref="C15" r:id="rId14" xr:uid="{61D78FF8-A8C8-47C1-866F-E6F1B9E032E8}"/>
    <hyperlink ref="C16" r:id="rId15" xr:uid="{A5C63BDE-7939-4328-8DC5-F3DF2E6E6E25}"/>
    <hyperlink ref="C17" r:id="rId16" xr:uid="{09CBDF83-39B6-48B7-9D96-BF6C798DD2B9}"/>
    <hyperlink ref="C18" r:id="rId17" xr:uid="{D8B6C7C4-AAD4-4B9D-AA02-5ADA064BF471}"/>
    <hyperlink ref="C19" r:id="rId18" xr:uid="{D2CB183C-5429-43F7-9D34-901DBB5D4096}"/>
    <hyperlink ref="C20" r:id="rId19" xr:uid="{C95FE2FE-24DF-44CF-97F8-E2F7F9BE319E}"/>
    <hyperlink ref="C21" r:id="rId20" xr:uid="{5ED68439-74F6-4B70-B507-542A4E9837C7}"/>
    <hyperlink ref="C22" r:id="rId21" xr:uid="{5A525FF6-03D4-47D3-9079-6AC1021ECAC6}"/>
    <hyperlink ref="C23" r:id="rId22" xr:uid="{8C82478C-7359-4AE3-AD72-17B4CCD5EBF0}"/>
    <hyperlink ref="C24" r:id="rId23" xr:uid="{742427DE-611C-437C-9B18-93491150699C}"/>
    <hyperlink ref="C25" r:id="rId24" xr:uid="{C07C9DA7-B35F-4B97-BFD4-18AF421C6FE2}"/>
    <hyperlink ref="C26" r:id="rId25" xr:uid="{C5C0095C-4FB0-4C02-A01A-D26DEE53956F}"/>
    <hyperlink ref="C27" r:id="rId26" xr:uid="{489E1E0C-A8DA-4964-8A15-B65BD92673FC}"/>
    <hyperlink ref="C28" r:id="rId27" xr:uid="{5A92A26F-4BCE-4783-AAE3-7E5252EFAE76}"/>
    <hyperlink ref="C29" r:id="rId28" xr:uid="{069EE8AB-365D-438C-9BA1-E29B1AA7C8F9}"/>
    <hyperlink ref="C30" r:id="rId29" xr:uid="{D755ACAD-D919-4A1D-8D35-377D6102D2C9}"/>
    <hyperlink ref="C31" r:id="rId30" xr:uid="{3B2A947F-639E-44BC-9FA0-1D755E72ADDB}"/>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8F245-38E4-4DDA-AC71-98AA570E544A}">
  <dimension ref="A1:AC32"/>
  <sheetViews>
    <sheetView topLeftCell="K1" workbookViewId="0">
      <selection activeCell="P7" sqref="P7"/>
    </sheetView>
  </sheetViews>
  <sheetFormatPr defaultRowHeight="13.2" x14ac:dyDescent="0.25"/>
  <cols>
    <col min="1" max="1" width="12.109375" bestFit="1" customWidth="1"/>
    <col min="2" max="2" width="13.33203125" bestFit="1" customWidth="1"/>
    <col min="3" max="3" width="25.77734375" bestFit="1" customWidth="1"/>
    <col min="4" max="4" width="10.77734375" customWidth="1"/>
    <col min="5" max="5" width="18.21875" bestFit="1" customWidth="1"/>
    <col min="6" max="6" width="12.44140625" bestFit="1" customWidth="1"/>
    <col min="7" max="7" width="12.44140625" style="116" bestFit="1" customWidth="1"/>
    <col min="9" max="9" width="17.21875" bestFit="1" customWidth="1"/>
    <col min="10" max="10" width="11.44140625" style="116" bestFit="1" customWidth="1"/>
    <col min="11" max="13" width="11.44140625" bestFit="1" customWidth="1"/>
    <col min="14" max="14" width="14.5546875" style="116" bestFit="1" customWidth="1"/>
    <col min="15" max="15" width="75.6640625" bestFit="1" customWidth="1"/>
    <col min="16" max="16" width="20.88671875" bestFit="1" customWidth="1"/>
    <col min="17" max="17" width="14" bestFit="1" customWidth="1"/>
  </cols>
  <sheetData>
    <row r="1" spans="1:29" ht="27.6" x14ac:dyDescent="0.25">
      <c r="A1" s="35" t="s">
        <v>123</v>
      </c>
      <c r="B1" s="58" t="s">
        <v>1</v>
      </c>
      <c r="C1" s="35" t="s">
        <v>2</v>
      </c>
      <c r="D1" s="58" t="s">
        <v>3</v>
      </c>
      <c r="E1" s="35" t="s">
        <v>4</v>
      </c>
      <c r="F1" s="35" t="s">
        <v>5</v>
      </c>
      <c r="G1" s="35" t="s">
        <v>6</v>
      </c>
      <c r="H1" s="35" t="s">
        <v>7</v>
      </c>
      <c r="I1" s="58" t="s">
        <v>8</v>
      </c>
      <c r="J1" s="35" t="s">
        <v>9</v>
      </c>
      <c r="K1" s="35" t="s">
        <v>10</v>
      </c>
      <c r="L1" s="35" t="s">
        <v>126</v>
      </c>
      <c r="M1" s="35" t="s">
        <v>127</v>
      </c>
      <c r="N1" s="35" t="s">
        <v>11</v>
      </c>
      <c r="O1" s="35" t="s">
        <v>654</v>
      </c>
      <c r="P1" s="35" t="s">
        <v>655</v>
      </c>
      <c r="Q1" s="35" t="s">
        <v>656</v>
      </c>
      <c r="R1" s="35" t="s">
        <v>657</v>
      </c>
      <c r="S1" s="35" t="s">
        <v>658</v>
      </c>
      <c r="T1" s="35" t="s">
        <v>659</v>
      </c>
      <c r="U1" s="35" t="s">
        <v>660</v>
      </c>
      <c r="V1" s="35" t="s">
        <v>661</v>
      </c>
      <c r="W1" s="35" t="s">
        <v>662</v>
      </c>
      <c r="X1" s="35" t="s">
        <v>663</v>
      </c>
      <c r="Y1" s="35" t="s">
        <v>664</v>
      </c>
      <c r="Z1" s="35" t="s">
        <v>665</v>
      </c>
      <c r="AA1" s="35" t="s">
        <v>666</v>
      </c>
      <c r="AB1" s="35" t="s">
        <v>667</v>
      </c>
      <c r="AC1" s="35" t="s">
        <v>668</v>
      </c>
    </row>
    <row r="2" spans="1:29" ht="19.95" customHeight="1" x14ac:dyDescent="0.25">
      <c r="A2" s="38">
        <v>9668583783</v>
      </c>
      <c r="B2" s="112" t="s">
        <v>888</v>
      </c>
      <c r="C2" s="131" t="s">
        <v>893</v>
      </c>
      <c r="D2" s="112" t="s">
        <v>892</v>
      </c>
      <c r="E2" s="112" t="s">
        <v>889</v>
      </c>
      <c r="F2" s="112" t="s">
        <v>890</v>
      </c>
      <c r="G2" s="113" t="s">
        <v>891</v>
      </c>
      <c r="H2" s="112" t="s">
        <v>314</v>
      </c>
      <c r="I2" s="112" t="s">
        <v>842</v>
      </c>
      <c r="J2" s="113" t="s">
        <v>347</v>
      </c>
      <c r="K2" s="112"/>
      <c r="L2" s="112"/>
      <c r="M2" s="112"/>
      <c r="N2" s="113" t="s">
        <v>16</v>
      </c>
      <c r="O2" s="44" t="s">
        <v>858</v>
      </c>
      <c r="P2" s="12" t="s">
        <v>837</v>
      </c>
      <c r="Q2" s="12">
        <f>SUM(R2:AC2)</f>
        <v>139</v>
      </c>
      <c r="R2" s="12"/>
      <c r="S2" s="12"/>
      <c r="T2" s="12"/>
      <c r="U2" s="12"/>
      <c r="V2" s="12"/>
      <c r="W2" s="12">
        <v>139</v>
      </c>
      <c r="X2" s="12"/>
      <c r="Y2" s="12"/>
      <c r="Z2" s="12"/>
      <c r="AA2" s="12"/>
      <c r="AB2" s="12"/>
      <c r="AC2" s="12"/>
    </row>
    <row r="3" spans="1:29" ht="19.95" customHeight="1" x14ac:dyDescent="0.25">
      <c r="A3" s="38">
        <v>9668583783</v>
      </c>
      <c r="B3" s="112" t="s">
        <v>888</v>
      </c>
      <c r="C3" s="131" t="s">
        <v>893</v>
      </c>
      <c r="D3" s="112" t="s">
        <v>892</v>
      </c>
      <c r="E3" s="112" t="s">
        <v>889</v>
      </c>
      <c r="F3" s="112" t="s">
        <v>890</v>
      </c>
      <c r="G3" s="113" t="s">
        <v>891</v>
      </c>
      <c r="H3" s="112" t="s">
        <v>314</v>
      </c>
      <c r="I3" s="112" t="s">
        <v>842</v>
      </c>
      <c r="J3" s="113" t="s">
        <v>347</v>
      </c>
      <c r="K3" s="112"/>
      <c r="L3" s="112"/>
      <c r="M3" s="112"/>
      <c r="N3" s="113" t="s">
        <v>16</v>
      </c>
      <c r="O3" s="44" t="s">
        <v>859</v>
      </c>
      <c r="P3" s="12" t="s">
        <v>887</v>
      </c>
      <c r="Q3" s="12">
        <f>SUM(R3:AC3)</f>
        <v>36</v>
      </c>
      <c r="R3" s="12"/>
      <c r="S3" s="12"/>
      <c r="T3" s="12"/>
      <c r="U3" s="12">
        <v>4</v>
      </c>
      <c r="V3" s="12">
        <v>4</v>
      </c>
      <c r="W3" s="12">
        <v>4</v>
      </c>
      <c r="X3" s="12">
        <v>4</v>
      </c>
      <c r="Y3" s="12">
        <v>4</v>
      </c>
      <c r="Z3" s="12">
        <v>4</v>
      </c>
      <c r="AA3" s="12">
        <v>4</v>
      </c>
      <c r="AB3" s="12">
        <v>4</v>
      </c>
      <c r="AC3" s="12">
        <v>4</v>
      </c>
    </row>
    <row r="4" spans="1:29" ht="19.95" customHeight="1" x14ac:dyDescent="0.25">
      <c r="A4" s="38">
        <v>9668583783</v>
      </c>
      <c r="B4" s="112" t="s">
        <v>888</v>
      </c>
      <c r="C4" s="131" t="s">
        <v>893</v>
      </c>
      <c r="D4" s="112" t="s">
        <v>892</v>
      </c>
      <c r="E4" s="112" t="s">
        <v>889</v>
      </c>
      <c r="F4" s="112" t="s">
        <v>890</v>
      </c>
      <c r="G4" s="113" t="s">
        <v>891</v>
      </c>
      <c r="H4" s="112" t="s">
        <v>314</v>
      </c>
      <c r="I4" s="112" t="s">
        <v>842</v>
      </c>
      <c r="J4" s="113" t="s">
        <v>347</v>
      </c>
      <c r="K4" s="112"/>
      <c r="L4" s="112"/>
      <c r="M4" s="112"/>
      <c r="N4" s="113" t="s">
        <v>16</v>
      </c>
      <c r="O4" s="44" t="s">
        <v>860</v>
      </c>
      <c r="P4" s="12" t="s">
        <v>837</v>
      </c>
      <c r="Q4" s="12">
        <f t="shared" ref="Q4:Q20" si="0">SUM(R4:AC4)</f>
        <v>563</v>
      </c>
      <c r="R4" s="12">
        <v>210</v>
      </c>
      <c r="S4" s="12">
        <v>180</v>
      </c>
      <c r="T4" s="12">
        <v>173</v>
      </c>
      <c r="U4" s="12"/>
      <c r="V4" s="12"/>
      <c r="W4" s="12"/>
      <c r="X4" s="12"/>
      <c r="Y4" s="12"/>
      <c r="Z4" s="12"/>
      <c r="AA4" s="12"/>
      <c r="AB4" s="12"/>
      <c r="AC4" s="12"/>
    </row>
    <row r="5" spans="1:29" ht="19.95" customHeight="1" x14ac:dyDescent="0.25">
      <c r="A5" s="38">
        <v>9668583783</v>
      </c>
      <c r="B5" s="112" t="s">
        <v>888</v>
      </c>
      <c r="C5" s="131" t="s">
        <v>893</v>
      </c>
      <c r="D5" s="112" t="s">
        <v>892</v>
      </c>
      <c r="E5" s="112" t="s">
        <v>889</v>
      </c>
      <c r="F5" s="112" t="s">
        <v>890</v>
      </c>
      <c r="G5" s="113" t="s">
        <v>891</v>
      </c>
      <c r="H5" s="112" t="s">
        <v>314</v>
      </c>
      <c r="I5" s="112" t="s">
        <v>842</v>
      </c>
      <c r="J5" s="113" t="s">
        <v>347</v>
      </c>
      <c r="K5" s="112"/>
      <c r="L5" s="112"/>
      <c r="M5" s="112"/>
      <c r="N5" s="113" t="s">
        <v>16</v>
      </c>
      <c r="O5" s="44" t="s">
        <v>861</v>
      </c>
      <c r="P5" s="12" t="s">
        <v>837</v>
      </c>
      <c r="Q5" s="12">
        <f t="shared" si="0"/>
        <v>702</v>
      </c>
      <c r="R5" s="12"/>
      <c r="S5" s="12"/>
      <c r="T5" s="12">
        <v>188</v>
      </c>
      <c r="U5" s="12">
        <v>514</v>
      </c>
      <c r="V5" s="12"/>
      <c r="W5" s="12"/>
      <c r="X5" s="12"/>
      <c r="Y5" s="12"/>
      <c r="Z5" s="12"/>
      <c r="AA5" s="12"/>
      <c r="AB5" s="12"/>
      <c r="AC5" s="12"/>
    </row>
    <row r="6" spans="1:29" ht="19.95" customHeight="1" x14ac:dyDescent="0.25">
      <c r="A6" s="38">
        <v>9668583783</v>
      </c>
      <c r="B6" s="112" t="s">
        <v>888</v>
      </c>
      <c r="C6" s="131" t="s">
        <v>893</v>
      </c>
      <c r="D6" s="112" t="s">
        <v>892</v>
      </c>
      <c r="E6" s="112" t="s">
        <v>889</v>
      </c>
      <c r="F6" s="112" t="s">
        <v>890</v>
      </c>
      <c r="G6" s="113" t="s">
        <v>891</v>
      </c>
      <c r="H6" s="112" t="s">
        <v>314</v>
      </c>
      <c r="I6" s="112" t="s">
        <v>842</v>
      </c>
      <c r="J6" s="113" t="s">
        <v>347</v>
      </c>
      <c r="K6" s="112"/>
      <c r="L6" s="112"/>
      <c r="M6" s="112"/>
      <c r="N6" s="113" t="s">
        <v>16</v>
      </c>
      <c r="O6" s="44" t="s">
        <v>862</v>
      </c>
      <c r="P6" s="12" t="s">
        <v>837</v>
      </c>
      <c r="Q6" s="12">
        <f t="shared" si="0"/>
        <v>702</v>
      </c>
      <c r="R6" s="12"/>
      <c r="S6" s="12"/>
      <c r="T6" s="12"/>
      <c r="U6" s="12">
        <v>702</v>
      </c>
      <c r="V6" s="12"/>
      <c r="W6" s="12"/>
      <c r="X6" s="12"/>
      <c r="Y6" s="12"/>
      <c r="Z6" s="12"/>
      <c r="AA6" s="12"/>
      <c r="AB6" s="12"/>
      <c r="AC6" s="12"/>
    </row>
    <row r="7" spans="1:29" ht="19.95" customHeight="1" x14ac:dyDescent="0.25">
      <c r="A7" s="38">
        <v>9668583783</v>
      </c>
      <c r="B7" s="112" t="s">
        <v>888</v>
      </c>
      <c r="C7" s="131" t="s">
        <v>893</v>
      </c>
      <c r="D7" s="112" t="s">
        <v>892</v>
      </c>
      <c r="E7" s="112" t="s">
        <v>889</v>
      </c>
      <c r="F7" s="112" t="s">
        <v>890</v>
      </c>
      <c r="G7" s="113" t="s">
        <v>891</v>
      </c>
      <c r="H7" s="112" t="s">
        <v>314</v>
      </c>
      <c r="I7" s="112" t="s">
        <v>842</v>
      </c>
      <c r="J7" s="113" t="s">
        <v>347</v>
      </c>
      <c r="K7" s="112"/>
      <c r="L7" s="112"/>
      <c r="M7" s="112"/>
      <c r="N7" s="113" t="s">
        <v>16</v>
      </c>
      <c r="O7" s="44" t="s">
        <v>863</v>
      </c>
      <c r="P7" s="12" t="s">
        <v>837</v>
      </c>
      <c r="Q7" s="12">
        <f t="shared" si="0"/>
        <v>2808</v>
      </c>
      <c r="R7" s="12"/>
      <c r="S7" s="12"/>
      <c r="T7" s="12"/>
      <c r="U7" s="12">
        <v>702</v>
      </c>
      <c r="V7" s="12">
        <v>702</v>
      </c>
      <c r="W7" s="12">
        <v>702</v>
      </c>
      <c r="X7" s="12">
        <v>702</v>
      </c>
      <c r="Y7" s="12"/>
      <c r="Z7" s="12"/>
      <c r="AA7" s="12"/>
      <c r="AB7" s="12"/>
      <c r="AC7" s="12"/>
    </row>
    <row r="8" spans="1:29" ht="19.95" customHeight="1" x14ac:dyDescent="0.25">
      <c r="A8" s="38">
        <v>9668583783</v>
      </c>
      <c r="B8" s="112" t="s">
        <v>888</v>
      </c>
      <c r="C8" s="131" t="s">
        <v>893</v>
      </c>
      <c r="D8" s="112" t="s">
        <v>892</v>
      </c>
      <c r="E8" s="112" t="s">
        <v>889</v>
      </c>
      <c r="F8" s="112" t="s">
        <v>890</v>
      </c>
      <c r="G8" s="113" t="s">
        <v>891</v>
      </c>
      <c r="H8" s="112" t="s">
        <v>314</v>
      </c>
      <c r="I8" s="112" t="s">
        <v>842</v>
      </c>
      <c r="J8" s="113" t="s">
        <v>347</v>
      </c>
      <c r="K8" s="112"/>
      <c r="L8" s="112"/>
      <c r="M8" s="112"/>
      <c r="N8" s="113" t="s">
        <v>16</v>
      </c>
      <c r="O8" s="44" t="s">
        <v>864</v>
      </c>
      <c r="P8" s="12" t="s">
        <v>837</v>
      </c>
      <c r="Q8" s="12">
        <f t="shared" si="0"/>
        <v>702</v>
      </c>
      <c r="R8" s="12"/>
      <c r="S8" s="12"/>
      <c r="T8" s="12"/>
      <c r="U8" s="12"/>
      <c r="V8" s="12"/>
      <c r="W8" s="12">
        <v>702</v>
      </c>
      <c r="X8" s="12"/>
      <c r="Y8" s="12"/>
      <c r="Z8" s="12"/>
      <c r="AA8" s="12"/>
      <c r="AB8" s="12"/>
      <c r="AC8" s="12"/>
    </row>
    <row r="9" spans="1:29" ht="19.95" customHeight="1" x14ac:dyDescent="0.25">
      <c r="A9" s="38">
        <v>9668583783</v>
      </c>
      <c r="B9" s="112" t="s">
        <v>888</v>
      </c>
      <c r="C9" s="131" t="s">
        <v>893</v>
      </c>
      <c r="D9" s="112" t="s">
        <v>892</v>
      </c>
      <c r="E9" s="112" t="s">
        <v>889</v>
      </c>
      <c r="F9" s="112" t="s">
        <v>890</v>
      </c>
      <c r="G9" s="113" t="s">
        <v>891</v>
      </c>
      <c r="H9" s="112" t="s">
        <v>314</v>
      </c>
      <c r="I9" s="112" t="s">
        <v>842</v>
      </c>
      <c r="J9" s="113" t="s">
        <v>347</v>
      </c>
      <c r="K9" s="112"/>
      <c r="L9" s="112"/>
      <c r="M9" s="112"/>
      <c r="N9" s="113" t="s">
        <v>16</v>
      </c>
      <c r="O9" s="44" t="s">
        <v>865</v>
      </c>
      <c r="P9" s="12" t="s">
        <v>837</v>
      </c>
      <c r="Q9" s="12">
        <f t="shared" si="0"/>
        <v>702</v>
      </c>
      <c r="R9" s="12"/>
      <c r="S9" s="12"/>
      <c r="T9" s="12"/>
      <c r="U9" s="12"/>
      <c r="V9" s="12"/>
      <c r="W9" s="12">
        <v>702</v>
      </c>
      <c r="X9" s="12"/>
      <c r="Y9" s="12"/>
      <c r="Z9" s="12"/>
      <c r="AA9" s="12"/>
      <c r="AB9" s="12"/>
      <c r="AC9" s="12"/>
    </row>
    <row r="10" spans="1:29" ht="19.95" customHeight="1" x14ac:dyDescent="0.25">
      <c r="A10" s="38">
        <v>9668583783</v>
      </c>
      <c r="B10" s="112" t="s">
        <v>888</v>
      </c>
      <c r="C10" s="131" t="s">
        <v>893</v>
      </c>
      <c r="D10" s="112" t="s">
        <v>892</v>
      </c>
      <c r="E10" s="112" t="s">
        <v>889</v>
      </c>
      <c r="F10" s="112" t="s">
        <v>890</v>
      </c>
      <c r="G10" s="113" t="s">
        <v>891</v>
      </c>
      <c r="H10" s="112" t="s">
        <v>314</v>
      </c>
      <c r="I10" s="112" t="s">
        <v>842</v>
      </c>
      <c r="J10" s="113" t="s">
        <v>347</v>
      </c>
      <c r="K10" s="112"/>
      <c r="L10" s="112"/>
      <c r="M10" s="112"/>
      <c r="N10" s="113" t="s">
        <v>16</v>
      </c>
      <c r="O10" s="44" t="s">
        <v>866</v>
      </c>
      <c r="P10" s="12" t="s">
        <v>837</v>
      </c>
      <c r="Q10" s="12">
        <f t="shared" si="0"/>
        <v>702</v>
      </c>
      <c r="R10" s="12"/>
      <c r="S10" s="12"/>
      <c r="T10" s="12"/>
      <c r="U10" s="12"/>
      <c r="V10" s="12"/>
      <c r="W10" s="12"/>
      <c r="X10" s="12">
        <v>702</v>
      </c>
      <c r="Y10" s="12"/>
      <c r="Z10" s="12"/>
      <c r="AA10" s="12"/>
      <c r="AB10" s="12"/>
      <c r="AC10" s="12"/>
    </row>
    <row r="11" spans="1:29" ht="19.95" customHeight="1" x14ac:dyDescent="0.25">
      <c r="A11" s="38">
        <v>9668583783</v>
      </c>
      <c r="B11" s="112" t="s">
        <v>888</v>
      </c>
      <c r="C11" s="131" t="s">
        <v>893</v>
      </c>
      <c r="D11" s="112" t="s">
        <v>892</v>
      </c>
      <c r="E11" s="112" t="s">
        <v>889</v>
      </c>
      <c r="F11" s="112" t="s">
        <v>890</v>
      </c>
      <c r="G11" s="113" t="s">
        <v>891</v>
      </c>
      <c r="H11" s="112" t="s">
        <v>314</v>
      </c>
      <c r="I11" s="112" t="s">
        <v>842</v>
      </c>
      <c r="J11" s="113" t="s">
        <v>347</v>
      </c>
      <c r="K11" s="112"/>
      <c r="L11" s="112"/>
      <c r="M11" s="112"/>
      <c r="N11" s="113" t="s">
        <v>16</v>
      </c>
      <c r="O11" s="44" t="s">
        <v>867</v>
      </c>
      <c r="P11" s="12" t="s">
        <v>837</v>
      </c>
      <c r="Q11" s="12">
        <f t="shared" si="0"/>
        <v>702</v>
      </c>
      <c r="R11" s="12"/>
      <c r="S11" s="12"/>
      <c r="T11" s="12"/>
      <c r="U11" s="12"/>
      <c r="V11" s="12"/>
      <c r="W11" s="12"/>
      <c r="X11" s="12"/>
      <c r="Y11" s="12">
        <v>702</v>
      </c>
      <c r="Z11" s="12"/>
      <c r="AA11" s="12"/>
      <c r="AB11" s="12"/>
      <c r="AC11" s="12"/>
    </row>
    <row r="12" spans="1:29" ht="19.95" customHeight="1" x14ac:dyDescent="0.25">
      <c r="A12" s="38">
        <v>9668583783</v>
      </c>
      <c r="B12" s="112" t="s">
        <v>888</v>
      </c>
      <c r="C12" s="131" t="s">
        <v>893</v>
      </c>
      <c r="D12" s="112" t="s">
        <v>892</v>
      </c>
      <c r="E12" s="112" t="s">
        <v>889</v>
      </c>
      <c r="F12" s="112" t="s">
        <v>890</v>
      </c>
      <c r="G12" s="113" t="s">
        <v>891</v>
      </c>
      <c r="H12" s="112" t="s">
        <v>314</v>
      </c>
      <c r="I12" s="112" t="s">
        <v>842</v>
      </c>
      <c r="J12" s="113" t="s">
        <v>347</v>
      </c>
      <c r="K12" s="112"/>
      <c r="L12" s="112"/>
      <c r="M12" s="112"/>
      <c r="N12" s="113" t="s">
        <v>16</v>
      </c>
      <c r="O12" s="44" t="s">
        <v>868</v>
      </c>
      <c r="P12" s="12" t="s">
        <v>837</v>
      </c>
      <c r="Q12" s="12">
        <f t="shared" si="0"/>
        <v>702</v>
      </c>
      <c r="R12" s="12"/>
      <c r="S12" s="12"/>
      <c r="T12" s="12"/>
      <c r="U12" s="12"/>
      <c r="V12" s="12"/>
      <c r="W12" s="12"/>
      <c r="X12" s="12"/>
      <c r="Y12" s="12"/>
      <c r="Z12" s="12"/>
      <c r="AA12" s="12"/>
      <c r="AB12" s="12">
        <v>702</v>
      </c>
      <c r="AC12" s="12"/>
    </row>
    <row r="13" spans="1:29" ht="19.95" customHeight="1" x14ac:dyDescent="0.25">
      <c r="A13" s="38">
        <v>9668583783</v>
      </c>
      <c r="B13" s="112" t="s">
        <v>888</v>
      </c>
      <c r="C13" s="131" t="s">
        <v>893</v>
      </c>
      <c r="D13" s="112" t="s">
        <v>892</v>
      </c>
      <c r="E13" s="112" t="s">
        <v>889</v>
      </c>
      <c r="F13" s="112" t="s">
        <v>890</v>
      </c>
      <c r="G13" s="113" t="s">
        <v>891</v>
      </c>
      <c r="H13" s="112" t="s">
        <v>314</v>
      </c>
      <c r="I13" s="112" t="s">
        <v>842</v>
      </c>
      <c r="J13" s="113" t="s">
        <v>347</v>
      </c>
      <c r="K13" s="112"/>
      <c r="L13" s="112"/>
      <c r="M13" s="112"/>
      <c r="N13" s="113" t="s">
        <v>16</v>
      </c>
      <c r="O13" s="44" t="s">
        <v>869</v>
      </c>
      <c r="P13" s="12" t="s">
        <v>837</v>
      </c>
      <c r="Q13" s="12">
        <f t="shared" si="0"/>
        <v>2808</v>
      </c>
      <c r="R13" s="12"/>
      <c r="S13" s="12"/>
      <c r="T13" s="12"/>
      <c r="U13" s="12">
        <v>702</v>
      </c>
      <c r="V13" s="12"/>
      <c r="W13" s="12"/>
      <c r="X13" s="12"/>
      <c r="Y13" s="12">
        <v>702</v>
      </c>
      <c r="Z13" s="12">
        <v>702</v>
      </c>
      <c r="AA13" s="12">
        <v>702</v>
      </c>
      <c r="AB13" s="12"/>
      <c r="AC13" s="12"/>
    </row>
    <row r="14" spans="1:29" ht="19.95" customHeight="1" x14ac:dyDescent="0.25">
      <c r="A14" s="38">
        <v>9668583783</v>
      </c>
      <c r="B14" s="112" t="s">
        <v>888</v>
      </c>
      <c r="C14" s="131" t="s">
        <v>893</v>
      </c>
      <c r="D14" s="112" t="s">
        <v>892</v>
      </c>
      <c r="E14" s="112" t="s">
        <v>889</v>
      </c>
      <c r="F14" s="112" t="s">
        <v>890</v>
      </c>
      <c r="G14" s="113" t="s">
        <v>891</v>
      </c>
      <c r="H14" s="112" t="s">
        <v>314</v>
      </c>
      <c r="I14" s="112" t="s">
        <v>842</v>
      </c>
      <c r="J14" s="113" t="s">
        <v>347</v>
      </c>
      <c r="K14" s="112"/>
      <c r="L14" s="112"/>
      <c r="M14" s="112"/>
      <c r="N14" s="113" t="s">
        <v>16</v>
      </c>
      <c r="O14" s="44" t="s">
        <v>870</v>
      </c>
      <c r="P14" s="12" t="s">
        <v>837</v>
      </c>
      <c r="Q14" s="12">
        <f t="shared" si="0"/>
        <v>702</v>
      </c>
      <c r="R14" s="12"/>
      <c r="S14" s="12"/>
      <c r="T14" s="12"/>
      <c r="U14" s="12"/>
      <c r="V14" s="12"/>
      <c r="W14" s="12"/>
      <c r="X14" s="12"/>
      <c r="Y14" s="12"/>
      <c r="Z14" s="12"/>
      <c r="AA14" s="12"/>
      <c r="AB14" s="12"/>
      <c r="AC14" s="12">
        <v>702</v>
      </c>
    </row>
    <row r="15" spans="1:29" ht="19.95" customHeight="1" x14ac:dyDescent="0.25">
      <c r="A15" s="38">
        <v>9668583783</v>
      </c>
      <c r="B15" s="112" t="s">
        <v>888</v>
      </c>
      <c r="C15" s="131" t="s">
        <v>893</v>
      </c>
      <c r="D15" s="112" t="s">
        <v>892</v>
      </c>
      <c r="E15" s="112" t="s">
        <v>889</v>
      </c>
      <c r="F15" s="112" t="s">
        <v>890</v>
      </c>
      <c r="G15" s="113" t="s">
        <v>891</v>
      </c>
      <c r="H15" s="112" t="s">
        <v>314</v>
      </c>
      <c r="I15" s="112" t="s">
        <v>842</v>
      </c>
      <c r="J15" s="113" t="s">
        <v>347</v>
      </c>
      <c r="K15" s="112"/>
      <c r="L15" s="112"/>
      <c r="M15" s="112"/>
      <c r="N15" s="113" t="s">
        <v>16</v>
      </c>
      <c r="O15" s="44" t="s">
        <v>871</v>
      </c>
      <c r="P15" s="12" t="s">
        <v>837</v>
      </c>
      <c r="Q15" s="12">
        <f t="shared" si="0"/>
        <v>1404</v>
      </c>
      <c r="R15" s="12"/>
      <c r="S15" s="12"/>
      <c r="T15" s="12"/>
      <c r="U15" s="12"/>
      <c r="V15" s="12">
        <v>400</v>
      </c>
      <c r="W15" s="12">
        <v>302</v>
      </c>
      <c r="X15" s="12"/>
      <c r="Y15" s="12"/>
      <c r="Z15" s="12"/>
      <c r="AA15" s="12"/>
      <c r="AB15" s="12"/>
      <c r="AC15" s="12">
        <v>702</v>
      </c>
    </row>
    <row r="16" spans="1:29" ht="19.95" customHeight="1" x14ac:dyDescent="0.25">
      <c r="A16" s="38">
        <v>9668583783</v>
      </c>
      <c r="B16" s="112" t="s">
        <v>888</v>
      </c>
      <c r="C16" s="131" t="s">
        <v>893</v>
      </c>
      <c r="D16" s="112" t="s">
        <v>892</v>
      </c>
      <c r="E16" s="112" t="s">
        <v>889</v>
      </c>
      <c r="F16" s="112" t="s">
        <v>890</v>
      </c>
      <c r="G16" s="113" t="s">
        <v>891</v>
      </c>
      <c r="H16" s="112" t="s">
        <v>314</v>
      </c>
      <c r="I16" s="112" t="s">
        <v>842</v>
      </c>
      <c r="J16" s="113" t="s">
        <v>347</v>
      </c>
      <c r="K16" s="112"/>
      <c r="L16" s="112"/>
      <c r="M16" s="112"/>
      <c r="N16" s="113" t="s">
        <v>16</v>
      </c>
      <c r="O16" s="44" t="s">
        <v>872</v>
      </c>
      <c r="P16" s="12" t="s">
        <v>837</v>
      </c>
      <c r="Q16" s="12">
        <f t="shared" si="0"/>
        <v>702</v>
      </c>
      <c r="R16" s="12"/>
      <c r="S16" s="12"/>
      <c r="T16" s="12"/>
      <c r="U16" s="12">
        <v>702</v>
      </c>
      <c r="V16" s="12"/>
      <c r="W16" s="12"/>
      <c r="X16" s="12"/>
      <c r="Y16" s="12"/>
      <c r="Z16" s="12"/>
      <c r="AA16" s="12"/>
      <c r="AB16" s="12"/>
      <c r="AC16" s="12"/>
    </row>
    <row r="17" spans="1:29" ht="19.95" customHeight="1" x14ac:dyDescent="0.25">
      <c r="A17" s="38">
        <v>9668583783</v>
      </c>
      <c r="B17" s="112" t="s">
        <v>888</v>
      </c>
      <c r="C17" s="131" t="s">
        <v>893</v>
      </c>
      <c r="D17" s="112" t="s">
        <v>892</v>
      </c>
      <c r="E17" s="112" t="s">
        <v>889</v>
      </c>
      <c r="F17" s="112" t="s">
        <v>890</v>
      </c>
      <c r="G17" s="113" t="s">
        <v>891</v>
      </c>
      <c r="H17" s="112" t="s">
        <v>314</v>
      </c>
      <c r="I17" s="112" t="s">
        <v>842</v>
      </c>
      <c r="J17" s="113" t="s">
        <v>347</v>
      </c>
      <c r="K17" s="112"/>
      <c r="L17" s="112"/>
      <c r="M17" s="112"/>
      <c r="N17" s="113" t="s">
        <v>16</v>
      </c>
      <c r="O17" s="44" t="s">
        <v>873</v>
      </c>
      <c r="P17" s="12" t="s">
        <v>837</v>
      </c>
      <c r="Q17" s="12">
        <f t="shared" si="0"/>
        <v>563</v>
      </c>
      <c r="R17" s="12"/>
      <c r="S17" s="12"/>
      <c r="T17" s="12"/>
      <c r="U17" s="12"/>
      <c r="V17" s="12">
        <v>563</v>
      </c>
      <c r="W17" s="12"/>
      <c r="X17" s="12"/>
      <c r="Y17" s="12"/>
      <c r="Z17" s="12"/>
      <c r="AA17" s="12"/>
      <c r="AB17" s="12"/>
      <c r="AC17" s="12"/>
    </row>
    <row r="18" spans="1:29" ht="19.95" customHeight="1" x14ac:dyDescent="0.25">
      <c r="A18" s="38">
        <v>9668583783</v>
      </c>
      <c r="B18" s="112" t="s">
        <v>888</v>
      </c>
      <c r="C18" s="131" t="s">
        <v>893</v>
      </c>
      <c r="D18" s="112" t="s">
        <v>892</v>
      </c>
      <c r="E18" s="112" t="s">
        <v>889</v>
      </c>
      <c r="F18" s="112" t="s">
        <v>890</v>
      </c>
      <c r="G18" s="113" t="s">
        <v>891</v>
      </c>
      <c r="H18" s="112" t="s">
        <v>314</v>
      </c>
      <c r="I18" s="112" t="s">
        <v>842</v>
      </c>
      <c r="J18" s="113" t="s">
        <v>347</v>
      </c>
      <c r="K18" s="112"/>
      <c r="L18" s="112"/>
      <c r="M18" s="112"/>
      <c r="N18" s="113" t="s">
        <v>16</v>
      </c>
      <c r="O18" s="44" t="s">
        <v>874</v>
      </c>
      <c r="P18" s="12" t="s">
        <v>837</v>
      </c>
      <c r="Q18" s="12">
        <f t="shared" si="0"/>
        <v>702</v>
      </c>
      <c r="R18" s="12"/>
      <c r="S18" s="12"/>
      <c r="T18" s="12"/>
      <c r="U18" s="12"/>
      <c r="V18" s="12">
        <v>702</v>
      </c>
      <c r="W18" s="12"/>
      <c r="X18" s="12"/>
      <c r="Y18" s="12"/>
      <c r="Z18" s="12"/>
      <c r="AA18" s="12"/>
      <c r="AB18" s="12"/>
      <c r="AC18" s="12"/>
    </row>
    <row r="19" spans="1:29" ht="19.95" customHeight="1" x14ac:dyDescent="0.25">
      <c r="A19" s="38">
        <v>9668583783</v>
      </c>
      <c r="B19" s="112" t="s">
        <v>888</v>
      </c>
      <c r="C19" s="131" t="s">
        <v>893</v>
      </c>
      <c r="D19" s="112" t="s">
        <v>892</v>
      </c>
      <c r="E19" s="112" t="s">
        <v>889</v>
      </c>
      <c r="F19" s="112" t="s">
        <v>890</v>
      </c>
      <c r="G19" s="113" t="s">
        <v>891</v>
      </c>
      <c r="H19" s="112" t="s">
        <v>314</v>
      </c>
      <c r="I19" s="112" t="s">
        <v>842</v>
      </c>
      <c r="J19" s="113" t="s">
        <v>347</v>
      </c>
      <c r="K19" s="112"/>
      <c r="L19" s="112"/>
      <c r="M19" s="112"/>
      <c r="N19" s="113" t="s">
        <v>16</v>
      </c>
      <c r="O19" s="44" t="s">
        <v>721</v>
      </c>
      <c r="P19" s="12" t="s">
        <v>837</v>
      </c>
      <c r="Q19" s="12">
        <f t="shared" si="0"/>
        <v>702</v>
      </c>
      <c r="R19" s="12"/>
      <c r="S19" s="12"/>
      <c r="T19" s="12"/>
      <c r="U19" s="12"/>
      <c r="V19" s="12">
        <v>384</v>
      </c>
      <c r="W19" s="12">
        <v>318</v>
      </c>
      <c r="X19" s="12"/>
      <c r="Y19" s="12"/>
      <c r="Z19" s="12"/>
      <c r="AA19" s="12"/>
      <c r="AB19" s="12"/>
      <c r="AC19" s="12"/>
    </row>
    <row r="20" spans="1:29" ht="19.95" customHeight="1" x14ac:dyDescent="0.25">
      <c r="A20" s="38">
        <v>9668583783</v>
      </c>
      <c r="B20" s="112" t="s">
        <v>888</v>
      </c>
      <c r="C20" s="131" t="s">
        <v>893</v>
      </c>
      <c r="D20" s="112" t="s">
        <v>892</v>
      </c>
      <c r="E20" s="112" t="s">
        <v>889</v>
      </c>
      <c r="F20" s="112" t="s">
        <v>890</v>
      </c>
      <c r="G20" s="113" t="s">
        <v>891</v>
      </c>
      <c r="H20" s="112" t="s">
        <v>314</v>
      </c>
      <c r="I20" s="112" t="s">
        <v>842</v>
      </c>
      <c r="J20" s="113" t="s">
        <v>347</v>
      </c>
      <c r="K20" s="112"/>
      <c r="L20" s="112"/>
      <c r="M20" s="112"/>
      <c r="N20" s="113" t="s">
        <v>16</v>
      </c>
      <c r="O20" s="44" t="s">
        <v>875</v>
      </c>
      <c r="P20" s="12" t="s">
        <v>837</v>
      </c>
      <c r="Q20" s="12">
        <f t="shared" si="0"/>
        <v>1</v>
      </c>
      <c r="R20" s="12"/>
      <c r="S20" s="12"/>
      <c r="T20" s="12"/>
      <c r="U20" s="12"/>
      <c r="V20" s="12"/>
      <c r="W20" s="12"/>
      <c r="X20" s="12">
        <v>1</v>
      </c>
      <c r="Y20" s="12"/>
      <c r="Z20" s="12"/>
      <c r="AA20" s="12"/>
      <c r="AB20" s="12"/>
      <c r="AC20" s="12"/>
    </row>
    <row r="21" spans="1:29" ht="19.95" customHeight="1" x14ac:dyDescent="0.25">
      <c r="A21" s="38">
        <v>9668583783</v>
      </c>
      <c r="B21" s="112" t="s">
        <v>888</v>
      </c>
      <c r="C21" s="131" t="s">
        <v>893</v>
      </c>
      <c r="D21" s="112" t="s">
        <v>892</v>
      </c>
      <c r="E21" s="112" t="s">
        <v>889</v>
      </c>
      <c r="F21" s="112" t="s">
        <v>890</v>
      </c>
      <c r="G21" s="113" t="s">
        <v>891</v>
      </c>
      <c r="H21" s="112" t="s">
        <v>314</v>
      </c>
      <c r="I21" s="112" t="s">
        <v>842</v>
      </c>
      <c r="J21" s="113" t="s">
        <v>347</v>
      </c>
      <c r="K21" s="112"/>
      <c r="L21" s="112"/>
      <c r="M21" s="112"/>
      <c r="N21" s="113" t="s">
        <v>16</v>
      </c>
      <c r="O21" s="44" t="s">
        <v>876</v>
      </c>
      <c r="P21" s="12" t="s">
        <v>21</v>
      </c>
      <c r="Q21" s="96">
        <v>1</v>
      </c>
      <c r="R21" s="12"/>
      <c r="S21" s="12"/>
      <c r="T21" s="12"/>
      <c r="U21" s="12"/>
      <c r="V21" s="12"/>
      <c r="W21" s="12"/>
      <c r="X21" s="12"/>
      <c r="Y21" s="96">
        <v>1</v>
      </c>
      <c r="Z21" s="96">
        <v>1</v>
      </c>
      <c r="AA21" s="96">
        <v>1</v>
      </c>
      <c r="AB21" s="96">
        <v>1</v>
      </c>
      <c r="AC21" s="12"/>
    </row>
    <row r="22" spans="1:29" ht="19.95" customHeight="1" x14ac:dyDescent="0.25">
      <c r="A22" s="38">
        <v>9668583783</v>
      </c>
      <c r="B22" s="112" t="s">
        <v>888</v>
      </c>
      <c r="C22" s="131" t="s">
        <v>893</v>
      </c>
      <c r="D22" s="112" t="s">
        <v>892</v>
      </c>
      <c r="E22" s="112" t="s">
        <v>889</v>
      </c>
      <c r="F22" s="112" t="s">
        <v>890</v>
      </c>
      <c r="G22" s="113" t="s">
        <v>891</v>
      </c>
      <c r="H22" s="112" t="s">
        <v>314</v>
      </c>
      <c r="I22" s="112" t="s">
        <v>842</v>
      </c>
      <c r="J22" s="113" t="s">
        <v>347</v>
      </c>
      <c r="K22" s="112"/>
      <c r="L22" s="112"/>
      <c r="M22" s="112"/>
      <c r="N22" s="113" t="s">
        <v>16</v>
      </c>
      <c r="O22" s="44" t="s">
        <v>877</v>
      </c>
      <c r="P22" s="12" t="s">
        <v>21</v>
      </c>
      <c r="Q22" s="96">
        <v>1</v>
      </c>
      <c r="R22" s="12"/>
      <c r="S22" s="12"/>
      <c r="T22" s="12"/>
      <c r="U22" s="96">
        <v>1</v>
      </c>
      <c r="V22" s="96">
        <v>1</v>
      </c>
      <c r="W22" s="96">
        <v>1</v>
      </c>
      <c r="X22" s="96">
        <v>1</v>
      </c>
      <c r="Y22" s="96">
        <v>1</v>
      </c>
      <c r="Z22" s="96">
        <v>1</v>
      </c>
      <c r="AA22" s="96">
        <v>1</v>
      </c>
      <c r="AB22" s="96">
        <v>1</v>
      </c>
      <c r="AC22" s="96">
        <v>1</v>
      </c>
    </row>
    <row r="23" spans="1:29" ht="19.95" customHeight="1" x14ac:dyDescent="0.25">
      <c r="A23" s="38">
        <v>9668583783</v>
      </c>
      <c r="B23" s="112" t="s">
        <v>888</v>
      </c>
      <c r="C23" s="131" t="s">
        <v>893</v>
      </c>
      <c r="D23" s="112" t="s">
        <v>892</v>
      </c>
      <c r="E23" s="112" t="s">
        <v>889</v>
      </c>
      <c r="F23" s="112" t="s">
        <v>890</v>
      </c>
      <c r="G23" s="113" t="s">
        <v>891</v>
      </c>
      <c r="H23" s="112" t="s">
        <v>314</v>
      </c>
      <c r="I23" s="112" t="s">
        <v>842</v>
      </c>
      <c r="J23" s="113" t="s">
        <v>347</v>
      </c>
      <c r="K23" s="112"/>
      <c r="L23" s="112"/>
      <c r="M23" s="112"/>
      <c r="N23" s="113" t="s">
        <v>16</v>
      </c>
      <c r="O23" s="44" t="s">
        <v>878</v>
      </c>
      <c r="P23" s="12" t="s">
        <v>887</v>
      </c>
      <c r="Q23" s="12">
        <f t="shared" ref="Q23:Q31" si="1">SUM(R23:AC23)</f>
        <v>180</v>
      </c>
      <c r="R23" s="12"/>
      <c r="S23" s="12"/>
      <c r="T23" s="12"/>
      <c r="U23" s="12">
        <v>30</v>
      </c>
      <c r="V23" s="12">
        <v>30</v>
      </c>
      <c r="W23" s="12">
        <v>30</v>
      </c>
      <c r="X23" s="12">
        <v>30</v>
      </c>
      <c r="Y23" s="12">
        <v>30</v>
      </c>
      <c r="Z23" s="12">
        <v>30</v>
      </c>
      <c r="AA23" s="12"/>
      <c r="AB23" s="12"/>
      <c r="AC23" s="12"/>
    </row>
    <row r="24" spans="1:29" ht="19.95" customHeight="1" x14ac:dyDescent="0.25">
      <c r="A24" s="38">
        <v>9668583783</v>
      </c>
      <c r="B24" s="112" t="s">
        <v>888</v>
      </c>
      <c r="C24" s="131" t="s">
        <v>893</v>
      </c>
      <c r="D24" s="112" t="s">
        <v>892</v>
      </c>
      <c r="E24" s="112" t="s">
        <v>889</v>
      </c>
      <c r="F24" s="112" t="s">
        <v>890</v>
      </c>
      <c r="G24" s="113" t="s">
        <v>891</v>
      </c>
      <c r="H24" s="112" t="s">
        <v>314</v>
      </c>
      <c r="I24" s="112" t="s">
        <v>842</v>
      </c>
      <c r="J24" s="113" t="s">
        <v>347</v>
      </c>
      <c r="K24" s="112"/>
      <c r="L24" s="112"/>
      <c r="M24" s="112"/>
      <c r="N24" s="113" t="s">
        <v>16</v>
      </c>
      <c r="O24" s="44" t="s">
        <v>879</v>
      </c>
      <c r="P24" s="12" t="s">
        <v>837</v>
      </c>
      <c r="Q24" s="12">
        <f t="shared" si="1"/>
        <v>9</v>
      </c>
      <c r="R24" s="12"/>
      <c r="S24" s="12"/>
      <c r="T24" s="12"/>
      <c r="U24" s="12">
        <v>1</v>
      </c>
      <c r="V24" s="12">
        <v>1</v>
      </c>
      <c r="W24" s="12">
        <v>1</v>
      </c>
      <c r="X24" s="12">
        <v>1</v>
      </c>
      <c r="Y24" s="12">
        <v>1</v>
      </c>
      <c r="Z24" s="12">
        <v>1</v>
      </c>
      <c r="AA24" s="12">
        <v>1</v>
      </c>
      <c r="AB24" s="12">
        <v>1</v>
      </c>
      <c r="AC24" s="12">
        <v>1</v>
      </c>
    </row>
    <row r="25" spans="1:29" ht="19.95" customHeight="1" x14ac:dyDescent="0.25">
      <c r="A25" s="38">
        <v>9668583783</v>
      </c>
      <c r="B25" s="112" t="s">
        <v>888</v>
      </c>
      <c r="C25" s="131" t="s">
        <v>893</v>
      </c>
      <c r="D25" s="112" t="s">
        <v>892</v>
      </c>
      <c r="E25" s="112" t="s">
        <v>889</v>
      </c>
      <c r="F25" s="112" t="s">
        <v>890</v>
      </c>
      <c r="G25" s="113" t="s">
        <v>891</v>
      </c>
      <c r="H25" s="112" t="s">
        <v>314</v>
      </c>
      <c r="I25" s="112" t="s">
        <v>842</v>
      </c>
      <c r="J25" s="113" t="s">
        <v>347</v>
      </c>
      <c r="K25" s="112"/>
      <c r="L25" s="112"/>
      <c r="M25" s="112"/>
      <c r="N25" s="113" t="s">
        <v>16</v>
      </c>
      <c r="O25" s="44" t="s">
        <v>880</v>
      </c>
      <c r="P25" s="12" t="s">
        <v>837</v>
      </c>
      <c r="Q25" s="12">
        <f t="shared" si="1"/>
        <v>27</v>
      </c>
      <c r="R25" s="12"/>
      <c r="S25" s="12"/>
      <c r="T25" s="12"/>
      <c r="U25" s="12">
        <v>27</v>
      </c>
      <c r="V25" s="12"/>
      <c r="W25" s="12"/>
      <c r="X25" s="12"/>
      <c r="Y25" s="12"/>
      <c r="Z25" s="12"/>
      <c r="AA25" s="12"/>
      <c r="AB25" s="12"/>
      <c r="AC25" s="12"/>
    </row>
    <row r="26" spans="1:29" ht="19.95" customHeight="1" x14ac:dyDescent="0.25">
      <c r="A26" s="38">
        <v>9668583783</v>
      </c>
      <c r="B26" s="112" t="s">
        <v>888</v>
      </c>
      <c r="C26" s="131" t="s">
        <v>893</v>
      </c>
      <c r="D26" s="112" t="s">
        <v>892</v>
      </c>
      <c r="E26" s="112" t="s">
        <v>889</v>
      </c>
      <c r="F26" s="112" t="s">
        <v>890</v>
      </c>
      <c r="G26" s="113" t="s">
        <v>891</v>
      </c>
      <c r="H26" s="112" t="s">
        <v>314</v>
      </c>
      <c r="I26" s="112" t="s">
        <v>842</v>
      </c>
      <c r="J26" s="113" t="s">
        <v>347</v>
      </c>
      <c r="K26" s="112"/>
      <c r="L26" s="112"/>
      <c r="M26" s="112"/>
      <c r="N26" s="113" t="s">
        <v>16</v>
      </c>
      <c r="O26" s="44" t="s">
        <v>881</v>
      </c>
      <c r="P26" s="12" t="s">
        <v>837</v>
      </c>
      <c r="Q26" s="12">
        <f t="shared" si="1"/>
        <v>24</v>
      </c>
      <c r="R26" s="12"/>
      <c r="S26" s="12"/>
      <c r="T26" s="12"/>
      <c r="U26" s="12">
        <v>4</v>
      </c>
      <c r="V26" s="12">
        <v>4</v>
      </c>
      <c r="W26" s="12">
        <v>4</v>
      </c>
      <c r="X26" s="12">
        <v>4</v>
      </c>
      <c r="Y26" s="12">
        <v>4</v>
      </c>
      <c r="Z26" s="12">
        <v>4</v>
      </c>
      <c r="AA26" s="12"/>
      <c r="AB26" s="12"/>
      <c r="AC26" s="12"/>
    </row>
    <row r="27" spans="1:29" ht="19.95" customHeight="1" x14ac:dyDescent="0.25">
      <c r="A27" s="38">
        <v>9668583783</v>
      </c>
      <c r="B27" s="112" t="s">
        <v>888</v>
      </c>
      <c r="C27" s="131" t="s">
        <v>893</v>
      </c>
      <c r="D27" s="112" t="s">
        <v>892</v>
      </c>
      <c r="E27" s="112" t="s">
        <v>889</v>
      </c>
      <c r="F27" s="112" t="s">
        <v>890</v>
      </c>
      <c r="G27" s="113" t="s">
        <v>891</v>
      </c>
      <c r="H27" s="112" t="s">
        <v>314</v>
      </c>
      <c r="I27" s="112" t="s">
        <v>842</v>
      </c>
      <c r="J27" s="113" t="s">
        <v>347</v>
      </c>
      <c r="K27" s="112"/>
      <c r="L27" s="112"/>
      <c r="M27" s="112"/>
      <c r="N27" s="113" t="s">
        <v>16</v>
      </c>
      <c r="O27" s="44" t="s">
        <v>882</v>
      </c>
      <c r="P27" s="12" t="s">
        <v>837</v>
      </c>
      <c r="Q27" s="12">
        <f t="shared" si="1"/>
        <v>36</v>
      </c>
      <c r="R27" s="12">
        <v>3</v>
      </c>
      <c r="S27" s="12">
        <v>3</v>
      </c>
      <c r="T27" s="12">
        <v>3</v>
      </c>
      <c r="U27" s="12">
        <v>3</v>
      </c>
      <c r="V27" s="12">
        <v>3</v>
      </c>
      <c r="W27" s="12">
        <v>3</v>
      </c>
      <c r="X27" s="12">
        <v>3</v>
      </c>
      <c r="Y27" s="12">
        <v>3</v>
      </c>
      <c r="Z27" s="12">
        <v>3</v>
      </c>
      <c r="AA27" s="12">
        <v>3</v>
      </c>
      <c r="AB27" s="12">
        <v>3</v>
      </c>
      <c r="AC27" s="12">
        <v>3</v>
      </c>
    </row>
    <row r="28" spans="1:29" ht="19.95" customHeight="1" x14ac:dyDescent="0.25">
      <c r="A28" s="38">
        <v>9668583783</v>
      </c>
      <c r="B28" s="112" t="s">
        <v>888</v>
      </c>
      <c r="C28" s="131" t="s">
        <v>893</v>
      </c>
      <c r="D28" s="112" t="s">
        <v>892</v>
      </c>
      <c r="E28" s="112" t="s">
        <v>889</v>
      </c>
      <c r="F28" s="112" t="s">
        <v>890</v>
      </c>
      <c r="G28" s="113" t="s">
        <v>891</v>
      </c>
      <c r="H28" s="112" t="s">
        <v>314</v>
      </c>
      <c r="I28" s="112" t="s">
        <v>842</v>
      </c>
      <c r="J28" s="113" t="s">
        <v>347</v>
      </c>
      <c r="K28" s="112"/>
      <c r="L28" s="112"/>
      <c r="M28" s="112"/>
      <c r="N28" s="113" t="s">
        <v>16</v>
      </c>
      <c r="O28" s="44" t="s">
        <v>883</v>
      </c>
      <c r="P28" s="12" t="s">
        <v>837</v>
      </c>
      <c r="Q28" s="12">
        <f t="shared" si="1"/>
        <v>8</v>
      </c>
      <c r="R28" s="12"/>
      <c r="S28" s="12"/>
      <c r="T28" s="12"/>
      <c r="U28" s="12"/>
      <c r="V28" s="12">
        <v>4</v>
      </c>
      <c r="W28" s="12"/>
      <c r="X28" s="12"/>
      <c r="Y28" s="12"/>
      <c r="Z28" s="12">
        <v>4</v>
      </c>
      <c r="AA28" s="12"/>
      <c r="AB28" s="12"/>
      <c r="AC28" s="12"/>
    </row>
    <row r="29" spans="1:29" ht="19.95" customHeight="1" x14ac:dyDescent="0.25">
      <c r="A29" s="38">
        <v>9668583783</v>
      </c>
      <c r="B29" s="112" t="s">
        <v>888</v>
      </c>
      <c r="C29" s="131" t="s">
        <v>893</v>
      </c>
      <c r="D29" s="112" t="s">
        <v>892</v>
      </c>
      <c r="E29" s="112" t="s">
        <v>889</v>
      </c>
      <c r="F29" s="112" t="s">
        <v>890</v>
      </c>
      <c r="G29" s="113" t="s">
        <v>891</v>
      </c>
      <c r="H29" s="112" t="s">
        <v>314</v>
      </c>
      <c r="I29" s="112" t="s">
        <v>842</v>
      </c>
      <c r="J29" s="113" t="s">
        <v>347</v>
      </c>
      <c r="K29" s="112"/>
      <c r="L29" s="112"/>
      <c r="M29" s="112"/>
      <c r="N29" s="113" t="s">
        <v>16</v>
      </c>
      <c r="O29" s="44" t="s">
        <v>884</v>
      </c>
      <c r="P29" s="12" t="s">
        <v>837</v>
      </c>
      <c r="Q29" s="12">
        <f t="shared" si="1"/>
        <v>180</v>
      </c>
      <c r="R29" s="12"/>
      <c r="S29" s="12"/>
      <c r="T29" s="12"/>
      <c r="U29" s="12">
        <v>60</v>
      </c>
      <c r="V29" s="12"/>
      <c r="W29" s="12"/>
      <c r="X29" s="12"/>
      <c r="Y29" s="12">
        <v>60</v>
      </c>
      <c r="Z29" s="12"/>
      <c r="AA29" s="12"/>
      <c r="AB29" s="12">
        <v>60</v>
      </c>
      <c r="AC29" s="12"/>
    </row>
    <row r="30" spans="1:29" ht="19.95" customHeight="1" x14ac:dyDescent="0.25">
      <c r="A30" s="38">
        <v>9668583783</v>
      </c>
      <c r="B30" s="112" t="s">
        <v>888</v>
      </c>
      <c r="C30" s="131" t="s">
        <v>893</v>
      </c>
      <c r="D30" s="112" t="s">
        <v>892</v>
      </c>
      <c r="E30" s="112" t="s">
        <v>889</v>
      </c>
      <c r="F30" s="112" t="s">
        <v>890</v>
      </c>
      <c r="G30" s="113" t="s">
        <v>891</v>
      </c>
      <c r="H30" s="112" t="s">
        <v>314</v>
      </c>
      <c r="I30" s="112" t="s">
        <v>842</v>
      </c>
      <c r="J30" s="113" t="s">
        <v>347</v>
      </c>
      <c r="K30" s="112"/>
      <c r="L30" s="112"/>
      <c r="M30" s="112"/>
      <c r="N30" s="113" t="s">
        <v>16</v>
      </c>
      <c r="O30" s="44" t="s">
        <v>885</v>
      </c>
      <c r="P30" s="12" t="s">
        <v>837</v>
      </c>
      <c r="Q30" s="12">
        <f t="shared" si="1"/>
        <v>6</v>
      </c>
      <c r="R30" s="12"/>
      <c r="S30" s="12"/>
      <c r="T30" s="12"/>
      <c r="U30" s="12"/>
      <c r="V30" s="12"/>
      <c r="W30" s="12"/>
      <c r="X30" s="12">
        <v>6</v>
      </c>
      <c r="Y30" s="12"/>
      <c r="Z30" s="12"/>
      <c r="AA30" s="12"/>
      <c r="AB30" s="12"/>
      <c r="AC30" s="12"/>
    </row>
    <row r="31" spans="1:29" ht="19.95" customHeight="1" x14ac:dyDescent="0.25">
      <c r="A31" s="38">
        <v>9668583783</v>
      </c>
      <c r="B31" s="112" t="s">
        <v>888</v>
      </c>
      <c r="C31" s="131" t="s">
        <v>893</v>
      </c>
      <c r="D31" s="112" t="s">
        <v>892</v>
      </c>
      <c r="E31" s="112" t="s">
        <v>889</v>
      </c>
      <c r="F31" s="112" t="s">
        <v>890</v>
      </c>
      <c r="G31" s="113" t="s">
        <v>891</v>
      </c>
      <c r="H31" s="112" t="s">
        <v>314</v>
      </c>
      <c r="I31" s="112" t="s">
        <v>842</v>
      </c>
      <c r="J31" s="113" t="s">
        <v>347</v>
      </c>
      <c r="K31" s="112"/>
      <c r="L31" s="112"/>
      <c r="M31" s="112"/>
      <c r="N31" s="113" t="s">
        <v>16</v>
      </c>
      <c r="O31" s="44" t="s">
        <v>886</v>
      </c>
      <c r="P31" s="12" t="s">
        <v>21</v>
      </c>
      <c r="Q31" s="12">
        <f t="shared" si="1"/>
        <v>0</v>
      </c>
      <c r="R31" s="12"/>
      <c r="S31" s="12"/>
      <c r="T31" s="12"/>
      <c r="U31" s="12"/>
      <c r="V31" s="12"/>
      <c r="W31" s="12"/>
      <c r="X31" s="12"/>
      <c r="Y31" s="12"/>
      <c r="Z31" s="12"/>
      <c r="AA31" s="12"/>
      <c r="AB31" s="12"/>
      <c r="AC31" s="12"/>
    </row>
    <row r="32" spans="1:29" ht="19.95" customHeight="1" x14ac:dyDescent="0.25"/>
  </sheetData>
  <phoneticPr fontId="23"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F2273-F257-473A-A1C0-447C46185A1C}">
  <dimension ref="A1"/>
  <sheetViews>
    <sheetView workbookViewId="0">
      <selection activeCell="I17" sqref="I17"/>
    </sheetView>
  </sheetViews>
  <sheetFormatPr defaultRowHeight="13.2"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02C57-898D-4D8B-9AA4-C3799B8E9567}">
  <dimension ref="A1:AC31"/>
  <sheetViews>
    <sheetView topLeftCell="A4" workbookViewId="0">
      <selection activeCell="F2" sqref="F2"/>
    </sheetView>
  </sheetViews>
  <sheetFormatPr defaultColWidth="9.6640625" defaultRowHeight="15.6" x14ac:dyDescent="0.25"/>
  <cols>
    <col min="1" max="1" width="12.109375" style="7" bestFit="1" customWidth="1"/>
    <col min="2" max="2" width="16.109375" style="7" bestFit="1" customWidth="1"/>
    <col min="3" max="3" width="32.5546875" style="7" bestFit="1" customWidth="1"/>
    <col min="4" max="4" width="16.6640625" style="7" bestFit="1" customWidth="1"/>
    <col min="5" max="5" width="7.6640625" style="7" customWidth="1"/>
    <col min="6" max="6" width="12.88671875" style="7" customWidth="1"/>
    <col min="7" max="7" width="12.44140625" style="7" bestFit="1" customWidth="1"/>
    <col min="8" max="8" width="9.6640625" style="7" bestFit="1" customWidth="1"/>
    <col min="9" max="9" width="16" style="7" customWidth="1"/>
    <col min="10" max="10" width="12.6640625" style="7" bestFit="1" customWidth="1"/>
    <col min="11" max="11" width="11.44140625" style="7" bestFit="1" customWidth="1"/>
    <col min="12" max="13" width="12.6640625" style="7" customWidth="1"/>
    <col min="14" max="14" width="14.88671875" style="7" bestFit="1" customWidth="1"/>
    <col min="15" max="15" width="121.6640625" style="14" bestFit="1" customWidth="1"/>
    <col min="16" max="16" width="21.77734375" style="7" bestFit="1" customWidth="1"/>
    <col min="17" max="17" width="13.33203125" style="7" customWidth="1"/>
    <col min="18" max="20" width="10" style="7" customWidth="1"/>
    <col min="21" max="23" width="9.44140625" style="8" customWidth="1"/>
    <col min="24" max="16384" width="9.6640625" style="7"/>
  </cols>
  <sheetData>
    <row r="1" spans="1:29" s="9" customFormat="1" ht="27.6" x14ac:dyDescent="0.25">
      <c r="A1" s="35" t="s">
        <v>0</v>
      </c>
      <c r="B1" s="35" t="s">
        <v>1</v>
      </c>
      <c r="C1" s="35" t="s">
        <v>2</v>
      </c>
      <c r="D1" s="35" t="s">
        <v>3</v>
      </c>
      <c r="E1" s="35" t="s">
        <v>4</v>
      </c>
      <c r="F1" s="35" t="s">
        <v>5</v>
      </c>
      <c r="G1" s="35" t="s">
        <v>6</v>
      </c>
      <c r="H1" s="35" t="s">
        <v>7</v>
      </c>
      <c r="I1" s="58" t="s">
        <v>8</v>
      </c>
      <c r="J1" s="35" t="s">
        <v>9</v>
      </c>
      <c r="K1" s="35" t="s">
        <v>10</v>
      </c>
      <c r="L1" s="35" t="s">
        <v>126</v>
      </c>
      <c r="M1" s="35" t="s">
        <v>127</v>
      </c>
      <c r="N1" s="35"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56">
        <v>7869489770</v>
      </c>
      <c r="B2" s="37" t="s">
        <v>63</v>
      </c>
      <c r="C2" s="57" t="s">
        <v>62</v>
      </c>
      <c r="D2" s="37" t="s">
        <v>61</v>
      </c>
      <c r="E2" s="37" t="s">
        <v>60</v>
      </c>
      <c r="F2" s="56" t="s">
        <v>59</v>
      </c>
      <c r="G2" s="37" t="s">
        <v>64</v>
      </c>
      <c r="H2" s="37" t="s">
        <v>13</v>
      </c>
      <c r="I2" s="37" t="s">
        <v>14</v>
      </c>
      <c r="J2" s="37"/>
      <c r="K2" s="37"/>
      <c r="L2" s="37"/>
      <c r="M2" s="37"/>
      <c r="N2" s="37" t="s">
        <v>16</v>
      </c>
      <c r="O2" s="13" t="s">
        <v>29</v>
      </c>
      <c r="P2" s="11" t="s">
        <v>21</v>
      </c>
      <c r="Q2" s="11">
        <v>1</v>
      </c>
      <c r="R2" s="11">
        <v>1</v>
      </c>
      <c r="S2" s="11">
        <v>1</v>
      </c>
      <c r="T2" s="11">
        <v>1</v>
      </c>
      <c r="U2" s="11">
        <v>1</v>
      </c>
      <c r="V2" s="11">
        <v>1</v>
      </c>
      <c r="W2" s="11">
        <v>1</v>
      </c>
      <c r="X2" s="11">
        <v>1</v>
      </c>
      <c r="Y2" s="11">
        <v>1</v>
      </c>
      <c r="Z2" s="11">
        <v>1</v>
      </c>
      <c r="AA2" s="11">
        <v>1</v>
      </c>
      <c r="AB2" s="11">
        <v>1</v>
      </c>
      <c r="AC2" s="11">
        <v>1</v>
      </c>
    </row>
    <row r="3" spans="1:29" ht="19.95" customHeight="1" x14ac:dyDescent="0.25">
      <c r="A3" s="56">
        <v>7869489770</v>
      </c>
      <c r="B3" s="37" t="s">
        <v>63</v>
      </c>
      <c r="C3" s="57" t="s">
        <v>62</v>
      </c>
      <c r="D3" s="37" t="s">
        <v>61</v>
      </c>
      <c r="E3" s="37" t="s">
        <v>60</v>
      </c>
      <c r="F3" s="56" t="s">
        <v>59</v>
      </c>
      <c r="G3" s="37" t="s">
        <v>64</v>
      </c>
      <c r="H3" s="37" t="s">
        <v>13</v>
      </c>
      <c r="I3" s="37" t="s">
        <v>14</v>
      </c>
      <c r="J3" s="37"/>
      <c r="K3" s="37"/>
      <c r="L3" s="37"/>
      <c r="M3" s="37"/>
      <c r="N3" s="37" t="s">
        <v>16</v>
      </c>
      <c r="O3" s="13" t="s">
        <v>30</v>
      </c>
      <c r="P3" s="11" t="s">
        <v>21</v>
      </c>
      <c r="Q3" s="11">
        <v>1</v>
      </c>
      <c r="R3" s="11">
        <v>1</v>
      </c>
      <c r="S3" s="11">
        <v>1</v>
      </c>
      <c r="T3" s="11">
        <v>1</v>
      </c>
      <c r="U3" s="11">
        <v>1</v>
      </c>
      <c r="V3" s="11">
        <v>1</v>
      </c>
      <c r="W3" s="11">
        <v>1</v>
      </c>
      <c r="X3" s="11">
        <v>1</v>
      </c>
      <c r="Y3" s="11">
        <v>1</v>
      </c>
      <c r="Z3" s="11">
        <v>1</v>
      </c>
      <c r="AA3" s="11">
        <v>1</v>
      </c>
      <c r="AB3" s="11">
        <v>1</v>
      </c>
      <c r="AC3" s="11">
        <v>1</v>
      </c>
    </row>
    <row r="4" spans="1:29" ht="19.95" customHeight="1" x14ac:dyDescent="0.25">
      <c r="A4" s="56">
        <v>7869489770</v>
      </c>
      <c r="B4" s="37" t="s">
        <v>63</v>
      </c>
      <c r="C4" s="57" t="s">
        <v>62</v>
      </c>
      <c r="D4" s="37" t="s">
        <v>61</v>
      </c>
      <c r="E4" s="37" t="s">
        <v>60</v>
      </c>
      <c r="F4" s="56" t="s">
        <v>59</v>
      </c>
      <c r="G4" s="37" t="s">
        <v>64</v>
      </c>
      <c r="H4" s="37" t="s">
        <v>13</v>
      </c>
      <c r="I4" s="37" t="s">
        <v>14</v>
      </c>
      <c r="J4" s="37"/>
      <c r="K4" s="37"/>
      <c r="L4" s="37"/>
      <c r="M4" s="37"/>
      <c r="N4" s="37" t="s">
        <v>16</v>
      </c>
      <c r="O4" s="13" t="s">
        <v>31</v>
      </c>
      <c r="P4" s="11" t="s">
        <v>21</v>
      </c>
      <c r="Q4" s="11">
        <v>1</v>
      </c>
      <c r="R4" s="11">
        <v>1</v>
      </c>
      <c r="S4" s="11">
        <v>1</v>
      </c>
      <c r="T4" s="11">
        <v>1</v>
      </c>
      <c r="U4" s="11">
        <v>1</v>
      </c>
      <c r="V4" s="11">
        <v>1</v>
      </c>
      <c r="W4" s="11">
        <v>1</v>
      </c>
      <c r="X4" s="11">
        <v>1</v>
      </c>
      <c r="Y4" s="11">
        <v>1</v>
      </c>
      <c r="Z4" s="11">
        <v>1</v>
      </c>
      <c r="AA4" s="11">
        <v>1</v>
      </c>
      <c r="AB4" s="11">
        <v>1</v>
      </c>
      <c r="AC4" s="11">
        <v>1</v>
      </c>
    </row>
    <row r="5" spans="1:29" ht="19.95" customHeight="1" x14ac:dyDescent="0.25">
      <c r="A5" s="56">
        <v>7869489770</v>
      </c>
      <c r="B5" s="37" t="s">
        <v>63</v>
      </c>
      <c r="C5" s="57" t="s">
        <v>62</v>
      </c>
      <c r="D5" s="37" t="s">
        <v>61</v>
      </c>
      <c r="E5" s="37" t="s">
        <v>60</v>
      </c>
      <c r="F5" s="56" t="s">
        <v>59</v>
      </c>
      <c r="G5" s="37" t="s">
        <v>64</v>
      </c>
      <c r="H5" s="37" t="s">
        <v>13</v>
      </c>
      <c r="I5" s="37" t="s">
        <v>14</v>
      </c>
      <c r="J5" s="37"/>
      <c r="K5" s="37"/>
      <c r="L5" s="37"/>
      <c r="M5" s="37"/>
      <c r="N5" s="37" t="s">
        <v>16</v>
      </c>
      <c r="O5" s="13" t="s">
        <v>32</v>
      </c>
      <c r="P5" s="11" t="s">
        <v>21</v>
      </c>
      <c r="Q5" s="11">
        <v>1</v>
      </c>
      <c r="R5" s="11">
        <v>1</v>
      </c>
      <c r="S5" s="11">
        <v>1</v>
      </c>
      <c r="T5" s="11">
        <v>1</v>
      </c>
      <c r="U5" s="11">
        <v>1</v>
      </c>
      <c r="V5" s="11">
        <v>1</v>
      </c>
      <c r="W5" s="11">
        <v>1</v>
      </c>
      <c r="X5" s="11">
        <v>1</v>
      </c>
      <c r="Y5" s="11">
        <v>1</v>
      </c>
      <c r="Z5" s="11">
        <v>1</v>
      </c>
      <c r="AA5" s="11">
        <v>1</v>
      </c>
      <c r="AB5" s="11">
        <v>1</v>
      </c>
      <c r="AC5" s="11">
        <v>1</v>
      </c>
    </row>
    <row r="6" spans="1:29" ht="19.95" customHeight="1" x14ac:dyDescent="0.25">
      <c r="A6" s="56">
        <v>7869489770</v>
      </c>
      <c r="B6" s="37" t="s">
        <v>63</v>
      </c>
      <c r="C6" s="57" t="s">
        <v>62</v>
      </c>
      <c r="D6" s="37" t="s">
        <v>61</v>
      </c>
      <c r="E6" s="37" t="s">
        <v>60</v>
      </c>
      <c r="F6" s="56" t="s">
        <v>59</v>
      </c>
      <c r="G6" s="37" t="s">
        <v>64</v>
      </c>
      <c r="H6" s="37" t="s">
        <v>13</v>
      </c>
      <c r="I6" s="37" t="s">
        <v>14</v>
      </c>
      <c r="J6" s="37"/>
      <c r="K6" s="37"/>
      <c r="L6" s="37"/>
      <c r="M6" s="37"/>
      <c r="N6" s="37" t="s">
        <v>16</v>
      </c>
      <c r="O6" s="13" t="s">
        <v>50</v>
      </c>
      <c r="P6" s="11" t="s">
        <v>21</v>
      </c>
      <c r="Q6" s="11">
        <v>1</v>
      </c>
      <c r="R6" s="11">
        <v>1</v>
      </c>
      <c r="S6" s="11">
        <v>1</v>
      </c>
      <c r="T6" s="11">
        <v>1</v>
      </c>
      <c r="U6" s="11">
        <v>1</v>
      </c>
      <c r="V6" s="11">
        <v>1</v>
      </c>
      <c r="W6" s="11">
        <v>1</v>
      </c>
      <c r="X6" s="11">
        <v>1</v>
      </c>
      <c r="Y6" s="11">
        <v>1</v>
      </c>
      <c r="Z6" s="11">
        <v>1</v>
      </c>
      <c r="AA6" s="11">
        <v>1</v>
      </c>
      <c r="AB6" s="11">
        <v>1</v>
      </c>
      <c r="AC6" s="11">
        <v>1</v>
      </c>
    </row>
    <row r="7" spans="1:29" ht="19.95" customHeight="1" x14ac:dyDescent="0.25">
      <c r="A7" s="56">
        <v>7869489770</v>
      </c>
      <c r="B7" s="37" t="s">
        <v>63</v>
      </c>
      <c r="C7" s="57" t="s">
        <v>62</v>
      </c>
      <c r="D7" s="37" t="s">
        <v>61</v>
      </c>
      <c r="E7" s="37" t="s">
        <v>60</v>
      </c>
      <c r="F7" s="56" t="s">
        <v>59</v>
      </c>
      <c r="G7" s="37" t="s">
        <v>64</v>
      </c>
      <c r="H7" s="37" t="s">
        <v>13</v>
      </c>
      <c r="I7" s="37" t="s">
        <v>14</v>
      </c>
      <c r="J7" s="37"/>
      <c r="K7" s="37"/>
      <c r="L7" s="37"/>
      <c r="M7" s="37"/>
      <c r="N7" s="37" t="s">
        <v>16</v>
      </c>
      <c r="O7" s="13" t="s">
        <v>51</v>
      </c>
      <c r="P7" s="11" t="s">
        <v>21</v>
      </c>
      <c r="Q7" s="11">
        <v>1</v>
      </c>
      <c r="R7" s="11">
        <v>1</v>
      </c>
      <c r="S7" s="11">
        <v>1</v>
      </c>
      <c r="T7" s="11">
        <v>1</v>
      </c>
      <c r="U7" s="11">
        <v>1</v>
      </c>
      <c r="V7" s="11">
        <v>1</v>
      </c>
      <c r="W7" s="11">
        <v>1</v>
      </c>
      <c r="X7" s="11">
        <v>1</v>
      </c>
      <c r="Y7" s="11">
        <v>1</v>
      </c>
      <c r="Z7" s="11">
        <v>1</v>
      </c>
      <c r="AA7" s="11">
        <v>1</v>
      </c>
      <c r="AB7" s="11">
        <v>1</v>
      </c>
      <c r="AC7" s="11">
        <v>1</v>
      </c>
    </row>
    <row r="8" spans="1:29" ht="19.95" customHeight="1" x14ac:dyDescent="0.25">
      <c r="A8" s="56">
        <v>7869489770</v>
      </c>
      <c r="B8" s="37" t="s">
        <v>63</v>
      </c>
      <c r="C8" s="57" t="s">
        <v>62</v>
      </c>
      <c r="D8" s="37" t="s">
        <v>61</v>
      </c>
      <c r="E8" s="37" t="s">
        <v>60</v>
      </c>
      <c r="F8" s="56" t="s">
        <v>59</v>
      </c>
      <c r="G8" s="37" t="s">
        <v>64</v>
      </c>
      <c r="H8" s="37" t="s">
        <v>13</v>
      </c>
      <c r="I8" s="37" t="s">
        <v>14</v>
      </c>
      <c r="J8" s="37"/>
      <c r="K8" s="37"/>
      <c r="L8" s="37"/>
      <c r="M8" s="37"/>
      <c r="N8" s="37" t="s">
        <v>16</v>
      </c>
      <c r="O8" s="13" t="s">
        <v>55</v>
      </c>
      <c r="P8" s="11" t="s">
        <v>21</v>
      </c>
      <c r="Q8" s="11">
        <v>1</v>
      </c>
      <c r="R8" s="11">
        <v>1</v>
      </c>
      <c r="S8" s="11">
        <v>1</v>
      </c>
      <c r="T8" s="11">
        <v>1</v>
      </c>
      <c r="U8" s="11">
        <v>1</v>
      </c>
      <c r="V8" s="11">
        <v>1</v>
      </c>
      <c r="W8" s="11">
        <v>1</v>
      </c>
      <c r="X8" s="11">
        <v>1</v>
      </c>
      <c r="Y8" s="11">
        <v>1</v>
      </c>
      <c r="Z8" s="11">
        <v>1</v>
      </c>
      <c r="AA8" s="11">
        <v>1</v>
      </c>
      <c r="AB8" s="11">
        <v>1</v>
      </c>
      <c r="AC8" s="11">
        <v>1</v>
      </c>
    </row>
    <row r="9" spans="1:29" ht="19.95" customHeight="1" x14ac:dyDescent="0.25">
      <c r="A9" s="56">
        <v>7869489770</v>
      </c>
      <c r="B9" s="37" t="s">
        <v>63</v>
      </c>
      <c r="C9" s="57" t="s">
        <v>62</v>
      </c>
      <c r="D9" s="37" t="s">
        <v>61</v>
      </c>
      <c r="E9" s="37" t="s">
        <v>60</v>
      </c>
      <c r="F9" s="56" t="s">
        <v>59</v>
      </c>
      <c r="G9" s="37" t="s">
        <v>64</v>
      </c>
      <c r="H9" s="37" t="s">
        <v>13</v>
      </c>
      <c r="I9" s="37" t="s">
        <v>14</v>
      </c>
      <c r="J9" s="37"/>
      <c r="K9" s="37"/>
      <c r="L9" s="37"/>
      <c r="M9" s="37"/>
      <c r="N9" s="37" t="s">
        <v>16</v>
      </c>
      <c r="O9" s="13" t="s">
        <v>56</v>
      </c>
      <c r="P9" s="11" t="s">
        <v>21</v>
      </c>
      <c r="Q9" s="11">
        <v>1</v>
      </c>
      <c r="R9" s="11">
        <v>1</v>
      </c>
      <c r="S9" s="11">
        <v>1</v>
      </c>
      <c r="T9" s="11">
        <v>1</v>
      </c>
      <c r="U9" s="11">
        <v>1</v>
      </c>
      <c r="V9" s="11">
        <v>1</v>
      </c>
      <c r="W9" s="11">
        <v>1</v>
      </c>
      <c r="X9" s="11">
        <v>1</v>
      </c>
      <c r="Y9" s="11">
        <v>1</v>
      </c>
      <c r="Z9" s="11">
        <v>1</v>
      </c>
      <c r="AA9" s="11">
        <v>1</v>
      </c>
      <c r="AB9" s="11">
        <v>1</v>
      </c>
      <c r="AC9" s="11">
        <v>1</v>
      </c>
    </row>
    <row r="10" spans="1:29" ht="19.95" customHeight="1" x14ac:dyDescent="0.25">
      <c r="A10" s="56">
        <v>7869489770</v>
      </c>
      <c r="B10" s="37" t="s">
        <v>63</v>
      </c>
      <c r="C10" s="57" t="s">
        <v>62</v>
      </c>
      <c r="D10" s="37" t="s">
        <v>61</v>
      </c>
      <c r="E10" s="37" t="s">
        <v>60</v>
      </c>
      <c r="F10" s="56" t="s">
        <v>59</v>
      </c>
      <c r="G10" s="37" t="s">
        <v>64</v>
      </c>
      <c r="H10" s="37" t="s">
        <v>13</v>
      </c>
      <c r="I10" s="37" t="s">
        <v>14</v>
      </c>
      <c r="J10" s="37"/>
      <c r="K10" s="37"/>
      <c r="L10" s="37"/>
      <c r="M10" s="37"/>
      <c r="N10" s="37" t="s">
        <v>16</v>
      </c>
      <c r="O10" s="13" t="s">
        <v>58</v>
      </c>
      <c r="P10" s="11" t="s">
        <v>21</v>
      </c>
      <c r="Q10" s="11">
        <v>1</v>
      </c>
      <c r="R10" s="11">
        <v>1</v>
      </c>
      <c r="S10" s="11">
        <v>1</v>
      </c>
      <c r="T10" s="11">
        <v>1</v>
      </c>
      <c r="U10" s="11">
        <v>1</v>
      </c>
      <c r="V10" s="11">
        <v>1</v>
      </c>
      <c r="W10" s="11">
        <v>1</v>
      </c>
      <c r="X10" s="11">
        <v>1</v>
      </c>
      <c r="Y10" s="11">
        <v>1</v>
      </c>
      <c r="Z10" s="11">
        <v>1</v>
      </c>
      <c r="AA10" s="11">
        <v>1</v>
      </c>
      <c r="AB10" s="11">
        <v>1</v>
      </c>
      <c r="AC10" s="11">
        <v>1</v>
      </c>
    </row>
    <row r="11" spans="1:29" ht="19.95" customHeight="1" x14ac:dyDescent="0.25">
      <c r="A11" s="56">
        <v>7869489770</v>
      </c>
      <c r="B11" s="37" t="s">
        <v>63</v>
      </c>
      <c r="C11" s="57" t="s">
        <v>62</v>
      </c>
      <c r="D11" s="37" t="s">
        <v>61</v>
      </c>
      <c r="E11" s="37" t="s">
        <v>60</v>
      </c>
      <c r="F11" s="56" t="s">
        <v>59</v>
      </c>
      <c r="G11" s="37" t="s">
        <v>64</v>
      </c>
      <c r="H11" s="37" t="s">
        <v>13</v>
      </c>
      <c r="I11" s="37" t="s">
        <v>14</v>
      </c>
      <c r="J11" s="37"/>
      <c r="K11" s="37"/>
      <c r="L11" s="37"/>
      <c r="M11" s="37"/>
      <c r="N11" s="37" t="s">
        <v>16</v>
      </c>
      <c r="O11" s="13" t="s">
        <v>33</v>
      </c>
      <c r="P11" s="11" t="s">
        <v>21</v>
      </c>
      <c r="Q11" s="11">
        <v>1</v>
      </c>
      <c r="R11" s="11">
        <v>1</v>
      </c>
      <c r="S11" s="11">
        <v>1</v>
      </c>
      <c r="T11" s="11">
        <v>1</v>
      </c>
      <c r="U11" s="11">
        <v>1</v>
      </c>
      <c r="V11" s="11">
        <v>1</v>
      </c>
      <c r="W11" s="11">
        <v>1</v>
      </c>
      <c r="X11" s="11">
        <v>1</v>
      </c>
      <c r="Y11" s="11">
        <v>1</v>
      </c>
      <c r="Z11" s="11">
        <v>1</v>
      </c>
      <c r="AA11" s="11">
        <v>1</v>
      </c>
      <c r="AB11" s="11">
        <v>1</v>
      </c>
      <c r="AC11" s="11">
        <v>1</v>
      </c>
    </row>
    <row r="12" spans="1:29" ht="19.95" customHeight="1" x14ac:dyDescent="0.25">
      <c r="A12" s="56">
        <v>7869489770</v>
      </c>
      <c r="B12" s="37" t="s">
        <v>63</v>
      </c>
      <c r="C12" s="57" t="s">
        <v>62</v>
      </c>
      <c r="D12" s="37" t="s">
        <v>61</v>
      </c>
      <c r="E12" s="37" t="s">
        <v>60</v>
      </c>
      <c r="F12" s="56" t="s">
        <v>59</v>
      </c>
      <c r="G12" s="37" t="s">
        <v>64</v>
      </c>
      <c r="H12" s="37" t="s">
        <v>13</v>
      </c>
      <c r="I12" s="37" t="s">
        <v>14</v>
      </c>
      <c r="J12" s="37"/>
      <c r="K12" s="37"/>
      <c r="L12" s="37"/>
      <c r="M12" s="37"/>
      <c r="N12" s="37" t="s">
        <v>16</v>
      </c>
      <c r="O12" s="13" t="s">
        <v>34</v>
      </c>
      <c r="P12" s="11" t="s">
        <v>21</v>
      </c>
      <c r="Q12" s="11">
        <v>1</v>
      </c>
      <c r="R12" s="11">
        <v>1</v>
      </c>
      <c r="S12" s="11">
        <v>1</v>
      </c>
      <c r="T12" s="11">
        <v>1</v>
      </c>
      <c r="U12" s="11">
        <v>1</v>
      </c>
      <c r="V12" s="11">
        <v>1</v>
      </c>
      <c r="W12" s="11">
        <v>1</v>
      </c>
      <c r="X12" s="11">
        <v>1</v>
      </c>
      <c r="Y12" s="11">
        <v>1</v>
      </c>
      <c r="Z12" s="11">
        <v>1</v>
      </c>
      <c r="AA12" s="11">
        <v>1</v>
      </c>
      <c r="AB12" s="11">
        <v>1</v>
      </c>
      <c r="AC12" s="11">
        <v>1</v>
      </c>
    </row>
    <row r="13" spans="1:29" ht="19.95" customHeight="1" x14ac:dyDescent="0.25">
      <c r="A13" s="56">
        <v>7869489770</v>
      </c>
      <c r="B13" s="37" t="s">
        <v>63</v>
      </c>
      <c r="C13" s="57" t="s">
        <v>62</v>
      </c>
      <c r="D13" s="37" t="s">
        <v>61</v>
      </c>
      <c r="E13" s="37" t="s">
        <v>60</v>
      </c>
      <c r="F13" s="56" t="s">
        <v>59</v>
      </c>
      <c r="G13" s="37" t="s">
        <v>64</v>
      </c>
      <c r="H13" s="37" t="s">
        <v>13</v>
      </c>
      <c r="I13" s="37" t="s">
        <v>14</v>
      </c>
      <c r="J13" s="37"/>
      <c r="K13" s="37"/>
      <c r="L13" s="37"/>
      <c r="M13" s="37"/>
      <c r="N13" s="37" t="s">
        <v>16</v>
      </c>
      <c r="O13" s="13" t="s">
        <v>53</v>
      </c>
      <c r="P13" s="11" t="s">
        <v>21</v>
      </c>
      <c r="Q13" s="11">
        <v>1</v>
      </c>
      <c r="R13" s="11">
        <v>1</v>
      </c>
      <c r="S13" s="11">
        <v>1</v>
      </c>
      <c r="T13" s="11">
        <v>1</v>
      </c>
      <c r="U13" s="11">
        <v>1</v>
      </c>
      <c r="V13" s="11">
        <v>1</v>
      </c>
      <c r="W13" s="11">
        <v>1</v>
      </c>
      <c r="X13" s="11">
        <v>1</v>
      </c>
      <c r="Y13" s="11">
        <v>1</v>
      </c>
      <c r="Z13" s="11">
        <v>1</v>
      </c>
      <c r="AA13" s="11">
        <v>1</v>
      </c>
      <c r="AB13" s="11">
        <v>1</v>
      </c>
      <c r="AC13" s="11">
        <v>1</v>
      </c>
    </row>
    <row r="14" spans="1:29" ht="19.95" customHeight="1" x14ac:dyDescent="0.25">
      <c r="A14" s="56">
        <v>7869489770</v>
      </c>
      <c r="B14" s="37" t="s">
        <v>63</v>
      </c>
      <c r="C14" s="57" t="s">
        <v>62</v>
      </c>
      <c r="D14" s="37" t="s">
        <v>61</v>
      </c>
      <c r="E14" s="37" t="s">
        <v>60</v>
      </c>
      <c r="F14" s="56" t="s">
        <v>59</v>
      </c>
      <c r="G14" s="37" t="s">
        <v>64</v>
      </c>
      <c r="H14" s="37" t="s">
        <v>13</v>
      </c>
      <c r="I14" s="37" t="s">
        <v>14</v>
      </c>
      <c r="J14" s="37"/>
      <c r="K14" s="37"/>
      <c r="L14" s="37"/>
      <c r="M14" s="37"/>
      <c r="N14" s="37" t="s">
        <v>16</v>
      </c>
      <c r="O14" s="13" t="s">
        <v>54</v>
      </c>
      <c r="P14" s="11" t="s">
        <v>21</v>
      </c>
      <c r="Q14" s="11">
        <v>1</v>
      </c>
      <c r="R14" s="11">
        <v>1</v>
      </c>
      <c r="S14" s="11">
        <v>1</v>
      </c>
      <c r="T14" s="11">
        <v>1</v>
      </c>
      <c r="U14" s="11">
        <v>1</v>
      </c>
      <c r="V14" s="11">
        <v>1</v>
      </c>
      <c r="W14" s="11">
        <v>1</v>
      </c>
      <c r="X14" s="11">
        <v>1</v>
      </c>
      <c r="Y14" s="11">
        <v>1</v>
      </c>
      <c r="Z14" s="11">
        <v>1</v>
      </c>
      <c r="AA14" s="11">
        <v>1</v>
      </c>
      <c r="AB14" s="11">
        <v>1</v>
      </c>
      <c r="AC14" s="11">
        <v>1</v>
      </c>
    </row>
    <row r="15" spans="1:29" ht="19.95" customHeight="1" x14ac:dyDescent="0.25">
      <c r="A15" s="56">
        <v>7869489770</v>
      </c>
      <c r="B15" s="37" t="s">
        <v>63</v>
      </c>
      <c r="C15" s="57" t="s">
        <v>62</v>
      </c>
      <c r="D15" s="37" t="s">
        <v>61</v>
      </c>
      <c r="E15" s="37" t="s">
        <v>60</v>
      </c>
      <c r="F15" s="56" t="s">
        <v>59</v>
      </c>
      <c r="G15" s="37" t="s">
        <v>64</v>
      </c>
      <c r="H15" s="37" t="s">
        <v>13</v>
      </c>
      <c r="I15" s="37" t="s">
        <v>14</v>
      </c>
      <c r="J15" s="37"/>
      <c r="K15" s="37"/>
      <c r="L15" s="37"/>
      <c r="M15" s="37"/>
      <c r="N15" s="37" t="s">
        <v>16</v>
      </c>
      <c r="O15" s="13" t="s">
        <v>35</v>
      </c>
      <c r="P15" s="11" t="s">
        <v>21</v>
      </c>
      <c r="Q15" s="11">
        <v>1</v>
      </c>
      <c r="R15" s="11">
        <v>1</v>
      </c>
      <c r="S15" s="11">
        <v>1</v>
      </c>
      <c r="T15" s="11">
        <v>1</v>
      </c>
      <c r="U15" s="11">
        <v>1</v>
      </c>
      <c r="V15" s="11">
        <v>1</v>
      </c>
      <c r="W15" s="11">
        <v>1</v>
      </c>
      <c r="X15" s="11">
        <v>1</v>
      </c>
      <c r="Y15" s="11">
        <v>1</v>
      </c>
      <c r="Z15" s="11">
        <v>1</v>
      </c>
      <c r="AA15" s="11">
        <v>1</v>
      </c>
      <c r="AB15" s="11">
        <v>1</v>
      </c>
      <c r="AC15" s="11">
        <v>1</v>
      </c>
    </row>
    <row r="16" spans="1:29" ht="19.95" customHeight="1" x14ac:dyDescent="0.25">
      <c r="A16" s="56">
        <v>7869489770</v>
      </c>
      <c r="B16" s="37" t="s">
        <v>63</v>
      </c>
      <c r="C16" s="57" t="s">
        <v>62</v>
      </c>
      <c r="D16" s="37" t="s">
        <v>61</v>
      </c>
      <c r="E16" s="37" t="s">
        <v>60</v>
      </c>
      <c r="F16" s="56" t="s">
        <v>59</v>
      </c>
      <c r="G16" s="37" t="s">
        <v>64</v>
      </c>
      <c r="H16" s="37" t="s">
        <v>13</v>
      </c>
      <c r="I16" s="37" t="s">
        <v>14</v>
      </c>
      <c r="J16" s="37"/>
      <c r="K16" s="37"/>
      <c r="L16" s="37"/>
      <c r="M16" s="37"/>
      <c r="N16" s="37" t="s">
        <v>16</v>
      </c>
      <c r="O16" s="13" t="s">
        <v>36</v>
      </c>
      <c r="P16" s="11" t="s">
        <v>21</v>
      </c>
      <c r="Q16" s="11">
        <v>1</v>
      </c>
      <c r="R16" s="11">
        <v>1</v>
      </c>
      <c r="S16" s="11">
        <v>1</v>
      </c>
      <c r="T16" s="11">
        <v>1</v>
      </c>
      <c r="U16" s="11">
        <v>1</v>
      </c>
      <c r="V16" s="11">
        <v>1</v>
      </c>
      <c r="W16" s="11">
        <v>1</v>
      </c>
      <c r="X16" s="11">
        <v>1</v>
      </c>
      <c r="Y16" s="11">
        <v>1</v>
      </c>
      <c r="Z16" s="11">
        <v>1</v>
      </c>
      <c r="AA16" s="11">
        <v>1</v>
      </c>
      <c r="AB16" s="11">
        <v>1</v>
      </c>
      <c r="AC16" s="11">
        <v>1</v>
      </c>
    </row>
    <row r="17" spans="1:29" ht="19.95" customHeight="1" x14ac:dyDescent="0.25">
      <c r="A17" s="56">
        <v>7869489770</v>
      </c>
      <c r="B17" s="37" t="s">
        <v>63</v>
      </c>
      <c r="C17" s="57" t="s">
        <v>62</v>
      </c>
      <c r="D17" s="37" t="s">
        <v>61</v>
      </c>
      <c r="E17" s="37" t="s">
        <v>60</v>
      </c>
      <c r="F17" s="56" t="s">
        <v>59</v>
      </c>
      <c r="G17" s="37" t="s">
        <v>64</v>
      </c>
      <c r="H17" s="37" t="s">
        <v>13</v>
      </c>
      <c r="I17" s="37" t="s">
        <v>14</v>
      </c>
      <c r="J17" s="37"/>
      <c r="K17" s="37"/>
      <c r="L17" s="37"/>
      <c r="M17" s="37"/>
      <c r="N17" s="37" t="s">
        <v>16</v>
      </c>
      <c r="O17" s="13" t="s">
        <v>37</v>
      </c>
      <c r="P17" s="11" t="s">
        <v>21</v>
      </c>
      <c r="Q17" s="11">
        <v>1</v>
      </c>
      <c r="R17" s="11">
        <v>1</v>
      </c>
      <c r="S17" s="11">
        <v>1</v>
      </c>
      <c r="T17" s="11">
        <v>1</v>
      </c>
      <c r="U17" s="11">
        <v>1</v>
      </c>
      <c r="V17" s="11">
        <v>1</v>
      </c>
      <c r="W17" s="11">
        <v>1</v>
      </c>
      <c r="X17" s="11">
        <v>1</v>
      </c>
      <c r="Y17" s="11">
        <v>1</v>
      </c>
      <c r="Z17" s="11">
        <v>1</v>
      </c>
      <c r="AA17" s="11">
        <v>1</v>
      </c>
      <c r="AB17" s="11">
        <v>1</v>
      </c>
      <c r="AC17" s="11">
        <v>1</v>
      </c>
    </row>
    <row r="18" spans="1:29" ht="19.95" customHeight="1" x14ac:dyDescent="0.25">
      <c r="A18" s="56">
        <v>7869489770</v>
      </c>
      <c r="B18" s="37" t="s">
        <v>63</v>
      </c>
      <c r="C18" s="57" t="s">
        <v>62</v>
      </c>
      <c r="D18" s="37" t="s">
        <v>61</v>
      </c>
      <c r="E18" s="37" t="s">
        <v>60</v>
      </c>
      <c r="F18" s="56" t="s">
        <v>59</v>
      </c>
      <c r="G18" s="37" t="s">
        <v>64</v>
      </c>
      <c r="H18" s="37" t="s">
        <v>13</v>
      </c>
      <c r="I18" s="37" t="s">
        <v>14</v>
      </c>
      <c r="J18" s="37"/>
      <c r="K18" s="37"/>
      <c r="L18" s="37"/>
      <c r="M18" s="37"/>
      <c r="N18" s="37" t="s">
        <v>16</v>
      </c>
      <c r="O18" s="13" t="s">
        <v>38</v>
      </c>
      <c r="P18" s="11" t="s">
        <v>21</v>
      </c>
      <c r="Q18" s="11">
        <v>1</v>
      </c>
      <c r="R18" s="11">
        <v>1</v>
      </c>
      <c r="S18" s="11">
        <v>1</v>
      </c>
      <c r="T18" s="11">
        <v>1</v>
      </c>
      <c r="U18" s="11">
        <v>1</v>
      </c>
      <c r="V18" s="11">
        <v>1</v>
      </c>
      <c r="W18" s="11">
        <v>1</v>
      </c>
      <c r="X18" s="11">
        <v>1</v>
      </c>
      <c r="Y18" s="11">
        <v>1</v>
      </c>
      <c r="Z18" s="11">
        <v>1</v>
      </c>
      <c r="AA18" s="11">
        <v>1</v>
      </c>
      <c r="AB18" s="11">
        <v>1</v>
      </c>
      <c r="AC18" s="11">
        <v>1</v>
      </c>
    </row>
    <row r="19" spans="1:29" ht="19.95" customHeight="1" x14ac:dyDescent="0.25">
      <c r="A19" s="56">
        <v>7869489770</v>
      </c>
      <c r="B19" s="37" t="s">
        <v>63</v>
      </c>
      <c r="C19" s="57" t="s">
        <v>62</v>
      </c>
      <c r="D19" s="37" t="s">
        <v>61</v>
      </c>
      <c r="E19" s="37" t="s">
        <v>60</v>
      </c>
      <c r="F19" s="56" t="s">
        <v>59</v>
      </c>
      <c r="G19" s="37" t="s">
        <v>64</v>
      </c>
      <c r="H19" s="37" t="s">
        <v>13</v>
      </c>
      <c r="I19" s="37" t="s">
        <v>14</v>
      </c>
      <c r="J19" s="37"/>
      <c r="K19" s="37"/>
      <c r="L19" s="37"/>
      <c r="M19" s="37"/>
      <c r="N19" s="37" t="s">
        <v>16</v>
      </c>
      <c r="O19" s="13" t="s">
        <v>52</v>
      </c>
      <c r="P19" s="11" t="s">
        <v>21</v>
      </c>
      <c r="Q19" s="11">
        <v>1</v>
      </c>
      <c r="R19" s="11">
        <v>1</v>
      </c>
      <c r="S19" s="11">
        <v>1</v>
      </c>
      <c r="T19" s="11">
        <v>1</v>
      </c>
      <c r="U19" s="11">
        <v>1</v>
      </c>
      <c r="V19" s="11">
        <v>1</v>
      </c>
      <c r="W19" s="11">
        <v>1</v>
      </c>
      <c r="X19" s="11">
        <v>1</v>
      </c>
      <c r="Y19" s="11">
        <v>1</v>
      </c>
      <c r="Z19" s="11">
        <v>1</v>
      </c>
      <c r="AA19" s="11">
        <v>1</v>
      </c>
      <c r="AB19" s="11">
        <v>1</v>
      </c>
      <c r="AC19" s="11">
        <v>1</v>
      </c>
    </row>
    <row r="20" spans="1:29" ht="19.95" customHeight="1" x14ac:dyDescent="0.25">
      <c r="A20" s="56">
        <v>7869489770</v>
      </c>
      <c r="B20" s="37" t="s">
        <v>63</v>
      </c>
      <c r="C20" s="57" t="s">
        <v>62</v>
      </c>
      <c r="D20" s="37" t="s">
        <v>61</v>
      </c>
      <c r="E20" s="37" t="s">
        <v>60</v>
      </c>
      <c r="F20" s="56" t="s">
        <v>59</v>
      </c>
      <c r="G20" s="37" t="s">
        <v>64</v>
      </c>
      <c r="H20" s="37" t="s">
        <v>13</v>
      </c>
      <c r="I20" s="37" t="s">
        <v>14</v>
      </c>
      <c r="J20" s="37"/>
      <c r="K20" s="37"/>
      <c r="L20" s="37"/>
      <c r="M20" s="37"/>
      <c r="N20" s="37" t="s">
        <v>16</v>
      </c>
      <c r="O20" s="13" t="s">
        <v>39</v>
      </c>
      <c r="P20" s="11" t="s">
        <v>21</v>
      </c>
      <c r="Q20" s="11">
        <v>1</v>
      </c>
      <c r="R20" s="11">
        <v>1</v>
      </c>
      <c r="S20" s="11">
        <v>1</v>
      </c>
      <c r="T20" s="11">
        <v>1</v>
      </c>
      <c r="U20" s="11">
        <v>1</v>
      </c>
      <c r="V20" s="11">
        <v>1</v>
      </c>
      <c r="W20" s="11">
        <v>1</v>
      </c>
      <c r="X20" s="11">
        <v>1</v>
      </c>
      <c r="Y20" s="11">
        <v>1</v>
      </c>
      <c r="Z20" s="11">
        <v>1</v>
      </c>
      <c r="AA20" s="11">
        <v>1</v>
      </c>
      <c r="AB20" s="11">
        <v>1</v>
      </c>
      <c r="AC20" s="11">
        <v>1</v>
      </c>
    </row>
    <row r="21" spans="1:29" ht="19.95" customHeight="1" x14ac:dyDescent="0.25">
      <c r="A21" s="56">
        <v>7869489770</v>
      </c>
      <c r="B21" s="37" t="s">
        <v>63</v>
      </c>
      <c r="C21" s="57" t="s">
        <v>62</v>
      </c>
      <c r="D21" s="37" t="s">
        <v>61</v>
      </c>
      <c r="E21" s="37" t="s">
        <v>60</v>
      </c>
      <c r="F21" s="56" t="s">
        <v>59</v>
      </c>
      <c r="G21" s="37" t="s">
        <v>64</v>
      </c>
      <c r="H21" s="37" t="s">
        <v>13</v>
      </c>
      <c r="I21" s="37" t="s">
        <v>14</v>
      </c>
      <c r="J21" s="37"/>
      <c r="K21" s="37"/>
      <c r="L21" s="37"/>
      <c r="M21" s="37"/>
      <c r="N21" s="37" t="s">
        <v>16</v>
      </c>
      <c r="O21" s="13" t="s">
        <v>40</v>
      </c>
      <c r="P21" s="11" t="s">
        <v>21</v>
      </c>
      <c r="Q21" s="11">
        <v>1</v>
      </c>
      <c r="R21" s="11">
        <v>1</v>
      </c>
      <c r="S21" s="11">
        <v>1</v>
      </c>
      <c r="T21" s="11">
        <v>1</v>
      </c>
      <c r="U21" s="11">
        <v>1</v>
      </c>
      <c r="V21" s="11">
        <v>1</v>
      </c>
      <c r="W21" s="11">
        <v>1</v>
      </c>
      <c r="X21" s="11">
        <v>1</v>
      </c>
      <c r="Y21" s="11">
        <v>1</v>
      </c>
      <c r="Z21" s="11">
        <v>1</v>
      </c>
      <c r="AA21" s="11">
        <v>1</v>
      </c>
      <c r="AB21" s="11">
        <v>1</v>
      </c>
      <c r="AC21" s="11">
        <v>1</v>
      </c>
    </row>
    <row r="22" spans="1:29" ht="19.95" customHeight="1" x14ac:dyDescent="0.25">
      <c r="A22" s="56">
        <v>7869489770</v>
      </c>
      <c r="B22" s="37" t="s">
        <v>63</v>
      </c>
      <c r="C22" s="57" t="s">
        <v>62</v>
      </c>
      <c r="D22" s="37" t="s">
        <v>61</v>
      </c>
      <c r="E22" s="37" t="s">
        <v>60</v>
      </c>
      <c r="F22" s="56" t="s">
        <v>59</v>
      </c>
      <c r="G22" s="37" t="s">
        <v>64</v>
      </c>
      <c r="H22" s="37" t="s">
        <v>13</v>
      </c>
      <c r="I22" s="37" t="s">
        <v>14</v>
      </c>
      <c r="J22" s="37"/>
      <c r="K22" s="37"/>
      <c r="L22" s="37"/>
      <c r="M22" s="37"/>
      <c r="N22" s="37" t="s">
        <v>16</v>
      </c>
      <c r="O22" s="13" t="s">
        <v>41</v>
      </c>
      <c r="P22" s="11" t="s">
        <v>21</v>
      </c>
      <c r="Q22" s="11">
        <v>1</v>
      </c>
      <c r="R22" s="11">
        <v>1</v>
      </c>
      <c r="S22" s="11">
        <v>1</v>
      </c>
      <c r="T22" s="11">
        <v>1</v>
      </c>
      <c r="U22" s="11">
        <v>1</v>
      </c>
      <c r="V22" s="11">
        <v>1</v>
      </c>
      <c r="W22" s="11">
        <v>1</v>
      </c>
      <c r="X22" s="11">
        <v>1</v>
      </c>
      <c r="Y22" s="11">
        <v>1</v>
      </c>
      <c r="Z22" s="11">
        <v>1</v>
      </c>
      <c r="AA22" s="11">
        <v>1</v>
      </c>
      <c r="AB22" s="11">
        <v>1</v>
      </c>
      <c r="AC22" s="11">
        <v>1</v>
      </c>
    </row>
    <row r="23" spans="1:29" ht="19.95" customHeight="1" x14ac:dyDescent="0.25">
      <c r="A23" s="56">
        <v>7869489770</v>
      </c>
      <c r="B23" s="37" t="s">
        <v>63</v>
      </c>
      <c r="C23" s="57" t="s">
        <v>62</v>
      </c>
      <c r="D23" s="37" t="s">
        <v>61</v>
      </c>
      <c r="E23" s="37" t="s">
        <v>60</v>
      </c>
      <c r="F23" s="56" t="s">
        <v>59</v>
      </c>
      <c r="G23" s="37" t="s">
        <v>64</v>
      </c>
      <c r="H23" s="37" t="s">
        <v>13</v>
      </c>
      <c r="I23" s="37" t="s">
        <v>14</v>
      </c>
      <c r="J23" s="37"/>
      <c r="K23" s="37"/>
      <c r="L23" s="37"/>
      <c r="M23" s="37"/>
      <c r="N23" s="37" t="s">
        <v>16</v>
      </c>
      <c r="O23" s="13" t="s">
        <v>42</v>
      </c>
      <c r="P23" s="11" t="s">
        <v>21</v>
      </c>
      <c r="Q23" s="11">
        <v>1</v>
      </c>
      <c r="R23" s="11">
        <v>1</v>
      </c>
      <c r="S23" s="11">
        <v>1</v>
      </c>
      <c r="T23" s="11">
        <v>1</v>
      </c>
      <c r="U23" s="11">
        <v>1</v>
      </c>
      <c r="V23" s="11">
        <v>1</v>
      </c>
      <c r="W23" s="11">
        <v>1</v>
      </c>
      <c r="X23" s="11">
        <v>1</v>
      </c>
      <c r="Y23" s="11">
        <v>1</v>
      </c>
      <c r="Z23" s="11">
        <v>1</v>
      </c>
      <c r="AA23" s="11">
        <v>1</v>
      </c>
      <c r="AB23" s="11">
        <v>1</v>
      </c>
      <c r="AC23" s="11">
        <v>1</v>
      </c>
    </row>
    <row r="24" spans="1:29" ht="19.95" customHeight="1" x14ac:dyDescent="0.25">
      <c r="A24" s="56">
        <v>7869489770</v>
      </c>
      <c r="B24" s="37" t="s">
        <v>63</v>
      </c>
      <c r="C24" s="57" t="s">
        <v>62</v>
      </c>
      <c r="D24" s="37" t="s">
        <v>61</v>
      </c>
      <c r="E24" s="37" t="s">
        <v>60</v>
      </c>
      <c r="F24" s="56" t="s">
        <v>59</v>
      </c>
      <c r="G24" s="37" t="s">
        <v>64</v>
      </c>
      <c r="H24" s="37" t="s">
        <v>13</v>
      </c>
      <c r="I24" s="37" t="s">
        <v>14</v>
      </c>
      <c r="J24" s="37"/>
      <c r="K24" s="37"/>
      <c r="L24" s="37"/>
      <c r="M24" s="37"/>
      <c r="N24" s="37" t="s">
        <v>16</v>
      </c>
      <c r="O24" s="13" t="s">
        <v>48</v>
      </c>
      <c r="P24" s="11" t="s">
        <v>21</v>
      </c>
      <c r="Q24" s="11">
        <v>1</v>
      </c>
      <c r="R24" s="11">
        <v>1</v>
      </c>
      <c r="S24" s="11">
        <v>1</v>
      </c>
      <c r="T24" s="11">
        <v>1</v>
      </c>
      <c r="U24" s="11">
        <v>1</v>
      </c>
      <c r="V24" s="11">
        <v>1</v>
      </c>
      <c r="W24" s="11">
        <v>1</v>
      </c>
      <c r="X24" s="11">
        <v>1</v>
      </c>
      <c r="Y24" s="11">
        <v>1</v>
      </c>
      <c r="Z24" s="11">
        <v>1</v>
      </c>
      <c r="AA24" s="11">
        <v>1</v>
      </c>
      <c r="AB24" s="11">
        <v>1</v>
      </c>
      <c r="AC24" s="11">
        <v>1</v>
      </c>
    </row>
    <row r="25" spans="1:29" ht="19.95" customHeight="1" x14ac:dyDescent="0.25">
      <c r="A25" s="56">
        <v>7869489770</v>
      </c>
      <c r="B25" s="37" t="s">
        <v>63</v>
      </c>
      <c r="C25" s="57" t="s">
        <v>62</v>
      </c>
      <c r="D25" s="37" t="s">
        <v>61</v>
      </c>
      <c r="E25" s="37" t="s">
        <v>60</v>
      </c>
      <c r="F25" s="56" t="s">
        <v>59</v>
      </c>
      <c r="G25" s="37" t="s">
        <v>64</v>
      </c>
      <c r="H25" s="37" t="s">
        <v>13</v>
      </c>
      <c r="I25" s="37" t="s">
        <v>14</v>
      </c>
      <c r="J25" s="37"/>
      <c r="K25" s="37"/>
      <c r="L25" s="37"/>
      <c r="M25" s="37"/>
      <c r="N25" s="37" t="s">
        <v>16</v>
      </c>
      <c r="O25" s="13" t="s">
        <v>43</v>
      </c>
      <c r="P25" s="11" t="s">
        <v>21</v>
      </c>
      <c r="Q25" s="11">
        <v>1</v>
      </c>
      <c r="R25" s="11">
        <v>1</v>
      </c>
      <c r="S25" s="11">
        <v>1</v>
      </c>
      <c r="T25" s="11">
        <v>1</v>
      </c>
      <c r="U25" s="11">
        <v>1</v>
      </c>
      <c r="V25" s="11">
        <v>1</v>
      </c>
      <c r="W25" s="11">
        <v>1</v>
      </c>
      <c r="X25" s="11">
        <v>1</v>
      </c>
      <c r="Y25" s="11">
        <v>1</v>
      </c>
      <c r="Z25" s="11">
        <v>1</v>
      </c>
      <c r="AA25" s="11">
        <v>1</v>
      </c>
      <c r="AB25" s="11">
        <v>1</v>
      </c>
      <c r="AC25" s="11">
        <v>1</v>
      </c>
    </row>
    <row r="26" spans="1:29" ht="19.95" customHeight="1" x14ac:dyDescent="0.25">
      <c r="A26" s="56">
        <v>7869489770</v>
      </c>
      <c r="B26" s="37" t="s">
        <v>63</v>
      </c>
      <c r="C26" s="57" t="s">
        <v>62</v>
      </c>
      <c r="D26" s="37" t="s">
        <v>61</v>
      </c>
      <c r="E26" s="37" t="s">
        <v>60</v>
      </c>
      <c r="F26" s="56" t="s">
        <v>59</v>
      </c>
      <c r="G26" s="37" t="s">
        <v>64</v>
      </c>
      <c r="H26" s="37" t="s">
        <v>13</v>
      </c>
      <c r="I26" s="37" t="s">
        <v>14</v>
      </c>
      <c r="J26" s="37"/>
      <c r="K26" s="37"/>
      <c r="L26" s="37"/>
      <c r="M26" s="37"/>
      <c r="N26" s="37" t="s">
        <v>16</v>
      </c>
      <c r="O26" s="13" t="s">
        <v>44</v>
      </c>
      <c r="P26" s="11" t="s">
        <v>21</v>
      </c>
      <c r="Q26" s="11">
        <v>1</v>
      </c>
      <c r="R26" s="11">
        <v>1</v>
      </c>
      <c r="S26" s="11">
        <v>1</v>
      </c>
      <c r="T26" s="11">
        <v>1</v>
      </c>
      <c r="U26" s="11">
        <v>1</v>
      </c>
      <c r="V26" s="11">
        <v>1</v>
      </c>
      <c r="W26" s="11">
        <v>1</v>
      </c>
      <c r="X26" s="11">
        <v>1</v>
      </c>
      <c r="Y26" s="11">
        <v>1</v>
      </c>
      <c r="Z26" s="11">
        <v>1</v>
      </c>
      <c r="AA26" s="11">
        <v>1</v>
      </c>
      <c r="AB26" s="11">
        <v>1</v>
      </c>
      <c r="AC26" s="11">
        <v>1</v>
      </c>
    </row>
    <row r="27" spans="1:29" ht="19.95" customHeight="1" x14ac:dyDescent="0.25">
      <c r="A27" s="56">
        <v>7869489770</v>
      </c>
      <c r="B27" s="37" t="s">
        <v>63</v>
      </c>
      <c r="C27" s="57" t="s">
        <v>62</v>
      </c>
      <c r="D27" s="37" t="s">
        <v>61</v>
      </c>
      <c r="E27" s="37" t="s">
        <v>60</v>
      </c>
      <c r="F27" s="56" t="s">
        <v>59</v>
      </c>
      <c r="G27" s="37" t="s">
        <v>64</v>
      </c>
      <c r="H27" s="37" t="s">
        <v>13</v>
      </c>
      <c r="I27" s="37" t="s">
        <v>14</v>
      </c>
      <c r="J27" s="37"/>
      <c r="K27" s="37"/>
      <c r="L27" s="37"/>
      <c r="M27" s="37"/>
      <c r="N27" s="37" t="s">
        <v>16</v>
      </c>
      <c r="O27" s="13" t="s">
        <v>45</v>
      </c>
      <c r="P27" s="11" t="s">
        <v>21</v>
      </c>
      <c r="Q27" s="11">
        <v>1</v>
      </c>
      <c r="R27" s="11">
        <v>1</v>
      </c>
      <c r="S27" s="11">
        <v>1</v>
      </c>
      <c r="T27" s="11">
        <v>1</v>
      </c>
      <c r="U27" s="11">
        <v>1</v>
      </c>
      <c r="V27" s="11">
        <v>1</v>
      </c>
      <c r="W27" s="11">
        <v>1</v>
      </c>
      <c r="X27" s="11">
        <v>1</v>
      </c>
      <c r="Y27" s="11">
        <v>1</v>
      </c>
      <c r="Z27" s="11">
        <v>1</v>
      </c>
      <c r="AA27" s="11">
        <v>1</v>
      </c>
      <c r="AB27" s="11">
        <v>1</v>
      </c>
      <c r="AC27" s="11">
        <v>1</v>
      </c>
    </row>
    <row r="28" spans="1:29" ht="19.95" customHeight="1" x14ac:dyDescent="0.25">
      <c r="A28" s="56">
        <v>7869489770</v>
      </c>
      <c r="B28" s="37" t="s">
        <v>63</v>
      </c>
      <c r="C28" s="57" t="s">
        <v>62</v>
      </c>
      <c r="D28" s="37" t="s">
        <v>61</v>
      </c>
      <c r="E28" s="37" t="s">
        <v>60</v>
      </c>
      <c r="F28" s="56" t="s">
        <v>59</v>
      </c>
      <c r="G28" s="37" t="s">
        <v>64</v>
      </c>
      <c r="H28" s="37" t="s">
        <v>13</v>
      </c>
      <c r="I28" s="37" t="s">
        <v>14</v>
      </c>
      <c r="J28" s="37"/>
      <c r="K28" s="37"/>
      <c r="L28" s="37"/>
      <c r="M28" s="37"/>
      <c r="N28" s="37" t="s">
        <v>16</v>
      </c>
      <c r="O28" s="13" t="s">
        <v>46</v>
      </c>
      <c r="P28" s="11" t="s">
        <v>21</v>
      </c>
      <c r="Q28" s="11">
        <v>1</v>
      </c>
      <c r="R28" s="11">
        <v>1</v>
      </c>
      <c r="S28" s="11">
        <v>1</v>
      </c>
      <c r="T28" s="11">
        <v>1</v>
      </c>
      <c r="U28" s="11">
        <v>1</v>
      </c>
      <c r="V28" s="11">
        <v>1</v>
      </c>
      <c r="W28" s="11">
        <v>1</v>
      </c>
      <c r="X28" s="11">
        <v>1</v>
      </c>
      <c r="Y28" s="11">
        <v>1</v>
      </c>
      <c r="Z28" s="11">
        <v>1</v>
      </c>
      <c r="AA28" s="11">
        <v>1</v>
      </c>
      <c r="AB28" s="11">
        <v>1</v>
      </c>
      <c r="AC28" s="11">
        <v>1</v>
      </c>
    </row>
    <row r="29" spans="1:29" ht="19.95" customHeight="1" x14ac:dyDescent="0.25">
      <c r="A29" s="56">
        <v>7869489770</v>
      </c>
      <c r="B29" s="37" t="s">
        <v>63</v>
      </c>
      <c r="C29" s="57" t="s">
        <v>62</v>
      </c>
      <c r="D29" s="37" t="s">
        <v>61</v>
      </c>
      <c r="E29" s="37" t="s">
        <v>60</v>
      </c>
      <c r="F29" s="56" t="s">
        <v>59</v>
      </c>
      <c r="G29" s="37" t="s">
        <v>64</v>
      </c>
      <c r="H29" s="37" t="s">
        <v>13</v>
      </c>
      <c r="I29" s="37" t="s">
        <v>14</v>
      </c>
      <c r="J29" s="37"/>
      <c r="K29" s="37"/>
      <c r="L29" s="37"/>
      <c r="M29" s="37"/>
      <c r="N29" s="37" t="s">
        <v>16</v>
      </c>
      <c r="O29" s="13" t="s">
        <v>47</v>
      </c>
      <c r="P29" s="11" t="s">
        <v>21</v>
      </c>
      <c r="Q29" s="11">
        <v>1</v>
      </c>
      <c r="R29" s="11">
        <v>1</v>
      </c>
      <c r="S29" s="11">
        <v>1</v>
      </c>
      <c r="T29" s="11">
        <v>1</v>
      </c>
      <c r="U29" s="11">
        <v>1</v>
      </c>
      <c r="V29" s="11">
        <v>1</v>
      </c>
      <c r="W29" s="11">
        <v>1</v>
      </c>
      <c r="X29" s="11">
        <v>1</v>
      </c>
      <c r="Y29" s="11">
        <v>1</v>
      </c>
      <c r="Z29" s="11">
        <v>1</v>
      </c>
      <c r="AA29" s="11">
        <v>1</v>
      </c>
      <c r="AB29" s="11">
        <v>1</v>
      </c>
      <c r="AC29" s="11">
        <v>1</v>
      </c>
    </row>
    <row r="30" spans="1:29" ht="19.95" customHeight="1" x14ac:dyDescent="0.25">
      <c r="A30" s="56">
        <v>7869489770</v>
      </c>
      <c r="B30" s="37" t="s">
        <v>63</v>
      </c>
      <c r="C30" s="57" t="s">
        <v>62</v>
      </c>
      <c r="D30" s="37" t="s">
        <v>61</v>
      </c>
      <c r="E30" s="37" t="s">
        <v>60</v>
      </c>
      <c r="F30" s="56" t="s">
        <v>59</v>
      </c>
      <c r="G30" s="37" t="s">
        <v>64</v>
      </c>
      <c r="H30" s="37" t="s">
        <v>13</v>
      </c>
      <c r="I30" s="37" t="s">
        <v>14</v>
      </c>
      <c r="J30" s="37"/>
      <c r="K30" s="37"/>
      <c r="L30" s="37"/>
      <c r="M30" s="37"/>
      <c r="N30" s="37" t="s">
        <v>16</v>
      </c>
      <c r="O30" s="13" t="s">
        <v>49</v>
      </c>
      <c r="P30" s="11" t="s">
        <v>21</v>
      </c>
      <c r="Q30" s="11">
        <v>1</v>
      </c>
      <c r="R30" s="11">
        <v>1</v>
      </c>
      <c r="S30" s="11">
        <v>1</v>
      </c>
      <c r="T30" s="11">
        <v>1</v>
      </c>
      <c r="U30" s="11">
        <v>1</v>
      </c>
      <c r="V30" s="11">
        <v>1</v>
      </c>
      <c r="W30" s="11">
        <v>1</v>
      </c>
      <c r="X30" s="11">
        <v>1</v>
      </c>
      <c r="Y30" s="11">
        <v>1</v>
      </c>
      <c r="Z30" s="11">
        <v>1</v>
      </c>
      <c r="AA30" s="11">
        <v>1</v>
      </c>
      <c r="AB30" s="11">
        <v>1</v>
      </c>
      <c r="AC30" s="11">
        <v>1</v>
      </c>
    </row>
    <row r="31" spans="1:29" ht="19.95" customHeight="1" x14ac:dyDescent="0.25">
      <c r="A31" s="56">
        <v>7869489770</v>
      </c>
      <c r="B31" s="37" t="s">
        <v>63</v>
      </c>
      <c r="C31" s="57" t="s">
        <v>62</v>
      </c>
      <c r="D31" s="37" t="s">
        <v>61</v>
      </c>
      <c r="E31" s="37" t="s">
        <v>60</v>
      </c>
      <c r="F31" s="56" t="s">
        <v>59</v>
      </c>
      <c r="G31" s="37" t="s">
        <v>64</v>
      </c>
      <c r="H31" s="37" t="s">
        <v>13</v>
      </c>
      <c r="I31" s="37" t="s">
        <v>14</v>
      </c>
      <c r="J31" s="37"/>
      <c r="K31" s="37"/>
      <c r="L31" s="37"/>
      <c r="M31" s="37"/>
      <c r="N31" s="37" t="s">
        <v>16</v>
      </c>
      <c r="O31" s="13" t="s">
        <v>57</v>
      </c>
      <c r="P31" s="11" t="s">
        <v>21</v>
      </c>
      <c r="Q31" s="11">
        <v>1</v>
      </c>
      <c r="R31" s="11">
        <v>1</v>
      </c>
      <c r="S31" s="11">
        <v>1</v>
      </c>
      <c r="T31" s="11">
        <v>1</v>
      </c>
      <c r="U31" s="11">
        <v>1</v>
      </c>
      <c r="V31" s="11">
        <v>1</v>
      </c>
      <c r="W31" s="11">
        <v>1</v>
      </c>
      <c r="X31" s="11">
        <v>1</v>
      </c>
      <c r="Y31" s="11">
        <v>1</v>
      </c>
      <c r="Z31" s="11">
        <v>1</v>
      </c>
      <c r="AA31" s="11">
        <v>1</v>
      </c>
      <c r="AB31" s="11">
        <v>1</v>
      </c>
      <c r="AC31" s="11">
        <v>1</v>
      </c>
    </row>
  </sheetData>
  <hyperlinks>
    <hyperlink ref="C2" r:id="rId1" xr:uid="{4E3645EF-B245-4F6F-80A5-8F3269F73677}"/>
    <hyperlink ref="C3" r:id="rId2" xr:uid="{F24EF411-8E57-4C17-8922-66244EA63836}"/>
    <hyperlink ref="C4" r:id="rId3" xr:uid="{DB8D59FF-67BA-444F-B483-D63654DDC246}"/>
    <hyperlink ref="C5" r:id="rId4" xr:uid="{152A3500-3BC4-45A9-A770-8FC3CE47E75A}"/>
    <hyperlink ref="C6" r:id="rId5" xr:uid="{71C5916E-2CB8-4720-9F7E-1DB457A019F2}"/>
    <hyperlink ref="C7" r:id="rId6" xr:uid="{0F923A54-C8A1-4CD6-BEDC-754864BDC38D}"/>
    <hyperlink ref="C8" r:id="rId7" xr:uid="{72C1853C-663E-4D75-B5D4-32E211EFB0F0}"/>
    <hyperlink ref="C9" r:id="rId8" xr:uid="{477D3AA0-8683-4E9B-B30B-3E4886B6E38A}"/>
    <hyperlink ref="C10" r:id="rId9" xr:uid="{D3C3A6B2-7247-4BF0-A890-650A5A0E810E}"/>
    <hyperlink ref="C11" r:id="rId10" xr:uid="{13FC71A9-9FD1-40C2-95AE-57BD96901A1E}"/>
    <hyperlink ref="C12" r:id="rId11" xr:uid="{6EA63450-5E7F-45F0-9C2C-33CBFBABEDE1}"/>
    <hyperlink ref="C13" r:id="rId12" xr:uid="{9343E737-4789-4E5B-BCB1-B8F065F90410}"/>
    <hyperlink ref="C14" r:id="rId13" xr:uid="{5D39BA96-0E1C-465A-A86C-BA8332384FB7}"/>
    <hyperlink ref="C15" r:id="rId14" xr:uid="{D6DB15D7-7D25-451E-9039-439AC844F037}"/>
    <hyperlink ref="C16" r:id="rId15" xr:uid="{C95D005C-4B89-4A88-8052-A2B0451C686D}"/>
    <hyperlink ref="C17" r:id="rId16" xr:uid="{A73CFD2B-733B-4F23-8F67-4FFE4E80112C}"/>
    <hyperlink ref="C18" r:id="rId17" xr:uid="{8EC5E319-9B39-4BAB-8978-73D2DA5D5051}"/>
    <hyperlink ref="C19" r:id="rId18" xr:uid="{85010B40-2FDE-4E82-9448-7FCEC6E33782}"/>
    <hyperlink ref="C20" r:id="rId19" xr:uid="{4F0D6B13-6C1C-457A-8549-7EA7915D0320}"/>
    <hyperlink ref="C21" r:id="rId20" xr:uid="{BC545ACC-A20E-4D85-BE9F-9633770D7C6F}"/>
    <hyperlink ref="C22" r:id="rId21" xr:uid="{0C575E5A-4D70-4E2E-BC93-4FC885F3FA81}"/>
    <hyperlink ref="C23" r:id="rId22" xr:uid="{1C1481A4-A75B-4A45-A38B-C9987A361135}"/>
    <hyperlink ref="C24" r:id="rId23" xr:uid="{8FA6A83B-3EC2-4679-9FF2-5FC61A9B5B05}"/>
    <hyperlink ref="C25" r:id="rId24" xr:uid="{DB15DEF2-7E95-4A34-90E5-AF923D6E8C8D}"/>
    <hyperlink ref="C26" r:id="rId25" xr:uid="{39C165A4-589B-4C9B-8F11-B129C372FE27}"/>
    <hyperlink ref="C27" r:id="rId26" xr:uid="{AF8E4FB4-EA49-485A-A33C-BC61423C62C9}"/>
    <hyperlink ref="C28" r:id="rId27" xr:uid="{7A6EB73F-0EF3-4AEF-A8E5-9E9E85CBA333}"/>
    <hyperlink ref="C29" r:id="rId28" xr:uid="{A8EF89C6-D2A7-44DD-B4C0-E932D072E538}"/>
    <hyperlink ref="C30" r:id="rId29" xr:uid="{0646641A-1B5A-4F8A-8603-7E636C1FE7F0}"/>
    <hyperlink ref="C31" r:id="rId30" xr:uid="{4CA0AB44-D548-41E2-B968-7028F5A1DAEB}"/>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285FE-F83C-430A-94D2-44B63FFBDBD8}">
  <dimension ref="A1:AC29"/>
  <sheetViews>
    <sheetView workbookViewId="0">
      <selection activeCell="F2" sqref="F2"/>
    </sheetView>
  </sheetViews>
  <sheetFormatPr defaultRowHeight="13.2" x14ac:dyDescent="0.25"/>
  <cols>
    <col min="1" max="1" width="12.109375" bestFit="1" customWidth="1"/>
    <col min="2" max="2" width="16.109375" bestFit="1" customWidth="1"/>
    <col min="3" max="3" width="34.88671875" bestFit="1" customWidth="1"/>
    <col min="4" max="4" width="15.33203125" bestFit="1" customWidth="1"/>
    <col min="5" max="5" width="11.21875" bestFit="1" customWidth="1"/>
    <col min="6" max="6" width="10.21875" bestFit="1" customWidth="1"/>
    <col min="7" max="7" width="12.44140625" bestFit="1" customWidth="1"/>
    <col min="9" max="9" width="12.6640625" bestFit="1" customWidth="1"/>
    <col min="10" max="13" width="11.44140625" bestFit="1" customWidth="1"/>
    <col min="14" max="14" width="14.5546875" bestFit="1" customWidth="1"/>
    <col min="15" max="15" width="63.77734375" customWidth="1"/>
    <col min="16" max="16" width="21.77734375" bestFit="1" customWidth="1"/>
    <col min="17" max="17" width="14.109375" bestFit="1" customWidth="1"/>
  </cols>
  <sheetData>
    <row r="1" spans="1:29" ht="41.4" x14ac:dyDescent="0.25">
      <c r="A1" s="35" t="s">
        <v>0</v>
      </c>
      <c r="B1" s="35" t="s">
        <v>1</v>
      </c>
      <c r="C1" s="35" t="s">
        <v>2</v>
      </c>
      <c r="D1" s="35" t="s">
        <v>3</v>
      </c>
      <c r="E1" s="35" t="s">
        <v>4</v>
      </c>
      <c r="F1" s="35" t="s">
        <v>5</v>
      </c>
      <c r="G1" s="35" t="s">
        <v>6</v>
      </c>
      <c r="H1" s="35" t="s">
        <v>7</v>
      </c>
      <c r="I1" s="58" t="s">
        <v>8</v>
      </c>
      <c r="J1" s="35" t="s">
        <v>9</v>
      </c>
      <c r="K1" s="35" t="s">
        <v>10</v>
      </c>
      <c r="L1" s="35" t="s">
        <v>126</v>
      </c>
      <c r="M1" s="35" t="s">
        <v>127</v>
      </c>
      <c r="N1" s="35" t="s">
        <v>11</v>
      </c>
      <c r="O1" s="35" t="s">
        <v>654</v>
      </c>
      <c r="P1" s="35" t="s">
        <v>655</v>
      </c>
      <c r="Q1" s="35" t="s">
        <v>656</v>
      </c>
      <c r="R1" s="35" t="s">
        <v>657</v>
      </c>
      <c r="S1" s="35" t="s">
        <v>658</v>
      </c>
      <c r="T1" s="35" t="s">
        <v>659</v>
      </c>
      <c r="U1" s="35" t="s">
        <v>660</v>
      </c>
      <c r="V1" s="35" t="s">
        <v>661</v>
      </c>
      <c r="W1" s="35" t="s">
        <v>662</v>
      </c>
      <c r="X1" s="35" t="s">
        <v>663</v>
      </c>
      <c r="Y1" s="35" t="s">
        <v>664</v>
      </c>
      <c r="Z1" s="35" t="s">
        <v>665</v>
      </c>
      <c r="AA1" s="35" t="s">
        <v>666</v>
      </c>
      <c r="AB1" s="35" t="s">
        <v>667</v>
      </c>
      <c r="AC1" s="35" t="s">
        <v>668</v>
      </c>
    </row>
    <row r="2" spans="1:29" ht="30" customHeight="1" x14ac:dyDescent="0.25">
      <c r="A2" s="38">
        <v>9329736432</v>
      </c>
      <c r="B2" s="56" t="s">
        <v>954</v>
      </c>
      <c r="C2" s="43" t="s">
        <v>955</v>
      </c>
      <c r="D2" s="56" t="s">
        <v>956</v>
      </c>
      <c r="E2" s="56" t="s">
        <v>104</v>
      </c>
      <c r="F2" s="56" t="s">
        <v>59</v>
      </c>
      <c r="G2" s="56" t="s">
        <v>769</v>
      </c>
      <c r="H2" s="56" t="s">
        <v>61</v>
      </c>
      <c r="I2" s="56" t="s">
        <v>63</v>
      </c>
      <c r="J2" s="56"/>
      <c r="K2" s="56"/>
      <c r="L2" s="56"/>
      <c r="M2" s="56"/>
      <c r="N2" s="56" t="s">
        <v>16</v>
      </c>
      <c r="O2" s="114" t="s">
        <v>926</v>
      </c>
      <c r="P2" s="56" t="s">
        <v>21</v>
      </c>
      <c r="Q2" s="107">
        <v>1</v>
      </c>
      <c r="R2" s="107">
        <v>1</v>
      </c>
      <c r="S2" s="107">
        <v>1</v>
      </c>
      <c r="T2" s="107">
        <v>1</v>
      </c>
      <c r="U2" s="107">
        <v>1</v>
      </c>
      <c r="V2" s="107">
        <v>1</v>
      </c>
      <c r="W2" s="107">
        <v>1</v>
      </c>
      <c r="X2" s="107">
        <v>1</v>
      </c>
      <c r="Y2" s="107">
        <v>1</v>
      </c>
      <c r="Z2" s="107">
        <v>1</v>
      </c>
      <c r="AA2" s="107">
        <v>1</v>
      </c>
      <c r="AB2" s="107">
        <v>1</v>
      </c>
      <c r="AC2" s="107">
        <v>1</v>
      </c>
    </row>
    <row r="3" spans="1:29" ht="30" customHeight="1" x14ac:dyDescent="0.25">
      <c r="A3" s="38">
        <v>9329736432</v>
      </c>
      <c r="B3" s="56" t="s">
        <v>954</v>
      </c>
      <c r="C3" s="43" t="s">
        <v>955</v>
      </c>
      <c r="D3" s="56" t="s">
        <v>956</v>
      </c>
      <c r="E3" s="56" t="s">
        <v>104</v>
      </c>
      <c r="F3" s="56" t="s">
        <v>59</v>
      </c>
      <c r="G3" s="56" t="s">
        <v>769</v>
      </c>
      <c r="H3" s="56" t="s">
        <v>61</v>
      </c>
      <c r="I3" s="56" t="s">
        <v>63</v>
      </c>
      <c r="J3" s="56"/>
      <c r="K3" s="56"/>
      <c r="L3" s="56"/>
      <c r="M3" s="56"/>
      <c r="N3" s="56" t="s">
        <v>16</v>
      </c>
      <c r="O3" s="114" t="s">
        <v>927</v>
      </c>
      <c r="P3" s="56" t="s">
        <v>21</v>
      </c>
      <c r="Q3" s="107">
        <v>1</v>
      </c>
      <c r="R3" s="107">
        <v>1</v>
      </c>
      <c r="S3" s="107">
        <v>1</v>
      </c>
      <c r="T3" s="107">
        <v>1</v>
      </c>
      <c r="U3" s="107">
        <v>1</v>
      </c>
      <c r="V3" s="107">
        <v>1</v>
      </c>
      <c r="W3" s="107">
        <v>1</v>
      </c>
      <c r="X3" s="107">
        <v>1</v>
      </c>
      <c r="Y3" s="107">
        <v>1</v>
      </c>
      <c r="Z3" s="107">
        <v>1</v>
      </c>
      <c r="AA3" s="107">
        <v>1</v>
      </c>
      <c r="AB3" s="107">
        <v>1</v>
      </c>
      <c r="AC3" s="107">
        <v>1</v>
      </c>
    </row>
    <row r="4" spans="1:29" ht="30" customHeight="1" x14ac:dyDescent="0.25">
      <c r="A4" s="38">
        <v>9329736432</v>
      </c>
      <c r="B4" s="56" t="s">
        <v>954</v>
      </c>
      <c r="C4" s="43" t="s">
        <v>955</v>
      </c>
      <c r="D4" s="56" t="s">
        <v>956</v>
      </c>
      <c r="E4" s="56" t="s">
        <v>104</v>
      </c>
      <c r="F4" s="56" t="s">
        <v>59</v>
      </c>
      <c r="G4" s="56" t="s">
        <v>769</v>
      </c>
      <c r="H4" s="56" t="s">
        <v>61</v>
      </c>
      <c r="I4" s="56" t="s">
        <v>63</v>
      </c>
      <c r="J4" s="56"/>
      <c r="K4" s="56"/>
      <c r="L4" s="56"/>
      <c r="M4" s="56"/>
      <c r="N4" s="56" t="s">
        <v>16</v>
      </c>
      <c r="O4" s="114" t="s">
        <v>928</v>
      </c>
      <c r="P4" s="56" t="s">
        <v>21</v>
      </c>
      <c r="Q4" s="107">
        <v>1</v>
      </c>
      <c r="R4" s="107">
        <v>1</v>
      </c>
      <c r="S4" s="107">
        <v>1</v>
      </c>
      <c r="T4" s="107">
        <v>1</v>
      </c>
      <c r="U4" s="107">
        <v>1</v>
      </c>
      <c r="V4" s="107">
        <v>1</v>
      </c>
      <c r="W4" s="107">
        <v>1</v>
      </c>
      <c r="X4" s="107">
        <v>1</v>
      </c>
      <c r="Y4" s="107">
        <v>1</v>
      </c>
      <c r="Z4" s="107">
        <v>1</v>
      </c>
      <c r="AA4" s="107">
        <v>1</v>
      </c>
      <c r="AB4" s="107">
        <v>1</v>
      </c>
      <c r="AC4" s="107">
        <v>1</v>
      </c>
    </row>
    <row r="5" spans="1:29" ht="30" customHeight="1" x14ac:dyDescent="0.25">
      <c r="A5" s="38">
        <v>9329736432</v>
      </c>
      <c r="B5" s="56" t="s">
        <v>954</v>
      </c>
      <c r="C5" s="43" t="s">
        <v>955</v>
      </c>
      <c r="D5" s="56" t="s">
        <v>956</v>
      </c>
      <c r="E5" s="56" t="s">
        <v>104</v>
      </c>
      <c r="F5" s="56" t="s">
        <v>59</v>
      </c>
      <c r="G5" s="56" t="s">
        <v>769</v>
      </c>
      <c r="H5" s="56" t="s">
        <v>61</v>
      </c>
      <c r="I5" s="56" t="s">
        <v>63</v>
      </c>
      <c r="J5" s="56"/>
      <c r="K5" s="56"/>
      <c r="L5" s="56"/>
      <c r="M5" s="56"/>
      <c r="N5" s="56" t="s">
        <v>16</v>
      </c>
      <c r="O5" s="114" t="s">
        <v>929</v>
      </c>
      <c r="P5" s="56" t="s">
        <v>21</v>
      </c>
      <c r="Q5" s="107">
        <v>1</v>
      </c>
      <c r="R5" s="107">
        <v>1</v>
      </c>
      <c r="S5" s="107">
        <v>1</v>
      </c>
      <c r="T5" s="107">
        <v>1</v>
      </c>
      <c r="U5" s="107">
        <v>1</v>
      </c>
      <c r="V5" s="107">
        <v>1</v>
      </c>
      <c r="W5" s="107">
        <v>1</v>
      </c>
      <c r="X5" s="107">
        <v>1</v>
      </c>
      <c r="Y5" s="107">
        <v>1</v>
      </c>
      <c r="Z5" s="107">
        <v>1</v>
      </c>
      <c r="AA5" s="107">
        <v>1</v>
      </c>
      <c r="AB5" s="107">
        <v>1</v>
      </c>
      <c r="AC5" s="107">
        <v>1</v>
      </c>
    </row>
    <row r="6" spans="1:29" ht="30" customHeight="1" x14ac:dyDescent="0.25">
      <c r="A6" s="38">
        <v>9329736432</v>
      </c>
      <c r="B6" s="56" t="s">
        <v>954</v>
      </c>
      <c r="C6" s="43" t="s">
        <v>955</v>
      </c>
      <c r="D6" s="56" t="s">
        <v>956</v>
      </c>
      <c r="E6" s="56" t="s">
        <v>104</v>
      </c>
      <c r="F6" s="56" t="s">
        <v>59</v>
      </c>
      <c r="G6" s="56" t="s">
        <v>769</v>
      </c>
      <c r="H6" s="56" t="s">
        <v>61</v>
      </c>
      <c r="I6" s="56" t="s">
        <v>63</v>
      </c>
      <c r="J6" s="56"/>
      <c r="K6" s="56"/>
      <c r="L6" s="56"/>
      <c r="M6" s="56"/>
      <c r="N6" s="56" t="s">
        <v>16</v>
      </c>
      <c r="O6" s="114" t="s">
        <v>930</v>
      </c>
      <c r="P6" s="56" t="s">
        <v>21</v>
      </c>
      <c r="Q6" s="107">
        <v>1</v>
      </c>
      <c r="R6" s="107">
        <v>1</v>
      </c>
      <c r="S6" s="107">
        <v>1</v>
      </c>
      <c r="T6" s="107">
        <v>1</v>
      </c>
      <c r="U6" s="107">
        <v>1</v>
      </c>
      <c r="V6" s="107">
        <v>1</v>
      </c>
      <c r="W6" s="107">
        <v>1</v>
      </c>
      <c r="X6" s="107">
        <v>1</v>
      </c>
      <c r="Y6" s="107">
        <v>1</v>
      </c>
      <c r="Z6" s="107">
        <v>1</v>
      </c>
      <c r="AA6" s="107">
        <v>1</v>
      </c>
      <c r="AB6" s="107">
        <v>1</v>
      </c>
      <c r="AC6" s="107">
        <v>1</v>
      </c>
    </row>
    <row r="7" spans="1:29" ht="30" customHeight="1" x14ac:dyDescent="0.25">
      <c r="A7" s="38">
        <v>9329736432</v>
      </c>
      <c r="B7" s="56" t="s">
        <v>954</v>
      </c>
      <c r="C7" s="43" t="s">
        <v>955</v>
      </c>
      <c r="D7" s="56" t="s">
        <v>956</v>
      </c>
      <c r="E7" s="56" t="s">
        <v>104</v>
      </c>
      <c r="F7" s="56" t="s">
        <v>59</v>
      </c>
      <c r="G7" s="56" t="s">
        <v>769</v>
      </c>
      <c r="H7" s="56" t="s">
        <v>61</v>
      </c>
      <c r="I7" s="56" t="s">
        <v>63</v>
      </c>
      <c r="J7" s="56"/>
      <c r="K7" s="56"/>
      <c r="L7" s="56"/>
      <c r="M7" s="56"/>
      <c r="N7" s="56" t="s">
        <v>16</v>
      </c>
      <c r="O7" s="114" t="s">
        <v>931</v>
      </c>
      <c r="P7" s="56" t="s">
        <v>21</v>
      </c>
      <c r="Q7" s="107">
        <v>1</v>
      </c>
      <c r="R7" s="107">
        <v>1</v>
      </c>
      <c r="S7" s="107">
        <v>1</v>
      </c>
      <c r="T7" s="107">
        <v>1</v>
      </c>
      <c r="U7" s="107">
        <v>1</v>
      </c>
      <c r="V7" s="107">
        <v>1</v>
      </c>
      <c r="W7" s="107">
        <v>1</v>
      </c>
      <c r="X7" s="107">
        <v>1</v>
      </c>
      <c r="Y7" s="107">
        <v>1</v>
      </c>
      <c r="Z7" s="107">
        <v>1</v>
      </c>
      <c r="AA7" s="107">
        <v>1</v>
      </c>
      <c r="AB7" s="107">
        <v>1</v>
      </c>
      <c r="AC7" s="107">
        <v>1</v>
      </c>
    </row>
    <row r="8" spans="1:29" ht="30" customHeight="1" x14ac:dyDescent="0.25">
      <c r="A8" s="38">
        <v>9329736432</v>
      </c>
      <c r="B8" s="56" t="s">
        <v>954</v>
      </c>
      <c r="C8" s="43" t="s">
        <v>955</v>
      </c>
      <c r="D8" s="56" t="s">
        <v>956</v>
      </c>
      <c r="E8" s="56" t="s">
        <v>104</v>
      </c>
      <c r="F8" s="56" t="s">
        <v>59</v>
      </c>
      <c r="G8" s="56" t="s">
        <v>769</v>
      </c>
      <c r="H8" s="56" t="s">
        <v>61</v>
      </c>
      <c r="I8" s="56" t="s">
        <v>63</v>
      </c>
      <c r="J8" s="56"/>
      <c r="K8" s="56"/>
      <c r="L8" s="56"/>
      <c r="M8" s="56"/>
      <c r="N8" s="56" t="s">
        <v>16</v>
      </c>
      <c r="O8" s="114" t="s">
        <v>932</v>
      </c>
      <c r="P8" s="56" t="s">
        <v>21</v>
      </c>
      <c r="Q8" s="107">
        <v>1</v>
      </c>
      <c r="R8" s="107">
        <v>1</v>
      </c>
      <c r="S8" s="107">
        <v>1</v>
      </c>
      <c r="T8" s="107">
        <v>1</v>
      </c>
      <c r="U8" s="107">
        <v>1</v>
      </c>
      <c r="V8" s="107">
        <v>1</v>
      </c>
      <c r="W8" s="107">
        <v>1</v>
      </c>
      <c r="X8" s="107">
        <v>1</v>
      </c>
      <c r="Y8" s="107">
        <v>1</v>
      </c>
      <c r="Z8" s="107">
        <v>1</v>
      </c>
      <c r="AA8" s="107">
        <v>1</v>
      </c>
      <c r="AB8" s="107">
        <v>1</v>
      </c>
      <c r="AC8" s="107">
        <v>1</v>
      </c>
    </row>
    <row r="9" spans="1:29" ht="30" customHeight="1" x14ac:dyDescent="0.25">
      <c r="A9" s="38">
        <v>9329736432</v>
      </c>
      <c r="B9" s="56" t="s">
        <v>954</v>
      </c>
      <c r="C9" s="43" t="s">
        <v>955</v>
      </c>
      <c r="D9" s="56" t="s">
        <v>956</v>
      </c>
      <c r="E9" s="56" t="s">
        <v>104</v>
      </c>
      <c r="F9" s="56" t="s">
        <v>59</v>
      </c>
      <c r="G9" s="56" t="s">
        <v>769</v>
      </c>
      <c r="H9" s="56" t="s">
        <v>61</v>
      </c>
      <c r="I9" s="56" t="s">
        <v>63</v>
      </c>
      <c r="J9" s="56"/>
      <c r="K9" s="56"/>
      <c r="L9" s="56"/>
      <c r="M9" s="56"/>
      <c r="N9" s="56" t="s">
        <v>16</v>
      </c>
      <c r="O9" s="114" t="s">
        <v>933</v>
      </c>
      <c r="P9" s="56" t="s">
        <v>21</v>
      </c>
      <c r="Q9" s="107">
        <v>1</v>
      </c>
      <c r="R9" s="107">
        <v>1</v>
      </c>
      <c r="S9" s="107">
        <v>1</v>
      </c>
      <c r="T9" s="107">
        <v>1</v>
      </c>
      <c r="U9" s="107">
        <v>1</v>
      </c>
      <c r="V9" s="107">
        <v>1</v>
      </c>
      <c r="W9" s="107">
        <v>1</v>
      </c>
      <c r="X9" s="107">
        <v>1</v>
      </c>
      <c r="Y9" s="107">
        <v>1</v>
      </c>
      <c r="Z9" s="107">
        <v>1</v>
      </c>
      <c r="AA9" s="107">
        <v>1</v>
      </c>
      <c r="AB9" s="107">
        <v>1</v>
      </c>
      <c r="AC9" s="107">
        <v>1</v>
      </c>
    </row>
    <row r="10" spans="1:29" ht="30" customHeight="1" x14ac:dyDescent="0.25">
      <c r="A10" s="38">
        <v>9329736432</v>
      </c>
      <c r="B10" s="56" t="s">
        <v>954</v>
      </c>
      <c r="C10" s="43" t="s">
        <v>955</v>
      </c>
      <c r="D10" s="56" t="s">
        <v>956</v>
      </c>
      <c r="E10" s="56" t="s">
        <v>104</v>
      </c>
      <c r="F10" s="56" t="s">
        <v>59</v>
      </c>
      <c r="G10" s="56" t="s">
        <v>769</v>
      </c>
      <c r="H10" s="56" t="s">
        <v>61</v>
      </c>
      <c r="I10" s="56" t="s">
        <v>63</v>
      </c>
      <c r="J10" s="56"/>
      <c r="K10" s="56"/>
      <c r="L10" s="56"/>
      <c r="M10" s="56"/>
      <c r="N10" s="56" t="s">
        <v>16</v>
      </c>
      <c r="O10" s="114" t="s">
        <v>934</v>
      </c>
      <c r="P10" s="56" t="s">
        <v>21</v>
      </c>
      <c r="Q10" s="107">
        <v>1</v>
      </c>
      <c r="R10" s="107">
        <v>1</v>
      </c>
      <c r="S10" s="107">
        <v>1</v>
      </c>
      <c r="T10" s="107">
        <v>1</v>
      </c>
      <c r="U10" s="107">
        <v>1</v>
      </c>
      <c r="V10" s="107">
        <v>1</v>
      </c>
      <c r="W10" s="107">
        <v>1</v>
      </c>
      <c r="X10" s="107">
        <v>1</v>
      </c>
      <c r="Y10" s="107">
        <v>1</v>
      </c>
      <c r="Z10" s="107">
        <v>1</v>
      </c>
      <c r="AA10" s="107">
        <v>1</v>
      </c>
      <c r="AB10" s="107">
        <v>1</v>
      </c>
      <c r="AC10" s="107">
        <v>1</v>
      </c>
    </row>
    <row r="11" spans="1:29" ht="30" customHeight="1" x14ac:dyDescent="0.25">
      <c r="A11" s="38">
        <v>9329736432</v>
      </c>
      <c r="B11" s="56" t="s">
        <v>954</v>
      </c>
      <c r="C11" s="43" t="s">
        <v>955</v>
      </c>
      <c r="D11" s="56" t="s">
        <v>956</v>
      </c>
      <c r="E11" s="56" t="s">
        <v>104</v>
      </c>
      <c r="F11" s="56" t="s">
        <v>59</v>
      </c>
      <c r="G11" s="56" t="s">
        <v>769</v>
      </c>
      <c r="H11" s="56" t="s">
        <v>61</v>
      </c>
      <c r="I11" s="56" t="s">
        <v>63</v>
      </c>
      <c r="J11" s="56"/>
      <c r="K11" s="56"/>
      <c r="L11" s="56"/>
      <c r="M11" s="56"/>
      <c r="N11" s="56" t="s">
        <v>16</v>
      </c>
      <c r="O11" s="114" t="s">
        <v>935</v>
      </c>
      <c r="P11" s="56" t="s">
        <v>21</v>
      </c>
      <c r="Q11" s="107">
        <v>1</v>
      </c>
      <c r="R11" s="107">
        <v>1</v>
      </c>
      <c r="S11" s="107">
        <v>1</v>
      </c>
      <c r="T11" s="107">
        <v>1</v>
      </c>
      <c r="U11" s="107">
        <v>1</v>
      </c>
      <c r="V11" s="107">
        <v>1</v>
      </c>
      <c r="W11" s="107">
        <v>1</v>
      </c>
      <c r="X11" s="107">
        <v>1</v>
      </c>
      <c r="Y11" s="107">
        <v>1</v>
      </c>
      <c r="Z11" s="107">
        <v>1</v>
      </c>
      <c r="AA11" s="107">
        <v>1</v>
      </c>
      <c r="AB11" s="107">
        <v>1</v>
      </c>
      <c r="AC11" s="107">
        <v>1</v>
      </c>
    </row>
    <row r="12" spans="1:29" ht="30" customHeight="1" x14ac:dyDescent="0.25">
      <c r="A12" s="38">
        <v>9329736432</v>
      </c>
      <c r="B12" s="56" t="s">
        <v>954</v>
      </c>
      <c r="C12" s="43" t="s">
        <v>955</v>
      </c>
      <c r="D12" s="56" t="s">
        <v>956</v>
      </c>
      <c r="E12" s="56" t="s">
        <v>104</v>
      </c>
      <c r="F12" s="56" t="s">
        <v>59</v>
      </c>
      <c r="G12" s="56" t="s">
        <v>769</v>
      </c>
      <c r="H12" s="56" t="s">
        <v>61</v>
      </c>
      <c r="I12" s="56" t="s">
        <v>63</v>
      </c>
      <c r="J12" s="56"/>
      <c r="K12" s="56"/>
      <c r="L12" s="56"/>
      <c r="M12" s="56"/>
      <c r="N12" s="56" t="s">
        <v>16</v>
      </c>
      <c r="O12" s="114" t="s">
        <v>936</v>
      </c>
      <c r="P12" s="56" t="s">
        <v>21</v>
      </c>
      <c r="Q12" s="107">
        <v>1</v>
      </c>
      <c r="R12" s="107">
        <v>1</v>
      </c>
      <c r="S12" s="107">
        <v>1</v>
      </c>
      <c r="T12" s="107">
        <v>1</v>
      </c>
      <c r="U12" s="107">
        <v>1</v>
      </c>
      <c r="V12" s="107">
        <v>1</v>
      </c>
      <c r="W12" s="107">
        <v>1</v>
      </c>
      <c r="X12" s="107">
        <v>1</v>
      </c>
      <c r="Y12" s="107">
        <v>1</v>
      </c>
      <c r="Z12" s="107">
        <v>1</v>
      </c>
      <c r="AA12" s="107">
        <v>1</v>
      </c>
      <c r="AB12" s="107">
        <v>1</v>
      </c>
      <c r="AC12" s="107">
        <v>1</v>
      </c>
    </row>
    <row r="13" spans="1:29" ht="30" customHeight="1" x14ac:dyDescent="0.25">
      <c r="A13" s="38">
        <v>9329736432</v>
      </c>
      <c r="B13" s="56" t="s">
        <v>954</v>
      </c>
      <c r="C13" s="43" t="s">
        <v>955</v>
      </c>
      <c r="D13" s="56" t="s">
        <v>956</v>
      </c>
      <c r="E13" s="56" t="s">
        <v>104</v>
      </c>
      <c r="F13" s="56" t="s">
        <v>59</v>
      </c>
      <c r="G13" s="56" t="s">
        <v>769</v>
      </c>
      <c r="H13" s="56" t="s">
        <v>61</v>
      </c>
      <c r="I13" s="56" t="s">
        <v>63</v>
      </c>
      <c r="J13" s="56"/>
      <c r="K13" s="56"/>
      <c r="L13" s="56"/>
      <c r="M13" s="56"/>
      <c r="N13" s="56" t="s">
        <v>16</v>
      </c>
      <c r="O13" s="114" t="s">
        <v>937</v>
      </c>
      <c r="P13" s="56" t="s">
        <v>21</v>
      </c>
      <c r="Q13" s="107">
        <v>1</v>
      </c>
      <c r="R13" s="107">
        <v>1</v>
      </c>
      <c r="S13" s="107">
        <v>1</v>
      </c>
      <c r="T13" s="107">
        <v>1</v>
      </c>
      <c r="U13" s="107">
        <v>1</v>
      </c>
      <c r="V13" s="107">
        <v>1</v>
      </c>
      <c r="W13" s="107">
        <v>1</v>
      </c>
      <c r="X13" s="107">
        <v>1</v>
      </c>
      <c r="Y13" s="107">
        <v>1</v>
      </c>
      <c r="Z13" s="107">
        <v>1</v>
      </c>
      <c r="AA13" s="107">
        <v>1</v>
      </c>
      <c r="AB13" s="107">
        <v>1</v>
      </c>
      <c r="AC13" s="107">
        <v>1</v>
      </c>
    </row>
    <row r="14" spans="1:29" ht="30" customHeight="1" x14ac:dyDescent="0.25">
      <c r="A14" s="38">
        <v>9329736432</v>
      </c>
      <c r="B14" s="56" t="s">
        <v>954</v>
      </c>
      <c r="C14" s="43" t="s">
        <v>955</v>
      </c>
      <c r="D14" s="56" t="s">
        <v>956</v>
      </c>
      <c r="E14" s="56" t="s">
        <v>104</v>
      </c>
      <c r="F14" s="56" t="s">
        <v>59</v>
      </c>
      <c r="G14" s="56" t="s">
        <v>769</v>
      </c>
      <c r="H14" s="56" t="s">
        <v>61</v>
      </c>
      <c r="I14" s="56" t="s">
        <v>63</v>
      </c>
      <c r="J14" s="56"/>
      <c r="K14" s="56"/>
      <c r="L14" s="56"/>
      <c r="M14" s="56"/>
      <c r="N14" s="56" t="s">
        <v>16</v>
      </c>
      <c r="O14" s="114" t="s">
        <v>938</v>
      </c>
      <c r="P14" s="56" t="s">
        <v>21</v>
      </c>
      <c r="Q14" s="107">
        <v>1</v>
      </c>
      <c r="R14" s="107">
        <v>1</v>
      </c>
      <c r="S14" s="107">
        <v>1</v>
      </c>
      <c r="T14" s="107">
        <v>1</v>
      </c>
      <c r="U14" s="107">
        <v>1</v>
      </c>
      <c r="V14" s="107">
        <v>1</v>
      </c>
      <c r="W14" s="107">
        <v>1</v>
      </c>
      <c r="X14" s="107">
        <v>1</v>
      </c>
      <c r="Y14" s="107">
        <v>1</v>
      </c>
      <c r="Z14" s="107">
        <v>1</v>
      </c>
      <c r="AA14" s="107">
        <v>1</v>
      </c>
      <c r="AB14" s="107">
        <v>1</v>
      </c>
      <c r="AC14" s="107">
        <v>1</v>
      </c>
    </row>
    <row r="15" spans="1:29" ht="30" customHeight="1" x14ac:dyDescent="0.25">
      <c r="A15" s="38">
        <v>9329736432</v>
      </c>
      <c r="B15" s="56" t="s">
        <v>954</v>
      </c>
      <c r="C15" s="43" t="s">
        <v>955</v>
      </c>
      <c r="D15" s="56" t="s">
        <v>956</v>
      </c>
      <c r="E15" s="56" t="s">
        <v>104</v>
      </c>
      <c r="F15" s="56" t="s">
        <v>59</v>
      </c>
      <c r="G15" s="56" t="s">
        <v>769</v>
      </c>
      <c r="H15" s="56" t="s">
        <v>61</v>
      </c>
      <c r="I15" s="56" t="s">
        <v>63</v>
      </c>
      <c r="J15" s="56"/>
      <c r="K15" s="56"/>
      <c r="L15" s="56"/>
      <c r="M15" s="56"/>
      <c r="N15" s="56" t="s">
        <v>16</v>
      </c>
      <c r="O15" s="114" t="s">
        <v>939</v>
      </c>
      <c r="P15" s="56" t="s">
        <v>21</v>
      </c>
      <c r="Q15" s="107">
        <v>1</v>
      </c>
      <c r="R15" s="107">
        <v>1</v>
      </c>
      <c r="S15" s="107">
        <v>1</v>
      </c>
      <c r="T15" s="107">
        <v>1</v>
      </c>
      <c r="U15" s="107">
        <v>1</v>
      </c>
      <c r="V15" s="107">
        <v>1</v>
      </c>
      <c r="W15" s="107">
        <v>1</v>
      </c>
      <c r="X15" s="107">
        <v>1</v>
      </c>
      <c r="Y15" s="107">
        <v>1</v>
      </c>
      <c r="Z15" s="107">
        <v>1</v>
      </c>
      <c r="AA15" s="107">
        <v>1</v>
      </c>
      <c r="AB15" s="107">
        <v>1</v>
      </c>
      <c r="AC15" s="107">
        <v>1</v>
      </c>
    </row>
    <row r="16" spans="1:29" ht="30" customHeight="1" x14ac:dyDescent="0.25">
      <c r="A16" s="38">
        <v>9329736432</v>
      </c>
      <c r="B16" s="56" t="s">
        <v>954</v>
      </c>
      <c r="C16" s="43" t="s">
        <v>955</v>
      </c>
      <c r="D16" s="56" t="s">
        <v>956</v>
      </c>
      <c r="E16" s="56" t="s">
        <v>104</v>
      </c>
      <c r="F16" s="56" t="s">
        <v>59</v>
      </c>
      <c r="G16" s="56" t="s">
        <v>769</v>
      </c>
      <c r="H16" s="56" t="s">
        <v>61</v>
      </c>
      <c r="I16" s="56" t="s">
        <v>63</v>
      </c>
      <c r="J16" s="56"/>
      <c r="K16" s="56"/>
      <c r="L16" s="56"/>
      <c r="M16" s="56"/>
      <c r="N16" s="56" t="s">
        <v>16</v>
      </c>
      <c r="O16" s="114" t="s">
        <v>940</v>
      </c>
      <c r="P16" s="56" t="s">
        <v>21</v>
      </c>
      <c r="Q16" s="107">
        <v>1</v>
      </c>
      <c r="R16" s="107">
        <v>1</v>
      </c>
      <c r="S16" s="107">
        <v>1</v>
      </c>
      <c r="T16" s="107">
        <v>1</v>
      </c>
      <c r="U16" s="107">
        <v>1</v>
      </c>
      <c r="V16" s="107">
        <v>1</v>
      </c>
      <c r="W16" s="107">
        <v>1</v>
      </c>
      <c r="X16" s="107">
        <v>1</v>
      </c>
      <c r="Y16" s="107">
        <v>1</v>
      </c>
      <c r="Z16" s="107">
        <v>1</v>
      </c>
      <c r="AA16" s="107">
        <v>1</v>
      </c>
      <c r="AB16" s="107">
        <v>1</v>
      </c>
      <c r="AC16" s="107">
        <v>1</v>
      </c>
    </row>
    <row r="17" spans="1:29" ht="30" customHeight="1" x14ac:dyDescent="0.25">
      <c r="A17" s="38">
        <v>9329736432</v>
      </c>
      <c r="B17" s="56" t="s">
        <v>954</v>
      </c>
      <c r="C17" s="43" t="s">
        <v>955</v>
      </c>
      <c r="D17" s="56" t="s">
        <v>956</v>
      </c>
      <c r="E17" s="56" t="s">
        <v>104</v>
      </c>
      <c r="F17" s="56" t="s">
        <v>59</v>
      </c>
      <c r="G17" s="56" t="s">
        <v>769</v>
      </c>
      <c r="H17" s="56" t="s">
        <v>61</v>
      </c>
      <c r="I17" s="56" t="s">
        <v>63</v>
      </c>
      <c r="J17" s="56"/>
      <c r="K17" s="56"/>
      <c r="L17" s="56"/>
      <c r="M17" s="56"/>
      <c r="N17" s="56" t="s">
        <v>16</v>
      </c>
      <c r="O17" s="114" t="s">
        <v>941</v>
      </c>
      <c r="P17" s="56" t="s">
        <v>21</v>
      </c>
      <c r="Q17" s="107">
        <v>1</v>
      </c>
      <c r="R17" s="107">
        <v>1</v>
      </c>
      <c r="S17" s="107">
        <v>1</v>
      </c>
      <c r="T17" s="107">
        <v>1</v>
      </c>
      <c r="U17" s="107">
        <v>1</v>
      </c>
      <c r="V17" s="107">
        <v>1</v>
      </c>
      <c r="W17" s="107">
        <v>1</v>
      </c>
      <c r="X17" s="107">
        <v>1</v>
      </c>
      <c r="Y17" s="107">
        <v>1</v>
      </c>
      <c r="Z17" s="107">
        <v>1</v>
      </c>
      <c r="AA17" s="107">
        <v>1</v>
      </c>
      <c r="AB17" s="107">
        <v>1</v>
      </c>
      <c r="AC17" s="107">
        <v>1</v>
      </c>
    </row>
    <row r="18" spans="1:29" ht="30" customHeight="1" x14ac:dyDescent="0.25">
      <c r="A18" s="38">
        <v>9329736432</v>
      </c>
      <c r="B18" s="56" t="s">
        <v>954</v>
      </c>
      <c r="C18" s="43" t="s">
        <v>955</v>
      </c>
      <c r="D18" s="56" t="s">
        <v>956</v>
      </c>
      <c r="E18" s="56" t="s">
        <v>104</v>
      </c>
      <c r="F18" s="56" t="s">
        <v>59</v>
      </c>
      <c r="G18" s="56" t="s">
        <v>769</v>
      </c>
      <c r="H18" s="56" t="s">
        <v>61</v>
      </c>
      <c r="I18" s="56" t="s">
        <v>63</v>
      </c>
      <c r="J18" s="56"/>
      <c r="K18" s="56"/>
      <c r="L18" s="56"/>
      <c r="M18" s="56"/>
      <c r="N18" s="56" t="s">
        <v>16</v>
      </c>
      <c r="O18" s="114" t="s">
        <v>942</v>
      </c>
      <c r="P18" s="56" t="s">
        <v>21</v>
      </c>
      <c r="Q18" s="107">
        <v>1</v>
      </c>
      <c r="R18" s="107">
        <v>1</v>
      </c>
      <c r="S18" s="107">
        <v>1</v>
      </c>
      <c r="T18" s="107">
        <v>1</v>
      </c>
      <c r="U18" s="107">
        <v>1</v>
      </c>
      <c r="V18" s="107">
        <v>1</v>
      </c>
      <c r="W18" s="107">
        <v>1</v>
      </c>
      <c r="X18" s="107">
        <v>1</v>
      </c>
      <c r="Y18" s="107">
        <v>1</v>
      </c>
      <c r="Z18" s="107">
        <v>1</v>
      </c>
      <c r="AA18" s="107">
        <v>1</v>
      </c>
      <c r="AB18" s="107">
        <v>1</v>
      </c>
      <c r="AC18" s="107">
        <v>1</v>
      </c>
    </row>
    <row r="19" spans="1:29" ht="30" customHeight="1" x14ac:dyDescent="0.25">
      <c r="A19" s="38">
        <v>9329736432</v>
      </c>
      <c r="B19" s="56" t="s">
        <v>954</v>
      </c>
      <c r="C19" s="43" t="s">
        <v>955</v>
      </c>
      <c r="D19" s="56" t="s">
        <v>956</v>
      </c>
      <c r="E19" s="56" t="s">
        <v>104</v>
      </c>
      <c r="F19" s="56" t="s">
        <v>59</v>
      </c>
      <c r="G19" s="56" t="s">
        <v>769</v>
      </c>
      <c r="H19" s="56" t="s">
        <v>61</v>
      </c>
      <c r="I19" s="56" t="s">
        <v>63</v>
      </c>
      <c r="J19" s="56"/>
      <c r="K19" s="56"/>
      <c r="L19" s="56"/>
      <c r="M19" s="56"/>
      <c r="N19" s="56" t="s">
        <v>16</v>
      </c>
      <c r="O19" s="114" t="s">
        <v>943</v>
      </c>
      <c r="P19" s="56" t="s">
        <v>21</v>
      </c>
      <c r="Q19" s="107">
        <v>1</v>
      </c>
      <c r="R19" s="107">
        <v>1</v>
      </c>
      <c r="S19" s="107">
        <v>1</v>
      </c>
      <c r="T19" s="107">
        <v>1</v>
      </c>
      <c r="U19" s="107">
        <v>1</v>
      </c>
      <c r="V19" s="107">
        <v>1</v>
      </c>
      <c r="W19" s="107">
        <v>1</v>
      </c>
      <c r="X19" s="107">
        <v>1</v>
      </c>
      <c r="Y19" s="107">
        <v>1</v>
      </c>
      <c r="Z19" s="107">
        <v>1</v>
      </c>
      <c r="AA19" s="107">
        <v>1</v>
      </c>
      <c r="AB19" s="107">
        <v>1</v>
      </c>
      <c r="AC19" s="107">
        <v>1</v>
      </c>
    </row>
    <row r="20" spans="1:29" ht="30" customHeight="1" x14ac:dyDescent="0.25">
      <c r="A20" s="38">
        <v>9329736432</v>
      </c>
      <c r="B20" s="56" t="s">
        <v>954</v>
      </c>
      <c r="C20" s="43" t="s">
        <v>955</v>
      </c>
      <c r="D20" s="56" t="s">
        <v>956</v>
      </c>
      <c r="E20" s="56" t="s">
        <v>104</v>
      </c>
      <c r="F20" s="56" t="s">
        <v>59</v>
      </c>
      <c r="G20" s="56" t="s">
        <v>769</v>
      </c>
      <c r="H20" s="56" t="s">
        <v>61</v>
      </c>
      <c r="I20" s="56" t="s">
        <v>63</v>
      </c>
      <c r="J20" s="56"/>
      <c r="K20" s="56"/>
      <c r="L20" s="56"/>
      <c r="M20" s="56"/>
      <c r="N20" s="56" t="s">
        <v>16</v>
      </c>
      <c r="O20" s="114" t="s">
        <v>944</v>
      </c>
      <c r="P20" s="56" t="s">
        <v>21</v>
      </c>
      <c r="Q20" s="107">
        <v>1</v>
      </c>
      <c r="R20" s="107">
        <v>1</v>
      </c>
      <c r="S20" s="107">
        <v>1</v>
      </c>
      <c r="T20" s="107">
        <v>1</v>
      </c>
      <c r="U20" s="107">
        <v>1</v>
      </c>
      <c r="V20" s="107">
        <v>1</v>
      </c>
      <c r="W20" s="107">
        <v>1</v>
      </c>
      <c r="X20" s="107">
        <v>1</v>
      </c>
      <c r="Y20" s="107">
        <v>1</v>
      </c>
      <c r="Z20" s="107">
        <v>1</v>
      </c>
      <c r="AA20" s="107">
        <v>1</v>
      </c>
      <c r="AB20" s="107">
        <v>1</v>
      </c>
      <c r="AC20" s="107">
        <v>1</v>
      </c>
    </row>
    <row r="21" spans="1:29" ht="30" customHeight="1" x14ac:dyDescent="0.25">
      <c r="A21" s="38">
        <v>9329736432</v>
      </c>
      <c r="B21" s="56" t="s">
        <v>954</v>
      </c>
      <c r="C21" s="43" t="s">
        <v>955</v>
      </c>
      <c r="D21" s="56" t="s">
        <v>956</v>
      </c>
      <c r="E21" s="56" t="s">
        <v>104</v>
      </c>
      <c r="F21" s="56" t="s">
        <v>59</v>
      </c>
      <c r="G21" s="56" t="s">
        <v>769</v>
      </c>
      <c r="H21" s="56" t="s">
        <v>61</v>
      </c>
      <c r="I21" s="56" t="s">
        <v>63</v>
      </c>
      <c r="J21" s="56"/>
      <c r="K21" s="56"/>
      <c r="L21" s="56"/>
      <c r="M21" s="56"/>
      <c r="N21" s="56" t="s">
        <v>16</v>
      </c>
      <c r="O21" s="114" t="s">
        <v>945</v>
      </c>
      <c r="P21" s="56" t="s">
        <v>21</v>
      </c>
      <c r="Q21" s="107">
        <v>1</v>
      </c>
      <c r="R21" s="107">
        <v>1</v>
      </c>
      <c r="S21" s="107">
        <v>1</v>
      </c>
      <c r="T21" s="107">
        <v>1</v>
      </c>
      <c r="U21" s="107">
        <v>1</v>
      </c>
      <c r="V21" s="107">
        <v>1</v>
      </c>
      <c r="W21" s="107">
        <v>1</v>
      </c>
      <c r="X21" s="107">
        <v>1</v>
      </c>
      <c r="Y21" s="107">
        <v>1</v>
      </c>
      <c r="Z21" s="107">
        <v>1</v>
      </c>
      <c r="AA21" s="107">
        <v>1</v>
      </c>
      <c r="AB21" s="107">
        <v>1</v>
      </c>
      <c r="AC21" s="107">
        <v>1</v>
      </c>
    </row>
    <row r="22" spans="1:29" ht="30" customHeight="1" x14ac:dyDescent="0.25">
      <c r="A22" s="38">
        <v>9329736432</v>
      </c>
      <c r="B22" s="56" t="s">
        <v>954</v>
      </c>
      <c r="C22" s="43" t="s">
        <v>955</v>
      </c>
      <c r="D22" s="56" t="s">
        <v>956</v>
      </c>
      <c r="E22" s="56" t="s">
        <v>104</v>
      </c>
      <c r="F22" s="56" t="s">
        <v>59</v>
      </c>
      <c r="G22" s="56" t="s">
        <v>769</v>
      </c>
      <c r="H22" s="56" t="s">
        <v>61</v>
      </c>
      <c r="I22" s="56" t="s">
        <v>63</v>
      </c>
      <c r="J22" s="56"/>
      <c r="K22" s="56"/>
      <c r="L22" s="56"/>
      <c r="M22" s="56"/>
      <c r="N22" s="56" t="s">
        <v>16</v>
      </c>
      <c r="O22" s="114" t="s">
        <v>946</v>
      </c>
      <c r="P22" s="56" t="s">
        <v>21</v>
      </c>
      <c r="Q22" s="107">
        <v>1</v>
      </c>
      <c r="R22" s="107">
        <v>1</v>
      </c>
      <c r="S22" s="107">
        <v>1</v>
      </c>
      <c r="T22" s="107">
        <v>1</v>
      </c>
      <c r="U22" s="107">
        <v>1</v>
      </c>
      <c r="V22" s="107">
        <v>1</v>
      </c>
      <c r="W22" s="107">
        <v>1</v>
      </c>
      <c r="X22" s="107">
        <v>1</v>
      </c>
      <c r="Y22" s="107">
        <v>1</v>
      </c>
      <c r="Z22" s="107">
        <v>1</v>
      </c>
      <c r="AA22" s="107">
        <v>1</v>
      </c>
      <c r="AB22" s="107">
        <v>1</v>
      </c>
      <c r="AC22" s="107">
        <v>1</v>
      </c>
    </row>
    <row r="23" spans="1:29" ht="30" customHeight="1" x14ac:dyDescent="0.25">
      <c r="A23" s="38">
        <v>9329736432</v>
      </c>
      <c r="B23" s="56" t="s">
        <v>954</v>
      </c>
      <c r="C23" s="43" t="s">
        <v>955</v>
      </c>
      <c r="D23" s="56" t="s">
        <v>956</v>
      </c>
      <c r="E23" s="56" t="s">
        <v>104</v>
      </c>
      <c r="F23" s="56" t="s">
        <v>59</v>
      </c>
      <c r="G23" s="56" t="s">
        <v>769</v>
      </c>
      <c r="H23" s="56" t="s">
        <v>61</v>
      </c>
      <c r="I23" s="56" t="s">
        <v>63</v>
      </c>
      <c r="J23" s="56"/>
      <c r="K23" s="56"/>
      <c r="L23" s="56"/>
      <c r="M23" s="56"/>
      <c r="N23" s="56" t="s">
        <v>16</v>
      </c>
      <c r="O23" s="114" t="s">
        <v>947</v>
      </c>
      <c r="P23" s="56" t="s">
        <v>21</v>
      </c>
      <c r="Q23" s="107">
        <v>1</v>
      </c>
      <c r="R23" s="107">
        <v>1</v>
      </c>
      <c r="S23" s="107">
        <v>1</v>
      </c>
      <c r="T23" s="107">
        <v>1</v>
      </c>
      <c r="U23" s="107">
        <v>1</v>
      </c>
      <c r="V23" s="107">
        <v>1</v>
      </c>
      <c r="W23" s="107">
        <v>1</v>
      </c>
      <c r="X23" s="107">
        <v>1</v>
      </c>
      <c r="Y23" s="107">
        <v>1</v>
      </c>
      <c r="Z23" s="107">
        <v>1</v>
      </c>
      <c r="AA23" s="107">
        <v>1</v>
      </c>
      <c r="AB23" s="107">
        <v>1</v>
      </c>
      <c r="AC23" s="107">
        <v>1</v>
      </c>
    </row>
    <row r="24" spans="1:29" ht="30" customHeight="1" x14ac:dyDescent="0.25">
      <c r="A24" s="38">
        <v>9329736432</v>
      </c>
      <c r="B24" s="56" t="s">
        <v>954</v>
      </c>
      <c r="C24" s="43" t="s">
        <v>955</v>
      </c>
      <c r="D24" s="56" t="s">
        <v>956</v>
      </c>
      <c r="E24" s="56" t="s">
        <v>104</v>
      </c>
      <c r="F24" s="56" t="s">
        <v>59</v>
      </c>
      <c r="G24" s="56" t="s">
        <v>769</v>
      </c>
      <c r="H24" s="56" t="s">
        <v>61</v>
      </c>
      <c r="I24" s="56" t="s">
        <v>63</v>
      </c>
      <c r="J24" s="56"/>
      <c r="K24" s="56"/>
      <c r="L24" s="56"/>
      <c r="M24" s="56"/>
      <c r="N24" s="56" t="s">
        <v>16</v>
      </c>
      <c r="O24" s="114" t="s">
        <v>948</v>
      </c>
      <c r="P24" s="56" t="s">
        <v>21</v>
      </c>
      <c r="Q24" s="107">
        <v>1</v>
      </c>
      <c r="R24" s="107">
        <v>1</v>
      </c>
      <c r="S24" s="107">
        <v>1</v>
      </c>
      <c r="T24" s="107">
        <v>1</v>
      </c>
      <c r="U24" s="107">
        <v>1</v>
      </c>
      <c r="V24" s="107">
        <v>1</v>
      </c>
      <c r="W24" s="107">
        <v>1</v>
      </c>
      <c r="X24" s="107">
        <v>1</v>
      </c>
      <c r="Y24" s="107">
        <v>1</v>
      </c>
      <c r="Z24" s="107">
        <v>1</v>
      </c>
      <c r="AA24" s="107">
        <v>1</v>
      </c>
      <c r="AB24" s="107">
        <v>1</v>
      </c>
      <c r="AC24" s="107">
        <v>1</v>
      </c>
    </row>
    <row r="25" spans="1:29" ht="30" customHeight="1" x14ac:dyDescent="0.25">
      <c r="A25" s="38">
        <v>9329736432</v>
      </c>
      <c r="B25" s="56" t="s">
        <v>954</v>
      </c>
      <c r="C25" s="43" t="s">
        <v>955</v>
      </c>
      <c r="D25" s="56" t="s">
        <v>956</v>
      </c>
      <c r="E25" s="56" t="s">
        <v>104</v>
      </c>
      <c r="F25" s="56" t="s">
        <v>59</v>
      </c>
      <c r="G25" s="56" t="s">
        <v>769</v>
      </c>
      <c r="H25" s="56" t="s">
        <v>61</v>
      </c>
      <c r="I25" s="56" t="s">
        <v>63</v>
      </c>
      <c r="J25" s="56"/>
      <c r="K25" s="56"/>
      <c r="L25" s="56"/>
      <c r="M25" s="56"/>
      <c r="N25" s="56" t="s">
        <v>16</v>
      </c>
      <c r="O25" s="114" t="s">
        <v>949</v>
      </c>
      <c r="P25" s="56" t="s">
        <v>21</v>
      </c>
      <c r="Q25" s="107">
        <v>1</v>
      </c>
      <c r="R25" s="107">
        <v>1</v>
      </c>
      <c r="S25" s="107">
        <v>1</v>
      </c>
      <c r="T25" s="107">
        <v>1</v>
      </c>
      <c r="U25" s="107">
        <v>1</v>
      </c>
      <c r="V25" s="107">
        <v>1</v>
      </c>
      <c r="W25" s="107">
        <v>1</v>
      </c>
      <c r="X25" s="107">
        <v>1</v>
      </c>
      <c r="Y25" s="107">
        <v>1</v>
      </c>
      <c r="Z25" s="107">
        <v>1</v>
      </c>
      <c r="AA25" s="107">
        <v>1</v>
      </c>
      <c r="AB25" s="107">
        <v>1</v>
      </c>
      <c r="AC25" s="107">
        <v>1</v>
      </c>
    </row>
    <row r="26" spans="1:29" ht="30" customHeight="1" x14ac:dyDescent="0.25">
      <c r="A26" s="38">
        <v>9329736432</v>
      </c>
      <c r="B26" s="56" t="s">
        <v>954</v>
      </c>
      <c r="C26" s="43" t="s">
        <v>955</v>
      </c>
      <c r="D26" s="56" t="s">
        <v>956</v>
      </c>
      <c r="E26" s="56" t="s">
        <v>104</v>
      </c>
      <c r="F26" s="56" t="s">
        <v>59</v>
      </c>
      <c r="G26" s="56" t="s">
        <v>769</v>
      </c>
      <c r="H26" s="56" t="s">
        <v>61</v>
      </c>
      <c r="I26" s="56" t="s">
        <v>63</v>
      </c>
      <c r="J26" s="56"/>
      <c r="K26" s="56"/>
      <c r="L26" s="56"/>
      <c r="M26" s="56"/>
      <c r="N26" s="56" t="s">
        <v>16</v>
      </c>
      <c r="O26" s="114" t="s">
        <v>950</v>
      </c>
      <c r="P26" s="56" t="s">
        <v>21</v>
      </c>
      <c r="Q26" s="107">
        <v>1</v>
      </c>
      <c r="R26" s="107">
        <v>1</v>
      </c>
      <c r="S26" s="107">
        <v>1</v>
      </c>
      <c r="T26" s="107">
        <v>1</v>
      </c>
      <c r="U26" s="107">
        <v>1</v>
      </c>
      <c r="V26" s="107">
        <v>1</v>
      </c>
      <c r="W26" s="107">
        <v>1</v>
      </c>
      <c r="X26" s="107">
        <v>1</v>
      </c>
      <c r="Y26" s="107">
        <v>1</v>
      </c>
      <c r="Z26" s="107">
        <v>1</v>
      </c>
      <c r="AA26" s="107">
        <v>1</v>
      </c>
      <c r="AB26" s="107">
        <v>1</v>
      </c>
      <c r="AC26" s="107">
        <v>1</v>
      </c>
    </row>
    <row r="27" spans="1:29" ht="30" customHeight="1" x14ac:dyDescent="0.25">
      <c r="A27" s="38">
        <v>9329736432</v>
      </c>
      <c r="B27" s="56" t="s">
        <v>954</v>
      </c>
      <c r="C27" s="43" t="s">
        <v>955</v>
      </c>
      <c r="D27" s="56" t="s">
        <v>956</v>
      </c>
      <c r="E27" s="56" t="s">
        <v>104</v>
      </c>
      <c r="F27" s="56" t="s">
        <v>59</v>
      </c>
      <c r="G27" s="56" t="s">
        <v>769</v>
      </c>
      <c r="H27" s="56" t="s">
        <v>61</v>
      </c>
      <c r="I27" s="56" t="s">
        <v>63</v>
      </c>
      <c r="J27" s="56"/>
      <c r="K27" s="56"/>
      <c r="L27" s="56"/>
      <c r="M27" s="56"/>
      <c r="N27" s="56" t="s">
        <v>16</v>
      </c>
      <c r="O27" s="114" t="s">
        <v>951</v>
      </c>
      <c r="P27" s="56" t="s">
        <v>21</v>
      </c>
      <c r="Q27" s="107">
        <v>1</v>
      </c>
      <c r="R27" s="107">
        <v>1</v>
      </c>
      <c r="S27" s="107">
        <v>1</v>
      </c>
      <c r="T27" s="107">
        <v>1</v>
      </c>
      <c r="U27" s="107">
        <v>1</v>
      </c>
      <c r="V27" s="107">
        <v>1</v>
      </c>
      <c r="W27" s="107">
        <v>1</v>
      </c>
      <c r="X27" s="107">
        <v>1</v>
      </c>
      <c r="Y27" s="107">
        <v>1</v>
      </c>
      <c r="Z27" s="107">
        <v>1</v>
      </c>
      <c r="AA27" s="107">
        <v>1</v>
      </c>
      <c r="AB27" s="107">
        <v>1</v>
      </c>
      <c r="AC27" s="107">
        <v>1</v>
      </c>
    </row>
    <row r="28" spans="1:29" ht="30" customHeight="1" x14ac:dyDescent="0.25">
      <c r="A28" s="38">
        <v>9329736432</v>
      </c>
      <c r="B28" s="56" t="s">
        <v>954</v>
      </c>
      <c r="C28" s="43" t="s">
        <v>955</v>
      </c>
      <c r="D28" s="56" t="s">
        <v>956</v>
      </c>
      <c r="E28" s="56" t="s">
        <v>104</v>
      </c>
      <c r="F28" s="56" t="s">
        <v>59</v>
      </c>
      <c r="G28" s="56" t="s">
        <v>769</v>
      </c>
      <c r="H28" s="56" t="s">
        <v>61</v>
      </c>
      <c r="I28" s="56" t="s">
        <v>63</v>
      </c>
      <c r="J28" s="56"/>
      <c r="K28" s="56"/>
      <c r="L28" s="56"/>
      <c r="M28" s="56"/>
      <c r="N28" s="56" t="s">
        <v>16</v>
      </c>
      <c r="O28" s="114" t="s">
        <v>952</v>
      </c>
      <c r="P28" s="56" t="s">
        <v>21</v>
      </c>
      <c r="Q28" s="107">
        <v>1</v>
      </c>
      <c r="R28" s="107">
        <v>1</v>
      </c>
      <c r="S28" s="107">
        <v>1</v>
      </c>
      <c r="T28" s="107">
        <v>1</v>
      </c>
      <c r="U28" s="107">
        <v>1</v>
      </c>
      <c r="V28" s="107">
        <v>1</v>
      </c>
      <c r="W28" s="107">
        <v>1</v>
      </c>
      <c r="X28" s="107">
        <v>1</v>
      </c>
      <c r="Y28" s="107">
        <v>1</v>
      </c>
      <c r="Z28" s="107">
        <v>1</v>
      </c>
      <c r="AA28" s="107">
        <v>1</v>
      </c>
      <c r="AB28" s="107">
        <v>1</v>
      </c>
      <c r="AC28" s="107">
        <v>1</v>
      </c>
    </row>
    <row r="29" spans="1:29" ht="30" customHeight="1" x14ac:dyDescent="0.25">
      <c r="A29" s="38">
        <v>9329736432</v>
      </c>
      <c r="B29" s="56" t="s">
        <v>954</v>
      </c>
      <c r="C29" s="43" t="s">
        <v>955</v>
      </c>
      <c r="D29" s="56" t="s">
        <v>956</v>
      </c>
      <c r="E29" s="56" t="s">
        <v>104</v>
      </c>
      <c r="F29" s="56" t="s">
        <v>59</v>
      </c>
      <c r="G29" s="56" t="s">
        <v>769</v>
      </c>
      <c r="H29" s="56" t="s">
        <v>61</v>
      </c>
      <c r="I29" s="56" t="s">
        <v>63</v>
      </c>
      <c r="J29" s="56"/>
      <c r="K29" s="56"/>
      <c r="L29" s="56"/>
      <c r="M29" s="56"/>
      <c r="N29" s="56" t="s">
        <v>16</v>
      </c>
      <c r="O29" s="114" t="s">
        <v>953</v>
      </c>
      <c r="P29" s="56" t="s">
        <v>21</v>
      </c>
      <c r="Q29" s="107">
        <v>1</v>
      </c>
      <c r="R29" s="107">
        <v>1</v>
      </c>
      <c r="S29" s="107">
        <v>1</v>
      </c>
      <c r="T29" s="107">
        <v>1</v>
      </c>
      <c r="U29" s="107">
        <v>1</v>
      </c>
      <c r="V29" s="107">
        <v>1</v>
      </c>
      <c r="W29" s="107">
        <v>1</v>
      </c>
      <c r="X29" s="107">
        <v>1</v>
      </c>
      <c r="Y29" s="107">
        <v>1</v>
      </c>
      <c r="Z29" s="107">
        <v>1</v>
      </c>
      <c r="AA29" s="107">
        <v>1</v>
      </c>
      <c r="AB29" s="107">
        <v>1</v>
      </c>
      <c r="AC29" s="107">
        <v>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0C6A6-D835-465A-80D7-CB4647DE2164}">
  <dimension ref="A1:AC19"/>
  <sheetViews>
    <sheetView workbookViewId="0">
      <selection activeCell="F2" sqref="F2"/>
    </sheetView>
  </sheetViews>
  <sheetFormatPr defaultRowHeight="13.2" x14ac:dyDescent="0.25"/>
  <cols>
    <col min="1" max="1" width="12.109375" bestFit="1" customWidth="1"/>
    <col min="2" max="2" width="16.21875" bestFit="1" customWidth="1"/>
    <col min="3" max="3" width="36.44140625" bestFit="1" customWidth="1"/>
    <col min="4" max="4" width="15.33203125" bestFit="1" customWidth="1"/>
    <col min="5" max="5" width="11.5546875" bestFit="1" customWidth="1"/>
    <col min="6" max="6" width="10.21875" bestFit="1" customWidth="1"/>
    <col min="7" max="7" width="12.44140625" bestFit="1" customWidth="1"/>
    <col min="8" max="8" width="10.33203125" customWidth="1"/>
    <col min="9" max="9" width="12.6640625" bestFit="1" customWidth="1"/>
    <col min="10" max="13" width="11.44140625" bestFit="1" customWidth="1"/>
    <col min="14" max="14" width="14.5546875" bestFit="1" customWidth="1"/>
    <col min="15" max="15" width="64.88671875" customWidth="1"/>
    <col min="16" max="16" width="21.77734375" bestFit="1" customWidth="1"/>
  </cols>
  <sheetData>
    <row r="1" spans="1:29" ht="41.4" x14ac:dyDescent="0.25">
      <c r="A1" s="35" t="s">
        <v>0</v>
      </c>
      <c r="B1" s="35" t="s">
        <v>1</v>
      </c>
      <c r="C1" s="35" t="s">
        <v>2</v>
      </c>
      <c r="D1" s="35" t="s">
        <v>3</v>
      </c>
      <c r="E1" s="35" t="s">
        <v>4</v>
      </c>
      <c r="F1" s="35" t="s">
        <v>5</v>
      </c>
      <c r="G1" s="35" t="s">
        <v>6</v>
      </c>
      <c r="H1" s="35" t="s">
        <v>7</v>
      </c>
      <c r="I1" s="58" t="s">
        <v>8</v>
      </c>
      <c r="J1" s="35" t="s">
        <v>9</v>
      </c>
      <c r="K1" s="35" t="s">
        <v>10</v>
      </c>
      <c r="L1" s="35" t="s">
        <v>126</v>
      </c>
      <c r="M1" s="35" t="s">
        <v>127</v>
      </c>
      <c r="N1" s="35" t="s">
        <v>11</v>
      </c>
      <c r="O1" s="35" t="s">
        <v>654</v>
      </c>
      <c r="P1" s="35" t="s">
        <v>655</v>
      </c>
      <c r="Q1" s="35" t="s">
        <v>656</v>
      </c>
      <c r="R1" s="35" t="s">
        <v>657</v>
      </c>
      <c r="S1" s="35" t="s">
        <v>658</v>
      </c>
      <c r="T1" s="35" t="s">
        <v>659</v>
      </c>
      <c r="U1" s="35" t="s">
        <v>660</v>
      </c>
      <c r="V1" s="35" t="s">
        <v>661</v>
      </c>
      <c r="W1" s="35" t="s">
        <v>662</v>
      </c>
      <c r="X1" s="35" t="s">
        <v>663</v>
      </c>
      <c r="Y1" s="35" t="s">
        <v>664</v>
      </c>
      <c r="Z1" s="35" t="s">
        <v>665</v>
      </c>
      <c r="AA1" s="35" t="s">
        <v>666</v>
      </c>
      <c r="AB1" s="35" t="s">
        <v>667</v>
      </c>
      <c r="AC1" s="35" t="s">
        <v>668</v>
      </c>
    </row>
    <row r="2" spans="1:29" ht="30" customHeight="1" x14ac:dyDescent="0.25">
      <c r="A2" s="153">
        <v>9098910622</v>
      </c>
      <c r="B2" s="56" t="s">
        <v>1034</v>
      </c>
      <c r="C2" s="43" t="s">
        <v>1033</v>
      </c>
      <c r="D2" s="56" t="s">
        <v>1035</v>
      </c>
      <c r="E2" s="56" t="s">
        <v>1036</v>
      </c>
      <c r="F2" s="56" t="s">
        <v>59</v>
      </c>
      <c r="G2" s="56" t="s">
        <v>769</v>
      </c>
      <c r="H2" s="56" t="s">
        <v>61</v>
      </c>
      <c r="I2" s="56" t="s">
        <v>63</v>
      </c>
      <c r="J2" s="56"/>
      <c r="K2" s="56"/>
      <c r="L2" s="56"/>
      <c r="M2" s="56"/>
      <c r="N2" s="56" t="s">
        <v>16</v>
      </c>
      <c r="O2" s="114" t="s">
        <v>997</v>
      </c>
      <c r="P2" s="56" t="s">
        <v>21</v>
      </c>
      <c r="Q2" s="107">
        <v>1</v>
      </c>
      <c r="R2" s="107">
        <v>1</v>
      </c>
      <c r="S2" s="107">
        <v>1</v>
      </c>
      <c r="T2" s="107">
        <v>1</v>
      </c>
      <c r="U2" s="107">
        <v>1</v>
      </c>
      <c r="V2" s="107">
        <v>1</v>
      </c>
      <c r="W2" s="107">
        <v>1</v>
      </c>
      <c r="X2" s="107">
        <v>1</v>
      </c>
      <c r="Y2" s="107">
        <v>1</v>
      </c>
      <c r="Z2" s="107">
        <v>1</v>
      </c>
      <c r="AA2" s="107">
        <v>1</v>
      </c>
      <c r="AB2" s="107">
        <v>1</v>
      </c>
      <c r="AC2" s="107">
        <v>1</v>
      </c>
    </row>
    <row r="3" spans="1:29" ht="30" customHeight="1" x14ac:dyDescent="0.25">
      <c r="A3" s="153">
        <v>9098910622</v>
      </c>
      <c r="B3" s="56" t="s">
        <v>1034</v>
      </c>
      <c r="C3" s="43" t="s">
        <v>1033</v>
      </c>
      <c r="D3" s="56" t="s">
        <v>1035</v>
      </c>
      <c r="E3" s="56" t="s">
        <v>1036</v>
      </c>
      <c r="F3" s="56" t="s">
        <v>59</v>
      </c>
      <c r="G3" s="56" t="s">
        <v>769</v>
      </c>
      <c r="H3" s="56" t="s">
        <v>61</v>
      </c>
      <c r="I3" s="56" t="s">
        <v>63</v>
      </c>
      <c r="J3" s="56"/>
      <c r="K3" s="56"/>
      <c r="L3" s="56"/>
      <c r="M3" s="56"/>
      <c r="N3" s="56" t="s">
        <v>16</v>
      </c>
      <c r="O3" s="114" t="s">
        <v>998</v>
      </c>
      <c r="P3" s="56" t="s">
        <v>21</v>
      </c>
      <c r="Q3" s="107">
        <v>1</v>
      </c>
      <c r="R3" s="107">
        <v>1</v>
      </c>
      <c r="S3" s="107">
        <v>1</v>
      </c>
      <c r="T3" s="107">
        <v>1</v>
      </c>
      <c r="U3" s="107">
        <v>1</v>
      </c>
      <c r="V3" s="107">
        <v>1</v>
      </c>
      <c r="W3" s="107">
        <v>1</v>
      </c>
      <c r="X3" s="107">
        <v>1</v>
      </c>
      <c r="Y3" s="107">
        <v>1</v>
      </c>
      <c r="Z3" s="107">
        <v>1</v>
      </c>
      <c r="AA3" s="107">
        <v>1</v>
      </c>
      <c r="AB3" s="107">
        <v>1</v>
      </c>
      <c r="AC3" s="107">
        <v>1</v>
      </c>
    </row>
    <row r="4" spans="1:29" ht="30" customHeight="1" x14ac:dyDescent="0.25">
      <c r="A4" s="153">
        <v>9098910622</v>
      </c>
      <c r="B4" s="56" t="s">
        <v>1034</v>
      </c>
      <c r="C4" s="43" t="s">
        <v>1033</v>
      </c>
      <c r="D4" s="56" t="s">
        <v>1035</v>
      </c>
      <c r="E4" s="56" t="s">
        <v>1036</v>
      </c>
      <c r="F4" s="56" t="s">
        <v>59</v>
      </c>
      <c r="G4" s="56" t="s">
        <v>769</v>
      </c>
      <c r="H4" s="56" t="s">
        <v>61</v>
      </c>
      <c r="I4" s="56" t="s">
        <v>63</v>
      </c>
      <c r="J4" s="56"/>
      <c r="K4" s="56"/>
      <c r="L4" s="56"/>
      <c r="M4" s="56"/>
      <c r="N4" s="56" t="s">
        <v>16</v>
      </c>
      <c r="O4" s="114" t="s">
        <v>999</v>
      </c>
      <c r="P4" s="56" t="s">
        <v>21</v>
      </c>
      <c r="Q4" s="107">
        <v>1</v>
      </c>
      <c r="R4" s="107">
        <v>1</v>
      </c>
      <c r="S4" s="107">
        <v>1</v>
      </c>
      <c r="T4" s="107">
        <v>1</v>
      </c>
      <c r="U4" s="107">
        <v>1</v>
      </c>
      <c r="V4" s="107">
        <v>1</v>
      </c>
      <c r="W4" s="107">
        <v>1</v>
      </c>
      <c r="X4" s="107">
        <v>1</v>
      </c>
      <c r="Y4" s="107">
        <v>1</v>
      </c>
      <c r="Z4" s="107">
        <v>1</v>
      </c>
      <c r="AA4" s="107">
        <v>1</v>
      </c>
      <c r="AB4" s="107">
        <v>1</v>
      </c>
      <c r="AC4" s="107">
        <v>1</v>
      </c>
    </row>
    <row r="5" spans="1:29" ht="30" customHeight="1" x14ac:dyDescent="0.25">
      <c r="A5" s="153">
        <v>9098910622</v>
      </c>
      <c r="B5" s="56" t="s">
        <v>1034</v>
      </c>
      <c r="C5" s="43" t="s">
        <v>1033</v>
      </c>
      <c r="D5" s="56" t="s">
        <v>1035</v>
      </c>
      <c r="E5" s="56" t="s">
        <v>1036</v>
      </c>
      <c r="F5" s="56" t="s">
        <v>59</v>
      </c>
      <c r="G5" s="56" t="s">
        <v>769</v>
      </c>
      <c r="H5" s="56" t="s">
        <v>61</v>
      </c>
      <c r="I5" s="56" t="s">
        <v>63</v>
      </c>
      <c r="J5" s="56"/>
      <c r="K5" s="56"/>
      <c r="L5" s="56"/>
      <c r="M5" s="56"/>
      <c r="N5" s="56" t="s">
        <v>16</v>
      </c>
      <c r="O5" s="114" t="s">
        <v>1000</v>
      </c>
      <c r="P5" s="56" t="s">
        <v>21</v>
      </c>
      <c r="Q5" s="107">
        <v>1</v>
      </c>
      <c r="R5" s="107">
        <v>1</v>
      </c>
      <c r="S5" s="107">
        <v>1</v>
      </c>
      <c r="T5" s="107">
        <v>1</v>
      </c>
      <c r="U5" s="107">
        <v>1</v>
      </c>
      <c r="V5" s="107">
        <v>1</v>
      </c>
      <c r="W5" s="107">
        <v>1</v>
      </c>
      <c r="X5" s="107">
        <v>1</v>
      </c>
      <c r="Y5" s="107">
        <v>1</v>
      </c>
      <c r="Z5" s="107">
        <v>1</v>
      </c>
      <c r="AA5" s="107">
        <v>1</v>
      </c>
      <c r="AB5" s="107">
        <v>1</v>
      </c>
      <c r="AC5" s="107">
        <v>1</v>
      </c>
    </row>
    <row r="6" spans="1:29" ht="30" customHeight="1" x14ac:dyDescent="0.25">
      <c r="A6" s="153">
        <v>9098910622</v>
      </c>
      <c r="B6" s="56" t="s">
        <v>1034</v>
      </c>
      <c r="C6" s="43" t="s">
        <v>1033</v>
      </c>
      <c r="D6" s="56" t="s">
        <v>1035</v>
      </c>
      <c r="E6" s="56" t="s">
        <v>1036</v>
      </c>
      <c r="F6" s="56" t="s">
        <v>59</v>
      </c>
      <c r="G6" s="56" t="s">
        <v>769</v>
      </c>
      <c r="H6" s="56" t="s">
        <v>61</v>
      </c>
      <c r="I6" s="56" t="s">
        <v>63</v>
      </c>
      <c r="J6" s="56"/>
      <c r="K6" s="56"/>
      <c r="L6" s="56"/>
      <c r="M6" s="56"/>
      <c r="N6" s="56" t="s">
        <v>16</v>
      </c>
      <c r="O6" s="114" t="s">
        <v>1001</v>
      </c>
      <c r="P6" s="56" t="s">
        <v>21</v>
      </c>
      <c r="Q6" s="107">
        <v>1</v>
      </c>
      <c r="R6" s="107">
        <v>1</v>
      </c>
      <c r="S6" s="107">
        <v>1</v>
      </c>
      <c r="T6" s="107">
        <v>1</v>
      </c>
      <c r="U6" s="107">
        <v>1</v>
      </c>
      <c r="V6" s="107">
        <v>1</v>
      </c>
      <c r="W6" s="107">
        <v>1</v>
      </c>
      <c r="X6" s="107">
        <v>1</v>
      </c>
      <c r="Y6" s="107">
        <v>1</v>
      </c>
      <c r="Z6" s="107">
        <v>1</v>
      </c>
      <c r="AA6" s="107">
        <v>1</v>
      </c>
      <c r="AB6" s="107">
        <v>1</v>
      </c>
      <c r="AC6" s="107">
        <v>1</v>
      </c>
    </row>
    <row r="7" spans="1:29" ht="30" customHeight="1" x14ac:dyDescent="0.25">
      <c r="A7" s="153">
        <v>9098910622</v>
      </c>
      <c r="B7" s="56" t="s">
        <v>1034</v>
      </c>
      <c r="C7" s="43" t="s">
        <v>1033</v>
      </c>
      <c r="D7" s="56" t="s">
        <v>1035</v>
      </c>
      <c r="E7" s="56" t="s">
        <v>1036</v>
      </c>
      <c r="F7" s="56" t="s">
        <v>59</v>
      </c>
      <c r="G7" s="56" t="s">
        <v>769</v>
      </c>
      <c r="H7" s="56" t="s">
        <v>61</v>
      </c>
      <c r="I7" s="56" t="s">
        <v>63</v>
      </c>
      <c r="J7" s="56"/>
      <c r="K7" s="56"/>
      <c r="L7" s="56"/>
      <c r="M7" s="56"/>
      <c r="N7" s="56" t="s">
        <v>16</v>
      </c>
      <c r="O7" s="114" t="s">
        <v>1002</v>
      </c>
      <c r="P7" s="56" t="s">
        <v>21</v>
      </c>
      <c r="Q7" s="107">
        <v>1</v>
      </c>
      <c r="R7" s="107">
        <v>1</v>
      </c>
      <c r="S7" s="107">
        <v>1</v>
      </c>
      <c r="T7" s="107">
        <v>1</v>
      </c>
      <c r="U7" s="107">
        <v>1</v>
      </c>
      <c r="V7" s="107">
        <v>1</v>
      </c>
      <c r="W7" s="107">
        <v>1</v>
      </c>
      <c r="X7" s="107">
        <v>1</v>
      </c>
      <c r="Y7" s="107">
        <v>1</v>
      </c>
      <c r="Z7" s="107">
        <v>1</v>
      </c>
      <c r="AA7" s="107">
        <v>1</v>
      </c>
      <c r="AB7" s="107">
        <v>1</v>
      </c>
      <c r="AC7" s="107">
        <v>1</v>
      </c>
    </row>
    <row r="8" spans="1:29" ht="30" customHeight="1" x14ac:dyDescent="0.25">
      <c r="A8" s="153">
        <v>9098910622</v>
      </c>
      <c r="B8" s="56" t="s">
        <v>1034</v>
      </c>
      <c r="C8" s="43" t="s">
        <v>1033</v>
      </c>
      <c r="D8" s="56" t="s">
        <v>1035</v>
      </c>
      <c r="E8" s="56" t="s">
        <v>1036</v>
      </c>
      <c r="F8" s="56" t="s">
        <v>59</v>
      </c>
      <c r="G8" s="56" t="s">
        <v>769</v>
      </c>
      <c r="H8" s="56" t="s">
        <v>61</v>
      </c>
      <c r="I8" s="56" t="s">
        <v>63</v>
      </c>
      <c r="J8" s="56"/>
      <c r="K8" s="56"/>
      <c r="L8" s="56"/>
      <c r="M8" s="56"/>
      <c r="N8" s="56" t="s">
        <v>16</v>
      </c>
      <c r="O8" s="114" t="s">
        <v>1003</v>
      </c>
      <c r="P8" s="56" t="s">
        <v>21</v>
      </c>
      <c r="Q8" s="107">
        <v>1</v>
      </c>
      <c r="R8" s="107">
        <v>1</v>
      </c>
      <c r="S8" s="107">
        <v>1</v>
      </c>
      <c r="T8" s="107">
        <v>1</v>
      </c>
      <c r="U8" s="107">
        <v>1</v>
      </c>
      <c r="V8" s="107">
        <v>1</v>
      </c>
      <c r="W8" s="107">
        <v>1</v>
      </c>
      <c r="X8" s="107">
        <v>1</v>
      </c>
      <c r="Y8" s="107">
        <v>1</v>
      </c>
      <c r="Z8" s="107">
        <v>1</v>
      </c>
      <c r="AA8" s="107">
        <v>1</v>
      </c>
      <c r="AB8" s="107">
        <v>1</v>
      </c>
      <c r="AC8" s="107">
        <v>1</v>
      </c>
    </row>
    <row r="9" spans="1:29" ht="30" customHeight="1" x14ac:dyDescent="0.25">
      <c r="A9" s="153">
        <v>9098910622</v>
      </c>
      <c r="B9" s="56" t="s">
        <v>1034</v>
      </c>
      <c r="C9" s="43" t="s">
        <v>1033</v>
      </c>
      <c r="D9" s="56" t="s">
        <v>1035</v>
      </c>
      <c r="E9" s="56" t="s">
        <v>1036</v>
      </c>
      <c r="F9" s="56" t="s">
        <v>59</v>
      </c>
      <c r="G9" s="56" t="s">
        <v>769</v>
      </c>
      <c r="H9" s="56" t="s">
        <v>61</v>
      </c>
      <c r="I9" s="56" t="s">
        <v>63</v>
      </c>
      <c r="J9" s="56"/>
      <c r="K9" s="56"/>
      <c r="L9" s="56"/>
      <c r="M9" s="56"/>
      <c r="N9" s="56" t="s">
        <v>16</v>
      </c>
      <c r="O9" s="114" t="s">
        <v>1004</v>
      </c>
      <c r="P9" s="56" t="s">
        <v>21</v>
      </c>
      <c r="Q9" s="107">
        <v>1</v>
      </c>
      <c r="R9" s="107">
        <v>1</v>
      </c>
      <c r="S9" s="107">
        <v>1</v>
      </c>
      <c r="T9" s="107">
        <v>1</v>
      </c>
      <c r="U9" s="107">
        <v>1</v>
      </c>
      <c r="V9" s="107">
        <v>1</v>
      </c>
      <c r="W9" s="107">
        <v>1</v>
      </c>
      <c r="X9" s="107">
        <v>1</v>
      </c>
      <c r="Y9" s="107">
        <v>1</v>
      </c>
      <c r="Z9" s="107">
        <v>1</v>
      </c>
      <c r="AA9" s="107">
        <v>1</v>
      </c>
      <c r="AB9" s="107">
        <v>1</v>
      </c>
      <c r="AC9" s="107">
        <v>1</v>
      </c>
    </row>
    <row r="10" spans="1:29" ht="30" customHeight="1" x14ac:dyDescent="0.25">
      <c r="A10" s="153">
        <v>9098910622</v>
      </c>
      <c r="B10" s="56" t="s">
        <v>1034</v>
      </c>
      <c r="C10" s="43" t="s">
        <v>1033</v>
      </c>
      <c r="D10" s="56" t="s">
        <v>1035</v>
      </c>
      <c r="E10" s="56" t="s">
        <v>1036</v>
      </c>
      <c r="F10" s="56" t="s">
        <v>59</v>
      </c>
      <c r="G10" s="56" t="s">
        <v>769</v>
      </c>
      <c r="H10" s="56" t="s">
        <v>61</v>
      </c>
      <c r="I10" s="56" t="s">
        <v>63</v>
      </c>
      <c r="J10" s="56"/>
      <c r="K10" s="56"/>
      <c r="L10" s="56"/>
      <c r="M10" s="56"/>
      <c r="N10" s="56" t="s">
        <v>16</v>
      </c>
      <c r="O10" s="114" t="s">
        <v>1005</v>
      </c>
      <c r="P10" s="56" t="s">
        <v>21</v>
      </c>
      <c r="Q10" s="107">
        <v>1</v>
      </c>
      <c r="R10" s="107">
        <v>1</v>
      </c>
      <c r="S10" s="107">
        <v>1</v>
      </c>
      <c r="T10" s="107">
        <v>1</v>
      </c>
      <c r="U10" s="107">
        <v>1</v>
      </c>
      <c r="V10" s="107">
        <v>1</v>
      </c>
      <c r="W10" s="107">
        <v>1</v>
      </c>
      <c r="X10" s="107">
        <v>1</v>
      </c>
      <c r="Y10" s="107">
        <v>1</v>
      </c>
      <c r="Z10" s="107">
        <v>1</v>
      </c>
      <c r="AA10" s="107">
        <v>1</v>
      </c>
      <c r="AB10" s="107">
        <v>1</v>
      </c>
      <c r="AC10" s="107">
        <v>1</v>
      </c>
    </row>
    <row r="11" spans="1:29" ht="30" customHeight="1" x14ac:dyDescent="0.25">
      <c r="A11" s="153">
        <v>9098910622</v>
      </c>
      <c r="B11" s="56" t="s">
        <v>1034</v>
      </c>
      <c r="C11" s="43" t="s">
        <v>1033</v>
      </c>
      <c r="D11" s="56" t="s">
        <v>1035</v>
      </c>
      <c r="E11" s="56" t="s">
        <v>1036</v>
      </c>
      <c r="F11" s="56" t="s">
        <v>59</v>
      </c>
      <c r="G11" s="56" t="s">
        <v>769</v>
      </c>
      <c r="H11" s="56" t="s">
        <v>61</v>
      </c>
      <c r="I11" s="56" t="s">
        <v>63</v>
      </c>
      <c r="J11" s="56"/>
      <c r="K11" s="56"/>
      <c r="L11" s="56"/>
      <c r="M11" s="56"/>
      <c r="N11" s="56" t="s">
        <v>16</v>
      </c>
      <c r="O11" s="114" t="s">
        <v>1006</v>
      </c>
      <c r="P11" s="56" t="s">
        <v>21</v>
      </c>
      <c r="Q11" s="107">
        <v>1</v>
      </c>
      <c r="R11" s="107">
        <v>1</v>
      </c>
      <c r="S11" s="107">
        <v>1</v>
      </c>
      <c r="T11" s="107">
        <v>1</v>
      </c>
      <c r="U11" s="107">
        <v>1</v>
      </c>
      <c r="V11" s="107">
        <v>1</v>
      </c>
      <c r="W11" s="107">
        <v>1</v>
      </c>
      <c r="X11" s="107">
        <v>1</v>
      </c>
      <c r="Y11" s="107">
        <v>1</v>
      </c>
      <c r="Z11" s="107">
        <v>1</v>
      </c>
      <c r="AA11" s="107">
        <v>1</v>
      </c>
      <c r="AB11" s="107">
        <v>1</v>
      </c>
      <c r="AC11" s="107">
        <v>1</v>
      </c>
    </row>
    <row r="12" spans="1:29" ht="30" customHeight="1" x14ac:dyDescent="0.25">
      <c r="A12" s="153">
        <v>9098910622</v>
      </c>
      <c r="B12" s="56" t="s">
        <v>1034</v>
      </c>
      <c r="C12" s="43" t="s">
        <v>1033</v>
      </c>
      <c r="D12" s="56" t="s">
        <v>1035</v>
      </c>
      <c r="E12" s="56" t="s">
        <v>1036</v>
      </c>
      <c r="F12" s="56" t="s">
        <v>59</v>
      </c>
      <c r="G12" s="56" t="s">
        <v>769</v>
      </c>
      <c r="H12" s="56" t="s">
        <v>61</v>
      </c>
      <c r="I12" s="56" t="s">
        <v>63</v>
      </c>
      <c r="J12" s="56"/>
      <c r="K12" s="56"/>
      <c r="L12" s="56"/>
      <c r="M12" s="56"/>
      <c r="N12" s="56" t="s">
        <v>16</v>
      </c>
      <c r="O12" s="114" t="s">
        <v>1007</v>
      </c>
      <c r="P12" s="56" t="s">
        <v>21</v>
      </c>
      <c r="Q12" s="107">
        <v>1</v>
      </c>
      <c r="R12" s="107">
        <v>1</v>
      </c>
      <c r="S12" s="107">
        <v>1</v>
      </c>
      <c r="T12" s="107">
        <v>1</v>
      </c>
      <c r="U12" s="107">
        <v>1</v>
      </c>
      <c r="V12" s="107">
        <v>1</v>
      </c>
      <c r="W12" s="107">
        <v>1</v>
      </c>
      <c r="X12" s="107">
        <v>1</v>
      </c>
      <c r="Y12" s="107">
        <v>1</v>
      </c>
      <c r="Z12" s="107">
        <v>1</v>
      </c>
      <c r="AA12" s="107">
        <v>1</v>
      </c>
      <c r="AB12" s="107">
        <v>1</v>
      </c>
      <c r="AC12" s="107">
        <v>1</v>
      </c>
    </row>
    <row r="13" spans="1:29" ht="30" customHeight="1" x14ac:dyDescent="0.25">
      <c r="A13" s="153">
        <v>9098910622</v>
      </c>
      <c r="B13" s="56" t="s">
        <v>1034</v>
      </c>
      <c r="C13" s="43" t="s">
        <v>1033</v>
      </c>
      <c r="D13" s="56" t="s">
        <v>1035</v>
      </c>
      <c r="E13" s="56" t="s">
        <v>1036</v>
      </c>
      <c r="F13" s="56" t="s">
        <v>59</v>
      </c>
      <c r="G13" s="56" t="s">
        <v>769</v>
      </c>
      <c r="H13" s="56" t="s">
        <v>61</v>
      </c>
      <c r="I13" s="56" t="s">
        <v>63</v>
      </c>
      <c r="J13" s="56"/>
      <c r="K13" s="56"/>
      <c r="L13" s="56"/>
      <c r="M13" s="56"/>
      <c r="N13" s="56" t="s">
        <v>16</v>
      </c>
      <c r="O13" s="114" t="s">
        <v>1008</v>
      </c>
      <c r="P13" s="56" t="s">
        <v>21</v>
      </c>
      <c r="Q13" s="107">
        <v>1</v>
      </c>
      <c r="R13" s="107">
        <v>1</v>
      </c>
      <c r="S13" s="107">
        <v>1</v>
      </c>
      <c r="T13" s="107">
        <v>1</v>
      </c>
      <c r="U13" s="107">
        <v>1</v>
      </c>
      <c r="V13" s="107">
        <v>1</v>
      </c>
      <c r="W13" s="107">
        <v>1</v>
      </c>
      <c r="X13" s="107">
        <v>1</v>
      </c>
      <c r="Y13" s="107">
        <v>1</v>
      </c>
      <c r="Z13" s="107">
        <v>1</v>
      </c>
      <c r="AA13" s="107">
        <v>1</v>
      </c>
      <c r="AB13" s="107">
        <v>1</v>
      </c>
      <c r="AC13" s="107">
        <v>1</v>
      </c>
    </row>
    <row r="14" spans="1:29" ht="30" customHeight="1" x14ac:dyDescent="0.25">
      <c r="A14" s="153">
        <v>9098910622</v>
      </c>
      <c r="B14" s="56" t="s">
        <v>1034</v>
      </c>
      <c r="C14" s="43" t="s">
        <v>1033</v>
      </c>
      <c r="D14" s="56" t="s">
        <v>1035</v>
      </c>
      <c r="E14" s="56" t="s">
        <v>1036</v>
      </c>
      <c r="F14" s="56" t="s">
        <v>59</v>
      </c>
      <c r="G14" s="56" t="s">
        <v>769</v>
      </c>
      <c r="H14" s="56" t="s">
        <v>61</v>
      </c>
      <c r="I14" s="56" t="s">
        <v>63</v>
      </c>
      <c r="J14" s="56"/>
      <c r="K14" s="56"/>
      <c r="L14" s="56"/>
      <c r="M14" s="56"/>
      <c r="N14" s="56" t="s">
        <v>16</v>
      </c>
      <c r="O14" s="114" t="s">
        <v>1009</v>
      </c>
      <c r="P14" s="56" t="s">
        <v>21</v>
      </c>
      <c r="Q14" s="107">
        <v>1</v>
      </c>
      <c r="R14" s="107">
        <v>1</v>
      </c>
      <c r="S14" s="107">
        <v>1</v>
      </c>
      <c r="T14" s="107">
        <v>1</v>
      </c>
      <c r="U14" s="107">
        <v>1</v>
      </c>
      <c r="V14" s="107">
        <v>1</v>
      </c>
      <c r="W14" s="107">
        <v>1</v>
      </c>
      <c r="X14" s="107">
        <v>1</v>
      </c>
      <c r="Y14" s="107">
        <v>1</v>
      </c>
      <c r="Z14" s="107">
        <v>1</v>
      </c>
      <c r="AA14" s="107">
        <v>1</v>
      </c>
      <c r="AB14" s="107">
        <v>1</v>
      </c>
      <c r="AC14" s="107">
        <v>1</v>
      </c>
    </row>
    <row r="15" spans="1:29" ht="30" customHeight="1" x14ac:dyDescent="0.25">
      <c r="A15" s="153">
        <v>9098910622</v>
      </c>
      <c r="B15" s="56" t="s">
        <v>1034</v>
      </c>
      <c r="C15" s="43" t="s">
        <v>1033</v>
      </c>
      <c r="D15" s="56" t="s">
        <v>1035</v>
      </c>
      <c r="E15" s="56" t="s">
        <v>1036</v>
      </c>
      <c r="F15" s="56" t="s">
        <v>59</v>
      </c>
      <c r="G15" s="56" t="s">
        <v>769</v>
      </c>
      <c r="H15" s="56" t="s">
        <v>61</v>
      </c>
      <c r="I15" s="56" t="s">
        <v>63</v>
      </c>
      <c r="J15" s="56"/>
      <c r="K15" s="56"/>
      <c r="L15" s="56"/>
      <c r="M15" s="56"/>
      <c r="N15" s="56" t="s">
        <v>16</v>
      </c>
      <c r="O15" s="114" t="s">
        <v>1010</v>
      </c>
      <c r="P15" s="56" t="s">
        <v>21</v>
      </c>
      <c r="Q15" s="107">
        <v>1</v>
      </c>
      <c r="R15" s="107">
        <v>1</v>
      </c>
      <c r="S15" s="107">
        <v>1</v>
      </c>
      <c r="T15" s="107">
        <v>1</v>
      </c>
      <c r="U15" s="107">
        <v>1</v>
      </c>
      <c r="V15" s="107">
        <v>1</v>
      </c>
      <c r="W15" s="107">
        <v>1</v>
      </c>
      <c r="X15" s="107">
        <v>1</v>
      </c>
      <c r="Y15" s="107">
        <v>1</v>
      </c>
      <c r="Z15" s="107">
        <v>1</v>
      </c>
      <c r="AA15" s="107">
        <v>1</v>
      </c>
      <c r="AB15" s="107">
        <v>1</v>
      </c>
      <c r="AC15" s="107">
        <v>1</v>
      </c>
    </row>
    <row r="16" spans="1:29" ht="30" customHeight="1" x14ac:dyDescent="0.25">
      <c r="A16" s="153">
        <v>9098910622</v>
      </c>
      <c r="B16" s="56" t="s">
        <v>1034</v>
      </c>
      <c r="C16" s="43" t="s">
        <v>1033</v>
      </c>
      <c r="D16" s="56" t="s">
        <v>1035</v>
      </c>
      <c r="E16" s="56" t="s">
        <v>1036</v>
      </c>
      <c r="F16" s="56" t="s">
        <v>59</v>
      </c>
      <c r="G16" s="56" t="s">
        <v>769</v>
      </c>
      <c r="H16" s="56" t="s">
        <v>61</v>
      </c>
      <c r="I16" s="56" t="s">
        <v>63</v>
      </c>
      <c r="J16" s="56"/>
      <c r="K16" s="56"/>
      <c r="L16" s="56"/>
      <c r="M16" s="56"/>
      <c r="N16" s="56" t="s">
        <v>16</v>
      </c>
      <c r="O16" s="114" t="s">
        <v>1011</v>
      </c>
      <c r="P16" s="56" t="s">
        <v>21</v>
      </c>
      <c r="Q16" s="107">
        <v>1</v>
      </c>
      <c r="R16" s="107">
        <v>1</v>
      </c>
      <c r="S16" s="107">
        <v>1</v>
      </c>
      <c r="T16" s="107">
        <v>1</v>
      </c>
      <c r="U16" s="107">
        <v>1</v>
      </c>
      <c r="V16" s="107">
        <v>1</v>
      </c>
      <c r="W16" s="107">
        <v>1</v>
      </c>
      <c r="X16" s="107">
        <v>1</v>
      </c>
      <c r="Y16" s="107">
        <v>1</v>
      </c>
      <c r="Z16" s="107">
        <v>1</v>
      </c>
      <c r="AA16" s="107">
        <v>1</v>
      </c>
      <c r="AB16" s="107">
        <v>1</v>
      </c>
      <c r="AC16" s="107">
        <v>1</v>
      </c>
    </row>
    <row r="17" spans="1:29" ht="30" customHeight="1" x14ac:dyDescent="0.25">
      <c r="A17" s="153">
        <v>9098910622</v>
      </c>
      <c r="B17" s="56" t="s">
        <v>1034</v>
      </c>
      <c r="C17" s="43" t="s">
        <v>1033</v>
      </c>
      <c r="D17" s="56" t="s">
        <v>1035</v>
      </c>
      <c r="E17" s="56" t="s">
        <v>1036</v>
      </c>
      <c r="F17" s="56" t="s">
        <v>59</v>
      </c>
      <c r="G17" s="56" t="s">
        <v>769</v>
      </c>
      <c r="H17" s="56" t="s">
        <v>61</v>
      </c>
      <c r="I17" s="56" t="s">
        <v>63</v>
      </c>
      <c r="J17" s="56"/>
      <c r="K17" s="56"/>
      <c r="L17" s="56"/>
      <c r="M17" s="56"/>
      <c r="N17" s="56" t="s">
        <v>16</v>
      </c>
      <c r="O17" s="114" t="s">
        <v>1012</v>
      </c>
      <c r="P17" s="56" t="s">
        <v>21</v>
      </c>
      <c r="Q17" s="107">
        <v>1</v>
      </c>
      <c r="R17" s="107">
        <v>1</v>
      </c>
      <c r="S17" s="107">
        <v>1</v>
      </c>
      <c r="T17" s="107">
        <v>1</v>
      </c>
      <c r="U17" s="107">
        <v>1</v>
      </c>
      <c r="V17" s="107">
        <v>1</v>
      </c>
      <c r="W17" s="107">
        <v>1</v>
      </c>
      <c r="X17" s="107">
        <v>1</v>
      </c>
      <c r="Y17" s="107">
        <v>1</v>
      </c>
      <c r="Z17" s="107">
        <v>1</v>
      </c>
      <c r="AA17" s="107">
        <v>1</v>
      </c>
      <c r="AB17" s="107">
        <v>1</v>
      </c>
      <c r="AC17" s="107">
        <v>1</v>
      </c>
    </row>
    <row r="18" spans="1:29" ht="30" customHeight="1" x14ac:dyDescent="0.25">
      <c r="A18" s="153">
        <v>9098910622</v>
      </c>
      <c r="B18" s="56" t="s">
        <v>1034</v>
      </c>
      <c r="C18" s="43" t="s">
        <v>1033</v>
      </c>
      <c r="D18" s="56" t="s">
        <v>1035</v>
      </c>
      <c r="E18" s="56" t="s">
        <v>1036</v>
      </c>
      <c r="F18" s="56" t="s">
        <v>59</v>
      </c>
      <c r="G18" s="56" t="s">
        <v>769</v>
      </c>
      <c r="H18" s="56" t="s">
        <v>61</v>
      </c>
      <c r="I18" s="56" t="s">
        <v>63</v>
      </c>
      <c r="J18" s="56"/>
      <c r="K18" s="56"/>
      <c r="L18" s="56"/>
      <c r="M18" s="56"/>
      <c r="N18" s="56" t="s">
        <v>16</v>
      </c>
      <c r="O18" s="114" t="s">
        <v>1013</v>
      </c>
      <c r="P18" s="56" t="s">
        <v>21</v>
      </c>
      <c r="Q18" s="107">
        <v>1</v>
      </c>
      <c r="R18" s="107">
        <v>1</v>
      </c>
      <c r="S18" s="107">
        <v>1</v>
      </c>
      <c r="T18" s="107">
        <v>1</v>
      </c>
      <c r="U18" s="107">
        <v>1</v>
      </c>
      <c r="V18" s="107">
        <v>1</v>
      </c>
      <c r="W18" s="107">
        <v>1</v>
      </c>
      <c r="X18" s="107">
        <v>1</v>
      </c>
      <c r="Y18" s="107">
        <v>1</v>
      </c>
      <c r="Z18" s="107">
        <v>1</v>
      </c>
      <c r="AA18" s="107">
        <v>1</v>
      </c>
      <c r="AB18" s="107">
        <v>1</v>
      </c>
      <c r="AC18" s="107">
        <v>1</v>
      </c>
    </row>
    <row r="19" spans="1:29" ht="30" customHeight="1" x14ac:dyDescent="0.25">
      <c r="A19" s="153">
        <v>9098910622</v>
      </c>
      <c r="B19" s="56" t="s">
        <v>1034</v>
      </c>
      <c r="C19" s="43" t="s">
        <v>1033</v>
      </c>
      <c r="D19" s="56" t="s">
        <v>1035</v>
      </c>
      <c r="E19" s="56" t="s">
        <v>1036</v>
      </c>
      <c r="F19" s="56" t="s">
        <v>59</v>
      </c>
      <c r="G19" s="56" t="s">
        <v>769</v>
      </c>
      <c r="H19" s="56" t="s">
        <v>61</v>
      </c>
      <c r="I19" s="56" t="s">
        <v>63</v>
      </c>
      <c r="J19" s="56"/>
      <c r="K19" s="56"/>
      <c r="L19" s="56"/>
      <c r="M19" s="56"/>
      <c r="N19" s="56" t="s">
        <v>16</v>
      </c>
      <c r="O19" s="114" t="s">
        <v>1014</v>
      </c>
      <c r="P19" s="56" t="s">
        <v>21</v>
      </c>
      <c r="Q19" s="107">
        <v>1</v>
      </c>
      <c r="R19" s="107">
        <v>1</v>
      </c>
      <c r="S19" s="107">
        <v>1</v>
      </c>
      <c r="T19" s="107">
        <v>1</v>
      </c>
      <c r="U19" s="107">
        <v>1</v>
      </c>
      <c r="V19" s="107">
        <v>1</v>
      </c>
      <c r="W19" s="107">
        <v>1</v>
      </c>
      <c r="X19" s="107">
        <v>1</v>
      </c>
      <c r="Y19" s="107">
        <v>1</v>
      </c>
      <c r="Z19" s="107">
        <v>1</v>
      </c>
      <c r="AA19" s="107">
        <v>1</v>
      </c>
      <c r="AB19" s="107">
        <v>1</v>
      </c>
      <c r="AC19" s="107">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53FA1-99C9-4F29-A33F-53746FEFA494}">
  <dimension ref="A1:AC23"/>
  <sheetViews>
    <sheetView topLeftCell="F1" workbookViewId="0">
      <selection activeCell="F2" sqref="F2"/>
    </sheetView>
  </sheetViews>
  <sheetFormatPr defaultRowHeight="13.2" x14ac:dyDescent="0.25"/>
  <cols>
    <col min="1" max="1" width="12.109375" bestFit="1" customWidth="1"/>
    <col min="2" max="2" width="16.109375" bestFit="1" customWidth="1"/>
    <col min="3" max="3" width="30.44140625" bestFit="1" customWidth="1"/>
    <col min="4" max="4" width="15.33203125" bestFit="1" customWidth="1"/>
    <col min="5" max="5" width="12.21875" customWidth="1"/>
    <col min="6" max="6" width="11.21875" customWidth="1"/>
    <col min="7" max="7" width="12.44140625" bestFit="1" customWidth="1"/>
    <col min="8" max="8" width="10.109375" customWidth="1"/>
    <col min="9" max="9" width="14.5546875" customWidth="1"/>
    <col min="10" max="13" width="11.44140625" bestFit="1" customWidth="1"/>
    <col min="14" max="14" width="14.5546875" bestFit="1" customWidth="1"/>
    <col min="15" max="15" width="54.77734375" customWidth="1"/>
    <col min="16" max="16" width="21.77734375" bestFit="1" customWidth="1"/>
    <col min="17" max="17" width="14.109375" bestFit="1" customWidth="1"/>
  </cols>
  <sheetData>
    <row r="1" spans="1:29" ht="27.6" x14ac:dyDescent="0.25">
      <c r="A1" s="35" t="s">
        <v>0</v>
      </c>
      <c r="B1" s="35" t="s">
        <v>1</v>
      </c>
      <c r="C1" s="35" t="s">
        <v>2</v>
      </c>
      <c r="D1" s="35" t="s">
        <v>3</v>
      </c>
      <c r="E1" s="35" t="s">
        <v>4</v>
      </c>
      <c r="F1" s="35" t="s">
        <v>5</v>
      </c>
      <c r="G1" s="35" t="s">
        <v>6</v>
      </c>
      <c r="H1" s="35" t="s">
        <v>7</v>
      </c>
      <c r="I1" s="58" t="s">
        <v>8</v>
      </c>
      <c r="J1" s="35" t="s">
        <v>9</v>
      </c>
      <c r="K1" s="35" t="s">
        <v>10</v>
      </c>
      <c r="L1" s="35" t="s">
        <v>126</v>
      </c>
      <c r="M1" s="35" t="s">
        <v>127</v>
      </c>
      <c r="N1" s="35"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s="155" customFormat="1" ht="30" customHeight="1" x14ac:dyDescent="0.25">
      <c r="A2" s="38">
        <v>8889992925</v>
      </c>
      <c r="B2" s="56" t="s">
        <v>1039</v>
      </c>
      <c r="C2" s="43" t="s">
        <v>1037</v>
      </c>
      <c r="D2" s="56" t="s">
        <v>1038</v>
      </c>
      <c r="E2" s="56" t="s">
        <v>1036</v>
      </c>
      <c r="F2" s="56" t="s">
        <v>59</v>
      </c>
      <c r="G2" s="56" t="s">
        <v>769</v>
      </c>
      <c r="H2" s="56" t="s">
        <v>61</v>
      </c>
      <c r="I2" s="154" t="s">
        <v>63</v>
      </c>
      <c r="J2" s="154"/>
      <c r="K2" s="154"/>
      <c r="L2" s="154"/>
      <c r="M2" s="154"/>
      <c r="N2" s="154" t="s">
        <v>16</v>
      </c>
      <c r="O2" s="13" t="s">
        <v>975</v>
      </c>
      <c r="P2" s="56" t="s">
        <v>21</v>
      </c>
      <c r="Q2" s="107">
        <v>1</v>
      </c>
      <c r="R2" s="107">
        <v>1</v>
      </c>
      <c r="S2" s="107">
        <v>1</v>
      </c>
      <c r="T2" s="107">
        <v>1</v>
      </c>
      <c r="U2" s="107">
        <v>1</v>
      </c>
      <c r="V2" s="107">
        <v>1</v>
      </c>
      <c r="W2" s="107">
        <v>1</v>
      </c>
      <c r="X2" s="107">
        <v>1</v>
      </c>
      <c r="Y2" s="107">
        <v>1</v>
      </c>
      <c r="Z2" s="107">
        <v>1</v>
      </c>
      <c r="AA2" s="107">
        <v>1</v>
      </c>
      <c r="AB2" s="107">
        <v>1</v>
      </c>
      <c r="AC2" s="107">
        <v>1</v>
      </c>
    </row>
    <row r="3" spans="1:29" s="155" customFormat="1" ht="30" customHeight="1" x14ac:dyDescent="0.25">
      <c r="A3" s="38">
        <v>8889992925</v>
      </c>
      <c r="B3" s="56" t="s">
        <v>1039</v>
      </c>
      <c r="C3" s="43" t="s">
        <v>1037</v>
      </c>
      <c r="D3" s="56" t="s">
        <v>1038</v>
      </c>
      <c r="E3" s="56" t="s">
        <v>1036</v>
      </c>
      <c r="F3" s="56" t="s">
        <v>59</v>
      </c>
      <c r="G3" s="56" t="s">
        <v>769</v>
      </c>
      <c r="H3" s="56" t="s">
        <v>61</v>
      </c>
      <c r="I3" s="56" t="s">
        <v>63</v>
      </c>
      <c r="J3" s="56"/>
      <c r="K3" s="56"/>
      <c r="L3" s="56"/>
      <c r="M3" s="56"/>
      <c r="N3" s="56" t="s">
        <v>16</v>
      </c>
      <c r="O3" s="13" t="s">
        <v>976</v>
      </c>
      <c r="P3" s="56" t="s">
        <v>21</v>
      </c>
      <c r="Q3" s="107">
        <v>1</v>
      </c>
      <c r="R3" s="107">
        <v>1</v>
      </c>
      <c r="S3" s="107">
        <v>1</v>
      </c>
      <c r="T3" s="107">
        <v>1</v>
      </c>
      <c r="U3" s="107">
        <v>1</v>
      </c>
      <c r="V3" s="107">
        <v>1</v>
      </c>
      <c r="W3" s="107">
        <v>1</v>
      </c>
      <c r="X3" s="107">
        <v>1</v>
      </c>
      <c r="Y3" s="107">
        <v>1</v>
      </c>
      <c r="Z3" s="107">
        <v>1</v>
      </c>
      <c r="AA3" s="107">
        <v>1</v>
      </c>
      <c r="AB3" s="107">
        <v>1</v>
      </c>
      <c r="AC3" s="107">
        <v>1</v>
      </c>
    </row>
    <row r="4" spans="1:29" s="155" customFormat="1" ht="30" customHeight="1" x14ac:dyDescent="0.25">
      <c r="A4" s="38">
        <v>8889992925</v>
      </c>
      <c r="B4" s="56" t="s">
        <v>1039</v>
      </c>
      <c r="C4" s="43" t="s">
        <v>1037</v>
      </c>
      <c r="D4" s="56" t="s">
        <v>1038</v>
      </c>
      <c r="E4" s="56" t="s">
        <v>1036</v>
      </c>
      <c r="F4" s="56" t="s">
        <v>59</v>
      </c>
      <c r="G4" s="56" t="s">
        <v>769</v>
      </c>
      <c r="H4" s="56" t="s">
        <v>61</v>
      </c>
      <c r="I4" s="56" t="s">
        <v>63</v>
      </c>
      <c r="J4" s="56"/>
      <c r="K4" s="56"/>
      <c r="L4" s="56"/>
      <c r="M4" s="56"/>
      <c r="N4" s="56" t="s">
        <v>16</v>
      </c>
      <c r="O4" s="13" t="s">
        <v>977</v>
      </c>
      <c r="P4" s="56" t="s">
        <v>21</v>
      </c>
      <c r="Q4" s="107">
        <v>1</v>
      </c>
      <c r="R4" s="107">
        <v>1</v>
      </c>
      <c r="S4" s="107">
        <v>1</v>
      </c>
      <c r="T4" s="107">
        <v>1</v>
      </c>
      <c r="U4" s="107">
        <v>1</v>
      </c>
      <c r="V4" s="107">
        <v>1</v>
      </c>
      <c r="W4" s="107">
        <v>1</v>
      </c>
      <c r="X4" s="107">
        <v>1</v>
      </c>
      <c r="Y4" s="107">
        <v>1</v>
      </c>
      <c r="Z4" s="107">
        <v>1</v>
      </c>
      <c r="AA4" s="107">
        <v>1</v>
      </c>
      <c r="AB4" s="107">
        <v>1</v>
      </c>
      <c r="AC4" s="107">
        <v>1</v>
      </c>
    </row>
    <row r="5" spans="1:29" s="155" customFormat="1" ht="30" customHeight="1" x14ac:dyDescent="0.25">
      <c r="A5" s="38">
        <v>8889992925</v>
      </c>
      <c r="B5" s="56" t="s">
        <v>1039</v>
      </c>
      <c r="C5" s="43" t="s">
        <v>1037</v>
      </c>
      <c r="D5" s="56" t="s">
        <v>1038</v>
      </c>
      <c r="E5" s="56" t="s">
        <v>1036</v>
      </c>
      <c r="F5" s="56" t="s">
        <v>59</v>
      </c>
      <c r="G5" s="56" t="s">
        <v>769</v>
      </c>
      <c r="H5" s="56" t="s">
        <v>61</v>
      </c>
      <c r="I5" s="56" t="s">
        <v>63</v>
      </c>
      <c r="J5" s="56"/>
      <c r="K5" s="56"/>
      <c r="L5" s="56"/>
      <c r="M5" s="56"/>
      <c r="N5" s="56" t="s">
        <v>16</v>
      </c>
      <c r="O5" s="13" t="s">
        <v>978</v>
      </c>
      <c r="P5" s="56" t="s">
        <v>21</v>
      </c>
      <c r="Q5" s="107">
        <v>1</v>
      </c>
      <c r="R5" s="107">
        <v>1</v>
      </c>
      <c r="S5" s="107">
        <v>1</v>
      </c>
      <c r="T5" s="107">
        <v>1</v>
      </c>
      <c r="U5" s="107">
        <v>1</v>
      </c>
      <c r="V5" s="107">
        <v>1</v>
      </c>
      <c r="W5" s="107">
        <v>1</v>
      </c>
      <c r="X5" s="107">
        <v>1</v>
      </c>
      <c r="Y5" s="107">
        <v>1</v>
      </c>
      <c r="Z5" s="107">
        <v>1</v>
      </c>
      <c r="AA5" s="107">
        <v>1</v>
      </c>
      <c r="AB5" s="107">
        <v>1</v>
      </c>
      <c r="AC5" s="107">
        <v>1</v>
      </c>
    </row>
    <row r="6" spans="1:29" s="155" customFormat="1" ht="30" customHeight="1" x14ac:dyDescent="0.25">
      <c r="A6" s="38">
        <v>8889992925</v>
      </c>
      <c r="B6" s="56" t="s">
        <v>1039</v>
      </c>
      <c r="C6" s="43" t="s">
        <v>1037</v>
      </c>
      <c r="D6" s="56" t="s">
        <v>1038</v>
      </c>
      <c r="E6" s="56" t="s">
        <v>1036</v>
      </c>
      <c r="F6" s="56" t="s">
        <v>59</v>
      </c>
      <c r="G6" s="56" t="s">
        <v>769</v>
      </c>
      <c r="H6" s="56" t="s">
        <v>61</v>
      </c>
      <c r="I6" s="56" t="s">
        <v>63</v>
      </c>
      <c r="J6" s="56"/>
      <c r="K6" s="56"/>
      <c r="L6" s="56"/>
      <c r="M6" s="56"/>
      <c r="N6" s="56" t="s">
        <v>16</v>
      </c>
      <c r="O6" s="13" t="s">
        <v>979</v>
      </c>
      <c r="P6" s="56" t="s">
        <v>21</v>
      </c>
      <c r="Q6" s="107">
        <v>1</v>
      </c>
      <c r="R6" s="107">
        <v>1</v>
      </c>
      <c r="S6" s="107">
        <v>1</v>
      </c>
      <c r="T6" s="107">
        <v>1</v>
      </c>
      <c r="U6" s="107">
        <v>1</v>
      </c>
      <c r="V6" s="107">
        <v>1</v>
      </c>
      <c r="W6" s="107">
        <v>1</v>
      </c>
      <c r="X6" s="107">
        <v>1</v>
      </c>
      <c r="Y6" s="107">
        <v>1</v>
      </c>
      <c r="Z6" s="107">
        <v>1</v>
      </c>
      <c r="AA6" s="107">
        <v>1</v>
      </c>
      <c r="AB6" s="107">
        <v>1</v>
      </c>
      <c r="AC6" s="107">
        <v>1</v>
      </c>
    </row>
    <row r="7" spans="1:29" s="155" customFormat="1" ht="30" customHeight="1" x14ac:dyDescent="0.25">
      <c r="A7" s="38">
        <v>8889992925</v>
      </c>
      <c r="B7" s="56" t="s">
        <v>1039</v>
      </c>
      <c r="C7" s="43" t="s">
        <v>1037</v>
      </c>
      <c r="D7" s="56" t="s">
        <v>1038</v>
      </c>
      <c r="E7" s="56" t="s">
        <v>1036</v>
      </c>
      <c r="F7" s="56" t="s">
        <v>59</v>
      </c>
      <c r="G7" s="56" t="s">
        <v>769</v>
      </c>
      <c r="H7" s="56" t="s">
        <v>61</v>
      </c>
      <c r="I7" s="56" t="s">
        <v>63</v>
      </c>
      <c r="J7" s="56"/>
      <c r="K7" s="56"/>
      <c r="L7" s="56"/>
      <c r="M7" s="56"/>
      <c r="N7" s="56" t="s">
        <v>16</v>
      </c>
      <c r="O7" s="13" t="s">
        <v>980</v>
      </c>
      <c r="P7" s="56" t="s">
        <v>21</v>
      </c>
      <c r="Q7" s="107">
        <v>1</v>
      </c>
      <c r="R7" s="107">
        <v>1</v>
      </c>
      <c r="S7" s="107">
        <v>1</v>
      </c>
      <c r="T7" s="107">
        <v>1</v>
      </c>
      <c r="U7" s="107">
        <v>1</v>
      </c>
      <c r="V7" s="107">
        <v>1</v>
      </c>
      <c r="W7" s="107">
        <v>1</v>
      </c>
      <c r="X7" s="107">
        <v>1</v>
      </c>
      <c r="Y7" s="107">
        <v>1</v>
      </c>
      <c r="Z7" s="107">
        <v>1</v>
      </c>
      <c r="AA7" s="107">
        <v>1</v>
      </c>
      <c r="AB7" s="107">
        <v>1</v>
      </c>
      <c r="AC7" s="107">
        <v>1</v>
      </c>
    </row>
    <row r="8" spans="1:29" s="155" customFormat="1" ht="30" customHeight="1" x14ac:dyDescent="0.25">
      <c r="A8" s="38">
        <v>8889992925</v>
      </c>
      <c r="B8" s="56" t="s">
        <v>1039</v>
      </c>
      <c r="C8" s="43" t="s">
        <v>1037</v>
      </c>
      <c r="D8" s="56" t="s">
        <v>1038</v>
      </c>
      <c r="E8" s="56" t="s">
        <v>1036</v>
      </c>
      <c r="F8" s="56" t="s">
        <v>59</v>
      </c>
      <c r="G8" s="56" t="s">
        <v>769</v>
      </c>
      <c r="H8" s="56" t="s">
        <v>61</v>
      </c>
      <c r="I8" s="56" t="s">
        <v>63</v>
      </c>
      <c r="J8" s="56"/>
      <c r="K8" s="56"/>
      <c r="L8" s="56"/>
      <c r="M8" s="56"/>
      <c r="N8" s="56" t="s">
        <v>16</v>
      </c>
      <c r="O8" s="13" t="s">
        <v>981</v>
      </c>
      <c r="P8" s="56" t="s">
        <v>21</v>
      </c>
      <c r="Q8" s="107">
        <v>1</v>
      </c>
      <c r="R8" s="107">
        <v>1</v>
      </c>
      <c r="S8" s="107">
        <v>1</v>
      </c>
      <c r="T8" s="107">
        <v>1</v>
      </c>
      <c r="U8" s="107">
        <v>1</v>
      </c>
      <c r="V8" s="107">
        <v>1</v>
      </c>
      <c r="W8" s="107">
        <v>1</v>
      </c>
      <c r="X8" s="107">
        <v>1</v>
      </c>
      <c r="Y8" s="107">
        <v>1</v>
      </c>
      <c r="Z8" s="107">
        <v>1</v>
      </c>
      <c r="AA8" s="107">
        <v>1</v>
      </c>
      <c r="AB8" s="107">
        <v>1</v>
      </c>
      <c r="AC8" s="107">
        <v>1</v>
      </c>
    </row>
    <row r="9" spans="1:29" s="155" customFormat="1" ht="30" customHeight="1" x14ac:dyDescent="0.25">
      <c r="A9" s="38">
        <v>8889992925</v>
      </c>
      <c r="B9" s="56" t="s">
        <v>1039</v>
      </c>
      <c r="C9" s="43" t="s">
        <v>1037</v>
      </c>
      <c r="D9" s="56" t="s">
        <v>1038</v>
      </c>
      <c r="E9" s="56" t="s">
        <v>1036</v>
      </c>
      <c r="F9" s="56" t="s">
        <v>59</v>
      </c>
      <c r="G9" s="56" t="s">
        <v>769</v>
      </c>
      <c r="H9" s="56" t="s">
        <v>61</v>
      </c>
      <c r="I9" s="56" t="s">
        <v>63</v>
      </c>
      <c r="J9" s="56"/>
      <c r="K9" s="56"/>
      <c r="L9" s="56"/>
      <c r="M9" s="56"/>
      <c r="N9" s="56" t="s">
        <v>16</v>
      </c>
      <c r="O9" s="13" t="s">
        <v>982</v>
      </c>
      <c r="P9" s="56" t="s">
        <v>21</v>
      </c>
      <c r="Q9" s="107">
        <v>1</v>
      </c>
      <c r="R9" s="107">
        <v>1</v>
      </c>
      <c r="S9" s="107">
        <v>1</v>
      </c>
      <c r="T9" s="107">
        <v>1</v>
      </c>
      <c r="U9" s="107">
        <v>1</v>
      </c>
      <c r="V9" s="107">
        <v>1</v>
      </c>
      <c r="W9" s="107">
        <v>1</v>
      </c>
      <c r="X9" s="107">
        <v>1</v>
      </c>
      <c r="Y9" s="107">
        <v>1</v>
      </c>
      <c r="Z9" s="107">
        <v>1</v>
      </c>
      <c r="AA9" s="107">
        <v>1</v>
      </c>
      <c r="AB9" s="107">
        <v>1</v>
      </c>
      <c r="AC9" s="107">
        <v>1</v>
      </c>
    </row>
    <row r="10" spans="1:29" s="155" customFormat="1" ht="30" customHeight="1" x14ac:dyDescent="0.25">
      <c r="A10" s="38">
        <v>8889992925</v>
      </c>
      <c r="B10" s="56" t="s">
        <v>1039</v>
      </c>
      <c r="C10" s="43" t="s">
        <v>1037</v>
      </c>
      <c r="D10" s="56" t="s">
        <v>1038</v>
      </c>
      <c r="E10" s="56" t="s">
        <v>1036</v>
      </c>
      <c r="F10" s="56" t="s">
        <v>59</v>
      </c>
      <c r="G10" s="56" t="s">
        <v>769</v>
      </c>
      <c r="H10" s="56" t="s">
        <v>61</v>
      </c>
      <c r="I10" s="56" t="s">
        <v>63</v>
      </c>
      <c r="J10" s="56"/>
      <c r="K10" s="56"/>
      <c r="L10" s="56"/>
      <c r="M10" s="56"/>
      <c r="N10" s="56" t="s">
        <v>16</v>
      </c>
      <c r="O10" s="13" t="s">
        <v>983</v>
      </c>
      <c r="P10" s="56" t="s">
        <v>21</v>
      </c>
      <c r="Q10" s="107">
        <v>1</v>
      </c>
      <c r="R10" s="107">
        <v>1</v>
      </c>
      <c r="S10" s="107">
        <v>1</v>
      </c>
      <c r="T10" s="107">
        <v>1</v>
      </c>
      <c r="U10" s="107">
        <v>1</v>
      </c>
      <c r="V10" s="107">
        <v>1</v>
      </c>
      <c r="W10" s="107">
        <v>1</v>
      </c>
      <c r="X10" s="107">
        <v>1</v>
      </c>
      <c r="Y10" s="107">
        <v>1</v>
      </c>
      <c r="Z10" s="107">
        <v>1</v>
      </c>
      <c r="AA10" s="107">
        <v>1</v>
      </c>
      <c r="AB10" s="107">
        <v>1</v>
      </c>
      <c r="AC10" s="107">
        <v>1</v>
      </c>
    </row>
    <row r="11" spans="1:29" s="155" customFormat="1" ht="30" customHeight="1" x14ac:dyDescent="0.25">
      <c r="A11" s="38">
        <v>8889992925</v>
      </c>
      <c r="B11" s="56" t="s">
        <v>1039</v>
      </c>
      <c r="C11" s="43" t="s">
        <v>1037</v>
      </c>
      <c r="D11" s="56" t="s">
        <v>1038</v>
      </c>
      <c r="E11" s="56" t="s">
        <v>1036</v>
      </c>
      <c r="F11" s="56" t="s">
        <v>59</v>
      </c>
      <c r="G11" s="56" t="s">
        <v>769</v>
      </c>
      <c r="H11" s="56" t="s">
        <v>61</v>
      </c>
      <c r="I11" s="56" t="s">
        <v>63</v>
      </c>
      <c r="J11" s="56"/>
      <c r="K11" s="56"/>
      <c r="L11" s="56"/>
      <c r="M11" s="56"/>
      <c r="N11" s="56" t="s">
        <v>16</v>
      </c>
      <c r="O11" s="13" t="s">
        <v>984</v>
      </c>
      <c r="P11" s="56" t="s">
        <v>21</v>
      </c>
      <c r="Q11" s="107">
        <v>1</v>
      </c>
      <c r="R11" s="107">
        <v>1</v>
      </c>
      <c r="S11" s="107">
        <v>1</v>
      </c>
      <c r="T11" s="107">
        <v>1</v>
      </c>
      <c r="U11" s="107">
        <v>1</v>
      </c>
      <c r="V11" s="107">
        <v>1</v>
      </c>
      <c r="W11" s="107">
        <v>1</v>
      </c>
      <c r="X11" s="107">
        <v>1</v>
      </c>
      <c r="Y11" s="107">
        <v>1</v>
      </c>
      <c r="Z11" s="107">
        <v>1</v>
      </c>
      <c r="AA11" s="107">
        <v>1</v>
      </c>
      <c r="AB11" s="107">
        <v>1</v>
      </c>
      <c r="AC11" s="107">
        <v>1</v>
      </c>
    </row>
    <row r="12" spans="1:29" s="155" customFormat="1" ht="30" customHeight="1" x14ac:dyDescent="0.25">
      <c r="A12" s="38">
        <v>8889992925</v>
      </c>
      <c r="B12" s="56" t="s">
        <v>1039</v>
      </c>
      <c r="C12" s="43" t="s">
        <v>1037</v>
      </c>
      <c r="D12" s="56" t="s">
        <v>1038</v>
      </c>
      <c r="E12" s="56" t="s">
        <v>1036</v>
      </c>
      <c r="F12" s="56" t="s">
        <v>59</v>
      </c>
      <c r="G12" s="56" t="s">
        <v>769</v>
      </c>
      <c r="H12" s="56" t="s">
        <v>61</v>
      </c>
      <c r="I12" s="56" t="s">
        <v>63</v>
      </c>
      <c r="J12" s="56"/>
      <c r="K12" s="56"/>
      <c r="L12" s="56"/>
      <c r="M12" s="56"/>
      <c r="N12" s="56" t="s">
        <v>16</v>
      </c>
      <c r="O12" s="13" t="s">
        <v>985</v>
      </c>
      <c r="P12" s="56" t="s">
        <v>21</v>
      </c>
      <c r="Q12" s="107">
        <v>1</v>
      </c>
      <c r="R12" s="107">
        <v>1</v>
      </c>
      <c r="S12" s="107">
        <v>1</v>
      </c>
      <c r="T12" s="107">
        <v>1</v>
      </c>
      <c r="U12" s="107">
        <v>1</v>
      </c>
      <c r="V12" s="107">
        <v>1</v>
      </c>
      <c r="W12" s="107">
        <v>1</v>
      </c>
      <c r="X12" s="107">
        <v>1</v>
      </c>
      <c r="Y12" s="107">
        <v>1</v>
      </c>
      <c r="Z12" s="107">
        <v>1</v>
      </c>
      <c r="AA12" s="107">
        <v>1</v>
      </c>
      <c r="AB12" s="107">
        <v>1</v>
      </c>
      <c r="AC12" s="107">
        <v>1</v>
      </c>
    </row>
    <row r="13" spans="1:29" s="155" customFormat="1" ht="30" customHeight="1" x14ac:dyDescent="0.25">
      <c r="A13" s="38">
        <v>8889992925</v>
      </c>
      <c r="B13" s="56" t="s">
        <v>1039</v>
      </c>
      <c r="C13" s="43" t="s">
        <v>1037</v>
      </c>
      <c r="D13" s="56" t="s">
        <v>1038</v>
      </c>
      <c r="E13" s="56" t="s">
        <v>1036</v>
      </c>
      <c r="F13" s="56" t="s">
        <v>59</v>
      </c>
      <c r="G13" s="56" t="s">
        <v>769</v>
      </c>
      <c r="H13" s="56" t="s">
        <v>61</v>
      </c>
      <c r="I13" s="56" t="s">
        <v>63</v>
      </c>
      <c r="J13" s="56"/>
      <c r="K13" s="56"/>
      <c r="L13" s="56"/>
      <c r="M13" s="56"/>
      <c r="N13" s="56" t="s">
        <v>16</v>
      </c>
      <c r="O13" s="13" t="s">
        <v>986</v>
      </c>
      <c r="P13" s="56" t="s">
        <v>21</v>
      </c>
      <c r="Q13" s="107">
        <v>1</v>
      </c>
      <c r="R13" s="107">
        <v>1</v>
      </c>
      <c r="S13" s="107">
        <v>1</v>
      </c>
      <c r="T13" s="107">
        <v>1</v>
      </c>
      <c r="U13" s="107">
        <v>1</v>
      </c>
      <c r="V13" s="107">
        <v>1</v>
      </c>
      <c r="W13" s="107">
        <v>1</v>
      </c>
      <c r="X13" s="107">
        <v>1</v>
      </c>
      <c r="Y13" s="107">
        <v>1</v>
      </c>
      <c r="Z13" s="107">
        <v>1</v>
      </c>
      <c r="AA13" s="107">
        <v>1</v>
      </c>
      <c r="AB13" s="107">
        <v>1</v>
      </c>
      <c r="AC13" s="107">
        <v>1</v>
      </c>
    </row>
    <row r="14" spans="1:29" s="155" customFormat="1" ht="30" customHeight="1" x14ac:dyDescent="0.25">
      <c r="A14" s="38">
        <v>8889992925</v>
      </c>
      <c r="B14" s="56" t="s">
        <v>1039</v>
      </c>
      <c r="C14" s="43" t="s">
        <v>1037</v>
      </c>
      <c r="D14" s="56" t="s">
        <v>1038</v>
      </c>
      <c r="E14" s="56" t="s">
        <v>1036</v>
      </c>
      <c r="F14" s="56" t="s">
        <v>59</v>
      </c>
      <c r="G14" s="56" t="s">
        <v>769</v>
      </c>
      <c r="H14" s="56" t="s">
        <v>61</v>
      </c>
      <c r="I14" s="56" t="s">
        <v>63</v>
      </c>
      <c r="J14" s="56"/>
      <c r="K14" s="56"/>
      <c r="L14" s="56"/>
      <c r="M14" s="56"/>
      <c r="N14" s="56" t="s">
        <v>16</v>
      </c>
      <c r="O14" s="13" t="s">
        <v>987</v>
      </c>
      <c r="P14" s="56" t="s">
        <v>21</v>
      </c>
      <c r="Q14" s="107">
        <v>1</v>
      </c>
      <c r="R14" s="107">
        <v>1</v>
      </c>
      <c r="S14" s="107">
        <v>1</v>
      </c>
      <c r="T14" s="107">
        <v>1</v>
      </c>
      <c r="U14" s="107">
        <v>1</v>
      </c>
      <c r="V14" s="107">
        <v>1</v>
      </c>
      <c r="W14" s="107">
        <v>1</v>
      </c>
      <c r="X14" s="107">
        <v>1</v>
      </c>
      <c r="Y14" s="107">
        <v>1</v>
      </c>
      <c r="Z14" s="107">
        <v>1</v>
      </c>
      <c r="AA14" s="107">
        <v>1</v>
      </c>
      <c r="AB14" s="107">
        <v>1</v>
      </c>
      <c r="AC14" s="107">
        <v>1</v>
      </c>
    </row>
    <row r="15" spans="1:29" s="155" customFormat="1" ht="30" customHeight="1" x14ac:dyDescent="0.25">
      <c r="A15" s="38">
        <v>8889992925</v>
      </c>
      <c r="B15" s="56" t="s">
        <v>1039</v>
      </c>
      <c r="C15" s="43" t="s">
        <v>1037</v>
      </c>
      <c r="D15" s="56" t="s">
        <v>1038</v>
      </c>
      <c r="E15" s="56" t="s">
        <v>1036</v>
      </c>
      <c r="F15" s="56" t="s">
        <v>59</v>
      </c>
      <c r="G15" s="56" t="s">
        <v>769</v>
      </c>
      <c r="H15" s="56" t="s">
        <v>61</v>
      </c>
      <c r="I15" s="56" t="s">
        <v>63</v>
      </c>
      <c r="J15" s="56"/>
      <c r="K15" s="56"/>
      <c r="L15" s="56"/>
      <c r="M15" s="56"/>
      <c r="N15" s="56" t="s">
        <v>16</v>
      </c>
      <c r="O15" s="13" t="s">
        <v>988</v>
      </c>
      <c r="P15" s="56" t="s">
        <v>21</v>
      </c>
      <c r="Q15" s="107">
        <v>1</v>
      </c>
      <c r="R15" s="107">
        <v>1</v>
      </c>
      <c r="S15" s="107">
        <v>1</v>
      </c>
      <c r="T15" s="107">
        <v>1</v>
      </c>
      <c r="U15" s="107">
        <v>1</v>
      </c>
      <c r="V15" s="107">
        <v>1</v>
      </c>
      <c r="W15" s="107">
        <v>1</v>
      </c>
      <c r="X15" s="107">
        <v>1</v>
      </c>
      <c r="Y15" s="107">
        <v>1</v>
      </c>
      <c r="Z15" s="107">
        <v>1</v>
      </c>
      <c r="AA15" s="107">
        <v>1</v>
      </c>
      <c r="AB15" s="107">
        <v>1</v>
      </c>
      <c r="AC15" s="107">
        <v>1</v>
      </c>
    </row>
    <row r="16" spans="1:29" s="155" customFormat="1" ht="30" customHeight="1" x14ac:dyDescent="0.25">
      <c r="A16" s="38">
        <v>8889992925</v>
      </c>
      <c r="B16" s="56" t="s">
        <v>1039</v>
      </c>
      <c r="C16" s="43" t="s">
        <v>1037</v>
      </c>
      <c r="D16" s="56" t="s">
        <v>1038</v>
      </c>
      <c r="E16" s="56" t="s">
        <v>1036</v>
      </c>
      <c r="F16" s="56" t="s">
        <v>59</v>
      </c>
      <c r="G16" s="56" t="s">
        <v>769</v>
      </c>
      <c r="H16" s="56" t="s">
        <v>61</v>
      </c>
      <c r="I16" s="56" t="s">
        <v>63</v>
      </c>
      <c r="J16" s="56"/>
      <c r="K16" s="56"/>
      <c r="L16" s="56"/>
      <c r="M16" s="56"/>
      <c r="N16" s="56" t="s">
        <v>16</v>
      </c>
      <c r="O16" s="13" t="s">
        <v>989</v>
      </c>
      <c r="P16" s="56" t="s">
        <v>21</v>
      </c>
      <c r="Q16" s="107">
        <v>1</v>
      </c>
      <c r="R16" s="107">
        <v>1</v>
      </c>
      <c r="S16" s="107">
        <v>1</v>
      </c>
      <c r="T16" s="107">
        <v>1</v>
      </c>
      <c r="U16" s="107">
        <v>1</v>
      </c>
      <c r="V16" s="107">
        <v>1</v>
      </c>
      <c r="W16" s="107">
        <v>1</v>
      </c>
      <c r="X16" s="107">
        <v>1</v>
      </c>
      <c r="Y16" s="107">
        <v>1</v>
      </c>
      <c r="Z16" s="107">
        <v>1</v>
      </c>
      <c r="AA16" s="107">
        <v>1</v>
      </c>
      <c r="AB16" s="107">
        <v>1</v>
      </c>
      <c r="AC16" s="107">
        <v>1</v>
      </c>
    </row>
    <row r="17" spans="1:29" s="155" customFormat="1" ht="30" customHeight="1" x14ac:dyDescent="0.25">
      <c r="A17" s="38">
        <v>8889992925</v>
      </c>
      <c r="B17" s="56" t="s">
        <v>1039</v>
      </c>
      <c r="C17" s="43" t="s">
        <v>1037</v>
      </c>
      <c r="D17" s="56" t="s">
        <v>1038</v>
      </c>
      <c r="E17" s="56" t="s">
        <v>1036</v>
      </c>
      <c r="F17" s="56" t="s">
        <v>59</v>
      </c>
      <c r="G17" s="56" t="s">
        <v>769</v>
      </c>
      <c r="H17" s="56" t="s">
        <v>61</v>
      </c>
      <c r="I17" s="56" t="s">
        <v>63</v>
      </c>
      <c r="J17" s="56"/>
      <c r="K17" s="56"/>
      <c r="L17" s="56"/>
      <c r="M17" s="56"/>
      <c r="N17" s="56" t="s">
        <v>16</v>
      </c>
      <c r="O17" s="13" t="s">
        <v>990</v>
      </c>
      <c r="P17" s="56" t="s">
        <v>21</v>
      </c>
      <c r="Q17" s="107">
        <v>1</v>
      </c>
      <c r="R17" s="107">
        <v>1</v>
      </c>
      <c r="S17" s="107">
        <v>1</v>
      </c>
      <c r="T17" s="107">
        <v>1</v>
      </c>
      <c r="U17" s="107">
        <v>1</v>
      </c>
      <c r="V17" s="107">
        <v>1</v>
      </c>
      <c r="W17" s="107">
        <v>1</v>
      </c>
      <c r="X17" s="107">
        <v>1</v>
      </c>
      <c r="Y17" s="107">
        <v>1</v>
      </c>
      <c r="Z17" s="107">
        <v>1</v>
      </c>
      <c r="AA17" s="107">
        <v>1</v>
      </c>
      <c r="AB17" s="107">
        <v>1</v>
      </c>
      <c r="AC17" s="107">
        <v>1</v>
      </c>
    </row>
    <row r="18" spans="1:29" s="155" customFormat="1" ht="30" customHeight="1" x14ac:dyDescent="0.25">
      <c r="A18" s="38">
        <v>8889992925</v>
      </c>
      <c r="B18" s="56" t="s">
        <v>1039</v>
      </c>
      <c r="C18" s="43" t="s">
        <v>1037</v>
      </c>
      <c r="D18" s="56" t="s">
        <v>1038</v>
      </c>
      <c r="E18" s="56" t="s">
        <v>1036</v>
      </c>
      <c r="F18" s="56" t="s">
        <v>59</v>
      </c>
      <c r="G18" s="56" t="s">
        <v>769</v>
      </c>
      <c r="H18" s="56" t="s">
        <v>61</v>
      </c>
      <c r="I18" s="56" t="s">
        <v>63</v>
      </c>
      <c r="J18" s="56"/>
      <c r="K18" s="56"/>
      <c r="L18" s="56"/>
      <c r="M18" s="56"/>
      <c r="N18" s="56" t="s">
        <v>16</v>
      </c>
      <c r="O18" s="13" t="s">
        <v>991</v>
      </c>
      <c r="P18" s="56" t="s">
        <v>21</v>
      </c>
      <c r="Q18" s="107">
        <v>1</v>
      </c>
      <c r="R18" s="107">
        <v>1</v>
      </c>
      <c r="S18" s="107">
        <v>1</v>
      </c>
      <c r="T18" s="107">
        <v>1</v>
      </c>
      <c r="U18" s="107">
        <v>1</v>
      </c>
      <c r="V18" s="107">
        <v>1</v>
      </c>
      <c r="W18" s="107">
        <v>1</v>
      </c>
      <c r="X18" s="107">
        <v>1</v>
      </c>
      <c r="Y18" s="107">
        <v>1</v>
      </c>
      <c r="Z18" s="107">
        <v>1</v>
      </c>
      <c r="AA18" s="107">
        <v>1</v>
      </c>
      <c r="AB18" s="107">
        <v>1</v>
      </c>
      <c r="AC18" s="107">
        <v>1</v>
      </c>
    </row>
    <row r="19" spans="1:29" s="155" customFormat="1" ht="30" customHeight="1" x14ac:dyDescent="0.25">
      <c r="A19" s="38">
        <v>8889992925</v>
      </c>
      <c r="B19" s="56" t="s">
        <v>1039</v>
      </c>
      <c r="C19" s="43" t="s">
        <v>1037</v>
      </c>
      <c r="D19" s="56" t="s">
        <v>1038</v>
      </c>
      <c r="E19" s="56" t="s">
        <v>1036</v>
      </c>
      <c r="F19" s="56" t="s">
        <v>59</v>
      </c>
      <c r="G19" s="56" t="s">
        <v>769</v>
      </c>
      <c r="H19" s="56" t="s">
        <v>61</v>
      </c>
      <c r="I19" s="56" t="s">
        <v>63</v>
      </c>
      <c r="J19" s="56"/>
      <c r="K19" s="56"/>
      <c r="L19" s="56"/>
      <c r="M19" s="56"/>
      <c r="N19" s="56" t="s">
        <v>16</v>
      </c>
      <c r="O19" s="13" t="s">
        <v>992</v>
      </c>
      <c r="P19" s="56" t="s">
        <v>21</v>
      </c>
      <c r="Q19" s="107">
        <v>1</v>
      </c>
      <c r="R19" s="107">
        <v>1</v>
      </c>
      <c r="S19" s="107">
        <v>1</v>
      </c>
      <c r="T19" s="107">
        <v>1</v>
      </c>
      <c r="U19" s="107">
        <v>1</v>
      </c>
      <c r="V19" s="107">
        <v>1</v>
      </c>
      <c r="W19" s="107">
        <v>1</v>
      </c>
      <c r="X19" s="107">
        <v>1</v>
      </c>
      <c r="Y19" s="107">
        <v>1</v>
      </c>
      <c r="Z19" s="107">
        <v>1</v>
      </c>
      <c r="AA19" s="107">
        <v>1</v>
      </c>
      <c r="AB19" s="107">
        <v>1</v>
      </c>
      <c r="AC19" s="107">
        <v>1</v>
      </c>
    </row>
    <row r="20" spans="1:29" s="155" customFormat="1" ht="30" customHeight="1" x14ac:dyDescent="0.25">
      <c r="A20" s="38">
        <v>8889992925</v>
      </c>
      <c r="B20" s="56" t="s">
        <v>1039</v>
      </c>
      <c r="C20" s="43" t="s">
        <v>1037</v>
      </c>
      <c r="D20" s="56" t="s">
        <v>1038</v>
      </c>
      <c r="E20" s="56" t="s">
        <v>1036</v>
      </c>
      <c r="F20" s="56" t="s">
        <v>59</v>
      </c>
      <c r="G20" s="56" t="s">
        <v>769</v>
      </c>
      <c r="H20" s="56" t="s">
        <v>61</v>
      </c>
      <c r="I20" s="56" t="s">
        <v>63</v>
      </c>
      <c r="J20" s="56"/>
      <c r="K20" s="56"/>
      <c r="L20" s="56"/>
      <c r="M20" s="56"/>
      <c r="N20" s="56" t="s">
        <v>16</v>
      </c>
      <c r="O20" s="13" t="s">
        <v>993</v>
      </c>
      <c r="P20" s="56" t="s">
        <v>21</v>
      </c>
      <c r="Q20" s="107">
        <v>1</v>
      </c>
      <c r="R20" s="107">
        <v>1</v>
      </c>
      <c r="S20" s="107">
        <v>1</v>
      </c>
      <c r="T20" s="107">
        <v>1</v>
      </c>
      <c r="U20" s="107">
        <v>1</v>
      </c>
      <c r="V20" s="107">
        <v>1</v>
      </c>
      <c r="W20" s="107">
        <v>1</v>
      </c>
      <c r="X20" s="107">
        <v>1</v>
      </c>
      <c r="Y20" s="107">
        <v>1</v>
      </c>
      <c r="Z20" s="107">
        <v>1</v>
      </c>
      <c r="AA20" s="107">
        <v>1</v>
      </c>
      <c r="AB20" s="107">
        <v>1</v>
      </c>
      <c r="AC20" s="107">
        <v>1</v>
      </c>
    </row>
    <row r="21" spans="1:29" s="155" customFormat="1" ht="30" customHeight="1" x14ac:dyDescent="0.25">
      <c r="A21" s="38">
        <v>8889992925</v>
      </c>
      <c r="B21" s="56" t="s">
        <v>1039</v>
      </c>
      <c r="C21" s="43" t="s">
        <v>1037</v>
      </c>
      <c r="D21" s="56" t="s">
        <v>1038</v>
      </c>
      <c r="E21" s="56" t="s">
        <v>1036</v>
      </c>
      <c r="F21" s="56" t="s">
        <v>59</v>
      </c>
      <c r="G21" s="56" t="s">
        <v>769</v>
      </c>
      <c r="H21" s="56" t="s">
        <v>61</v>
      </c>
      <c r="I21" s="56" t="s">
        <v>63</v>
      </c>
      <c r="J21" s="56"/>
      <c r="K21" s="56"/>
      <c r="L21" s="56"/>
      <c r="M21" s="56"/>
      <c r="N21" s="56" t="s">
        <v>16</v>
      </c>
      <c r="O21" s="13" t="s">
        <v>994</v>
      </c>
      <c r="P21" s="56" t="s">
        <v>21</v>
      </c>
      <c r="Q21" s="107">
        <v>1</v>
      </c>
      <c r="R21" s="107">
        <v>1</v>
      </c>
      <c r="S21" s="107">
        <v>1</v>
      </c>
      <c r="T21" s="107">
        <v>1</v>
      </c>
      <c r="U21" s="107">
        <v>1</v>
      </c>
      <c r="V21" s="107">
        <v>1</v>
      </c>
      <c r="W21" s="107">
        <v>1</v>
      </c>
      <c r="X21" s="107">
        <v>1</v>
      </c>
      <c r="Y21" s="107">
        <v>1</v>
      </c>
      <c r="Z21" s="107">
        <v>1</v>
      </c>
      <c r="AA21" s="107">
        <v>1</v>
      </c>
      <c r="AB21" s="107">
        <v>1</v>
      </c>
      <c r="AC21" s="107">
        <v>1</v>
      </c>
    </row>
    <row r="22" spans="1:29" s="155" customFormat="1" ht="30" customHeight="1" x14ac:dyDescent="0.25">
      <c r="A22" s="38">
        <v>8889992925</v>
      </c>
      <c r="B22" s="56" t="s">
        <v>1039</v>
      </c>
      <c r="C22" s="43" t="s">
        <v>1037</v>
      </c>
      <c r="D22" s="56" t="s">
        <v>1038</v>
      </c>
      <c r="E22" s="56" t="s">
        <v>1036</v>
      </c>
      <c r="F22" s="56" t="s">
        <v>59</v>
      </c>
      <c r="G22" s="56" t="s">
        <v>769</v>
      </c>
      <c r="H22" s="56" t="s">
        <v>61</v>
      </c>
      <c r="I22" s="56" t="s">
        <v>63</v>
      </c>
      <c r="J22" s="56"/>
      <c r="K22" s="56"/>
      <c r="L22" s="56"/>
      <c r="M22" s="56"/>
      <c r="N22" s="56" t="s">
        <v>16</v>
      </c>
      <c r="O22" s="13" t="s">
        <v>995</v>
      </c>
      <c r="P22" s="56" t="s">
        <v>21</v>
      </c>
      <c r="Q22" s="107">
        <v>1</v>
      </c>
      <c r="R22" s="107">
        <v>1</v>
      </c>
      <c r="S22" s="107">
        <v>1</v>
      </c>
      <c r="T22" s="107">
        <v>1</v>
      </c>
      <c r="U22" s="107">
        <v>1</v>
      </c>
      <c r="V22" s="107">
        <v>1</v>
      </c>
      <c r="W22" s="107">
        <v>1</v>
      </c>
      <c r="X22" s="107">
        <v>1</v>
      </c>
      <c r="Y22" s="107">
        <v>1</v>
      </c>
      <c r="Z22" s="107">
        <v>1</v>
      </c>
      <c r="AA22" s="107">
        <v>1</v>
      </c>
      <c r="AB22" s="107">
        <v>1</v>
      </c>
      <c r="AC22" s="107">
        <v>1</v>
      </c>
    </row>
    <row r="23" spans="1:29" s="155" customFormat="1" ht="30" customHeight="1" x14ac:dyDescent="0.25">
      <c r="A23" s="38">
        <v>8889992925</v>
      </c>
      <c r="B23" s="56" t="s">
        <v>1039</v>
      </c>
      <c r="C23" s="43" t="s">
        <v>1037</v>
      </c>
      <c r="D23" s="56" t="s">
        <v>1038</v>
      </c>
      <c r="E23" s="56" t="s">
        <v>1036</v>
      </c>
      <c r="F23" s="56" t="s">
        <v>59</v>
      </c>
      <c r="G23" s="56" t="s">
        <v>769</v>
      </c>
      <c r="H23" s="56" t="s">
        <v>61</v>
      </c>
      <c r="I23" s="56" t="s">
        <v>63</v>
      </c>
      <c r="J23" s="56"/>
      <c r="K23" s="56"/>
      <c r="L23" s="56"/>
      <c r="M23" s="56"/>
      <c r="N23" s="56" t="s">
        <v>16</v>
      </c>
      <c r="O23" s="13" t="s">
        <v>996</v>
      </c>
      <c r="P23" s="56" t="s">
        <v>21</v>
      </c>
      <c r="Q23" s="107">
        <v>1</v>
      </c>
      <c r="R23" s="107">
        <v>1</v>
      </c>
      <c r="S23" s="107">
        <v>1</v>
      </c>
      <c r="T23" s="107">
        <v>1</v>
      </c>
      <c r="U23" s="107">
        <v>1</v>
      </c>
      <c r="V23" s="107">
        <v>1</v>
      </c>
      <c r="W23" s="107">
        <v>1</v>
      </c>
      <c r="X23" s="107">
        <v>1</v>
      </c>
      <c r="Y23" s="107">
        <v>1</v>
      </c>
      <c r="Z23" s="107">
        <v>1</v>
      </c>
      <c r="AA23" s="107">
        <v>1</v>
      </c>
      <c r="AB23" s="107">
        <v>1</v>
      </c>
      <c r="AC23" s="107">
        <v>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A7C1F-F7E1-4391-929D-A40BC26E6691}">
  <dimension ref="A1:AC19"/>
  <sheetViews>
    <sheetView topLeftCell="F10" workbookViewId="0">
      <selection activeCell="F17" sqref="F17"/>
    </sheetView>
  </sheetViews>
  <sheetFormatPr defaultRowHeight="13.2" x14ac:dyDescent="0.25"/>
  <cols>
    <col min="1" max="1" width="12.109375" bestFit="1" customWidth="1"/>
    <col min="2" max="2" width="16.109375" bestFit="1" customWidth="1"/>
    <col min="3" max="3" width="30" bestFit="1" customWidth="1"/>
    <col min="4" max="4" width="15.33203125" bestFit="1" customWidth="1"/>
    <col min="5" max="5" width="11.5546875" bestFit="1" customWidth="1"/>
    <col min="6" max="6" width="12" customWidth="1"/>
    <col min="7" max="7" width="12.44140625" bestFit="1" customWidth="1"/>
    <col min="8" max="8" width="11.109375" customWidth="1"/>
    <col min="9" max="9" width="14.44140625" customWidth="1"/>
    <col min="10" max="13" width="11.44140625" bestFit="1" customWidth="1"/>
    <col min="14" max="14" width="14.5546875" bestFit="1" customWidth="1"/>
    <col min="15" max="15" width="66" customWidth="1"/>
    <col min="16" max="16" width="21.77734375" bestFit="1" customWidth="1"/>
    <col min="17" max="17" width="14.109375" bestFit="1" customWidth="1"/>
  </cols>
  <sheetData>
    <row r="1" spans="1:29" ht="27.6" x14ac:dyDescent="0.25">
      <c r="A1" s="35" t="s">
        <v>0</v>
      </c>
      <c r="B1" s="35" t="s">
        <v>1</v>
      </c>
      <c r="C1" s="35" t="s">
        <v>2</v>
      </c>
      <c r="D1" s="35" t="s">
        <v>3</v>
      </c>
      <c r="E1" s="35" t="s">
        <v>4</v>
      </c>
      <c r="F1" s="35" t="s">
        <v>5</v>
      </c>
      <c r="G1" s="35" t="s">
        <v>6</v>
      </c>
      <c r="H1" s="35" t="s">
        <v>7</v>
      </c>
      <c r="I1" s="58" t="s">
        <v>8</v>
      </c>
      <c r="J1" s="35" t="s">
        <v>9</v>
      </c>
      <c r="K1" s="35" t="s">
        <v>10</v>
      </c>
      <c r="L1" s="35" t="s">
        <v>126</v>
      </c>
      <c r="M1" s="35" t="s">
        <v>127</v>
      </c>
      <c r="N1" s="35"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30" customHeight="1" x14ac:dyDescent="0.25">
      <c r="A2" s="38">
        <v>6232667213</v>
      </c>
      <c r="B2" s="56" t="s">
        <v>1041</v>
      </c>
      <c r="C2" s="43" t="s">
        <v>1040</v>
      </c>
      <c r="D2" s="56" t="s">
        <v>270</v>
      </c>
      <c r="E2" s="56" t="s">
        <v>1036</v>
      </c>
      <c r="F2" s="56" t="s">
        <v>59</v>
      </c>
      <c r="G2" s="56" t="s">
        <v>769</v>
      </c>
      <c r="H2" s="56" t="s">
        <v>61</v>
      </c>
      <c r="I2" s="56" t="s">
        <v>63</v>
      </c>
      <c r="J2" s="154"/>
      <c r="K2" s="154"/>
      <c r="L2" s="154"/>
      <c r="M2" s="154"/>
      <c r="N2" s="154" t="s">
        <v>16</v>
      </c>
      <c r="O2" s="13" t="s">
        <v>957</v>
      </c>
      <c r="P2" s="56" t="s">
        <v>21</v>
      </c>
      <c r="Q2" s="107">
        <v>1</v>
      </c>
      <c r="R2" s="107">
        <v>1</v>
      </c>
      <c r="S2" s="107">
        <v>1</v>
      </c>
      <c r="T2" s="107">
        <v>1</v>
      </c>
      <c r="U2" s="107">
        <v>1</v>
      </c>
      <c r="V2" s="107">
        <v>1</v>
      </c>
      <c r="W2" s="107">
        <v>1</v>
      </c>
      <c r="X2" s="107">
        <v>1</v>
      </c>
      <c r="Y2" s="107">
        <v>1</v>
      </c>
      <c r="Z2" s="107">
        <v>1</v>
      </c>
      <c r="AA2" s="107">
        <v>1</v>
      </c>
      <c r="AB2" s="107">
        <v>1</v>
      </c>
      <c r="AC2" s="107">
        <v>1</v>
      </c>
    </row>
    <row r="3" spans="1:29" ht="30" customHeight="1" x14ac:dyDescent="0.25">
      <c r="A3" s="38">
        <v>6232667213</v>
      </c>
      <c r="B3" s="56" t="s">
        <v>1041</v>
      </c>
      <c r="C3" s="43" t="s">
        <v>1040</v>
      </c>
      <c r="D3" s="56" t="s">
        <v>270</v>
      </c>
      <c r="E3" s="56" t="s">
        <v>1036</v>
      </c>
      <c r="F3" s="56" t="s">
        <v>59</v>
      </c>
      <c r="G3" s="56" t="s">
        <v>769</v>
      </c>
      <c r="H3" s="56" t="s">
        <v>61</v>
      </c>
      <c r="I3" s="56" t="s">
        <v>63</v>
      </c>
      <c r="J3" s="56"/>
      <c r="K3" s="56"/>
      <c r="L3" s="56"/>
      <c r="M3" s="56"/>
      <c r="N3" s="56" t="s">
        <v>16</v>
      </c>
      <c r="O3" s="13" t="s">
        <v>958</v>
      </c>
      <c r="P3" s="56" t="s">
        <v>21</v>
      </c>
      <c r="Q3" s="107">
        <v>1</v>
      </c>
      <c r="R3" s="107">
        <v>1</v>
      </c>
      <c r="S3" s="107">
        <v>1</v>
      </c>
      <c r="T3" s="107">
        <v>1</v>
      </c>
      <c r="U3" s="107">
        <v>1</v>
      </c>
      <c r="V3" s="107">
        <v>1</v>
      </c>
      <c r="W3" s="107">
        <v>1</v>
      </c>
      <c r="X3" s="107">
        <v>1</v>
      </c>
      <c r="Y3" s="107">
        <v>1</v>
      </c>
      <c r="Z3" s="107">
        <v>1</v>
      </c>
      <c r="AA3" s="107">
        <v>1</v>
      </c>
      <c r="AB3" s="107">
        <v>1</v>
      </c>
      <c r="AC3" s="107">
        <v>1</v>
      </c>
    </row>
    <row r="4" spans="1:29" ht="30" customHeight="1" x14ac:dyDescent="0.25">
      <c r="A4" s="38">
        <v>6232667213</v>
      </c>
      <c r="B4" s="56" t="s">
        <v>1041</v>
      </c>
      <c r="C4" s="43" t="s">
        <v>1040</v>
      </c>
      <c r="D4" s="56" t="s">
        <v>270</v>
      </c>
      <c r="E4" s="56" t="s">
        <v>1036</v>
      </c>
      <c r="F4" s="56" t="s">
        <v>59</v>
      </c>
      <c r="G4" s="56" t="s">
        <v>769</v>
      </c>
      <c r="H4" s="56" t="s">
        <v>61</v>
      </c>
      <c r="I4" s="56" t="s">
        <v>63</v>
      </c>
      <c r="J4" s="56"/>
      <c r="K4" s="56"/>
      <c r="L4" s="56"/>
      <c r="M4" s="56"/>
      <c r="N4" s="56" t="s">
        <v>16</v>
      </c>
      <c r="O4" s="13" t="s">
        <v>959</v>
      </c>
      <c r="P4" s="56" t="s">
        <v>21</v>
      </c>
      <c r="Q4" s="107">
        <v>1</v>
      </c>
      <c r="R4" s="107">
        <v>1</v>
      </c>
      <c r="S4" s="107">
        <v>1</v>
      </c>
      <c r="T4" s="107">
        <v>1</v>
      </c>
      <c r="U4" s="107">
        <v>1</v>
      </c>
      <c r="V4" s="107">
        <v>1</v>
      </c>
      <c r="W4" s="107">
        <v>1</v>
      </c>
      <c r="X4" s="107">
        <v>1</v>
      </c>
      <c r="Y4" s="107">
        <v>1</v>
      </c>
      <c r="Z4" s="107">
        <v>1</v>
      </c>
      <c r="AA4" s="107">
        <v>1</v>
      </c>
      <c r="AB4" s="107">
        <v>1</v>
      </c>
      <c r="AC4" s="107">
        <v>1</v>
      </c>
    </row>
    <row r="5" spans="1:29" ht="30" customHeight="1" x14ac:dyDescent="0.25">
      <c r="A5" s="38">
        <v>6232667213</v>
      </c>
      <c r="B5" s="56" t="s">
        <v>1041</v>
      </c>
      <c r="C5" s="43" t="s">
        <v>1040</v>
      </c>
      <c r="D5" s="56" t="s">
        <v>270</v>
      </c>
      <c r="E5" s="56" t="s">
        <v>1036</v>
      </c>
      <c r="F5" s="56" t="s">
        <v>59</v>
      </c>
      <c r="G5" s="56" t="s">
        <v>769</v>
      </c>
      <c r="H5" s="56" t="s">
        <v>61</v>
      </c>
      <c r="I5" s="56" t="s">
        <v>63</v>
      </c>
      <c r="J5" s="56"/>
      <c r="K5" s="56"/>
      <c r="L5" s="56"/>
      <c r="M5" s="56"/>
      <c r="N5" s="56" t="s">
        <v>16</v>
      </c>
      <c r="O5" s="13" t="s">
        <v>960</v>
      </c>
      <c r="P5" s="56" t="s">
        <v>21</v>
      </c>
      <c r="Q5" s="107">
        <v>1</v>
      </c>
      <c r="R5" s="107">
        <v>1</v>
      </c>
      <c r="S5" s="107">
        <v>1</v>
      </c>
      <c r="T5" s="107">
        <v>1</v>
      </c>
      <c r="U5" s="107">
        <v>1</v>
      </c>
      <c r="V5" s="107">
        <v>1</v>
      </c>
      <c r="W5" s="107">
        <v>1</v>
      </c>
      <c r="X5" s="107">
        <v>1</v>
      </c>
      <c r="Y5" s="107">
        <v>1</v>
      </c>
      <c r="Z5" s="107">
        <v>1</v>
      </c>
      <c r="AA5" s="107">
        <v>1</v>
      </c>
      <c r="AB5" s="107">
        <v>1</v>
      </c>
      <c r="AC5" s="107">
        <v>1</v>
      </c>
    </row>
    <row r="6" spans="1:29" ht="30" customHeight="1" x14ac:dyDescent="0.25">
      <c r="A6" s="38">
        <v>6232667213</v>
      </c>
      <c r="B6" s="56" t="s">
        <v>1041</v>
      </c>
      <c r="C6" s="43" t="s">
        <v>1040</v>
      </c>
      <c r="D6" s="56" t="s">
        <v>270</v>
      </c>
      <c r="E6" s="56" t="s">
        <v>1036</v>
      </c>
      <c r="F6" s="56" t="s">
        <v>59</v>
      </c>
      <c r="G6" s="56" t="s">
        <v>769</v>
      </c>
      <c r="H6" s="56" t="s">
        <v>61</v>
      </c>
      <c r="I6" s="56" t="s">
        <v>63</v>
      </c>
      <c r="J6" s="56"/>
      <c r="K6" s="56"/>
      <c r="L6" s="56"/>
      <c r="M6" s="56"/>
      <c r="N6" s="56" t="s">
        <v>16</v>
      </c>
      <c r="O6" s="13" t="s">
        <v>961</v>
      </c>
      <c r="P6" s="56" t="s">
        <v>21</v>
      </c>
      <c r="Q6" s="107">
        <v>1</v>
      </c>
      <c r="R6" s="107">
        <v>1</v>
      </c>
      <c r="S6" s="107">
        <v>1</v>
      </c>
      <c r="T6" s="107">
        <v>1</v>
      </c>
      <c r="U6" s="107">
        <v>1</v>
      </c>
      <c r="V6" s="107">
        <v>1</v>
      </c>
      <c r="W6" s="107">
        <v>1</v>
      </c>
      <c r="X6" s="107">
        <v>1</v>
      </c>
      <c r="Y6" s="107">
        <v>1</v>
      </c>
      <c r="Z6" s="107">
        <v>1</v>
      </c>
      <c r="AA6" s="107">
        <v>1</v>
      </c>
      <c r="AB6" s="107">
        <v>1</v>
      </c>
      <c r="AC6" s="107">
        <v>1</v>
      </c>
    </row>
    <row r="7" spans="1:29" ht="30" customHeight="1" x14ac:dyDescent="0.25">
      <c r="A7" s="38">
        <v>6232667213</v>
      </c>
      <c r="B7" s="56" t="s">
        <v>1041</v>
      </c>
      <c r="C7" s="43" t="s">
        <v>1040</v>
      </c>
      <c r="D7" s="56" t="s">
        <v>270</v>
      </c>
      <c r="E7" s="56" t="s">
        <v>1036</v>
      </c>
      <c r="F7" s="56" t="s">
        <v>59</v>
      </c>
      <c r="G7" s="56" t="s">
        <v>769</v>
      </c>
      <c r="H7" s="56" t="s">
        <v>61</v>
      </c>
      <c r="I7" s="56" t="s">
        <v>63</v>
      </c>
      <c r="J7" s="56"/>
      <c r="K7" s="56"/>
      <c r="L7" s="56"/>
      <c r="M7" s="56"/>
      <c r="N7" s="56" t="s">
        <v>16</v>
      </c>
      <c r="O7" s="13" t="s">
        <v>962</v>
      </c>
      <c r="P7" s="56" t="s">
        <v>21</v>
      </c>
      <c r="Q7" s="107">
        <v>1</v>
      </c>
      <c r="R7" s="107">
        <v>1</v>
      </c>
      <c r="S7" s="107">
        <v>1</v>
      </c>
      <c r="T7" s="107">
        <v>1</v>
      </c>
      <c r="U7" s="107">
        <v>1</v>
      </c>
      <c r="V7" s="107">
        <v>1</v>
      </c>
      <c r="W7" s="107">
        <v>1</v>
      </c>
      <c r="X7" s="107">
        <v>1</v>
      </c>
      <c r="Y7" s="107">
        <v>1</v>
      </c>
      <c r="Z7" s="107">
        <v>1</v>
      </c>
      <c r="AA7" s="107">
        <v>1</v>
      </c>
      <c r="AB7" s="107">
        <v>1</v>
      </c>
      <c r="AC7" s="107">
        <v>1</v>
      </c>
    </row>
    <row r="8" spans="1:29" ht="30" customHeight="1" x14ac:dyDescent="0.25">
      <c r="A8" s="38">
        <v>6232667213</v>
      </c>
      <c r="B8" s="56" t="s">
        <v>1041</v>
      </c>
      <c r="C8" s="43" t="s">
        <v>1040</v>
      </c>
      <c r="D8" s="56" t="s">
        <v>270</v>
      </c>
      <c r="E8" s="56" t="s">
        <v>1036</v>
      </c>
      <c r="F8" s="56" t="s">
        <v>59</v>
      </c>
      <c r="G8" s="56" t="s">
        <v>769</v>
      </c>
      <c r="H8" s="56" t="s">
        <v>61</v>
      </c>
      <c r="I8" s="56" t="s">
        <v>63</v>
      </c>
      <c r="J8" s="56"/>
      <c r="K8" s="56"/>
      <c r="L8" s="56"/>
      <c r="M8" s="56"/>
      <c r="N8" s="56" t="s">
        <v>16</v>
      </c>
      <c r="O8" s="13" t="s">
        <v>963</v>
      </c>
      <c r="P8" s="56" t="s">
        <v>21</v>
      </c>
      <c r="Q8" s="107">
        <v>1</v>
      </c>
      <c r="R8" s="107">
        <v>1</v>
      </c>
      <c r="S8" s="107">
        <v>1</v>
      </c>
      <c r="T8" s="107">
        <v>1</v>
      </c>
      <c r="U8" s="107">
        <v>1</v>
      </c>
      <c r="V8" s="107">
        <v>1</v>
      </c>
      <c r="W8" s="107">
        <v>1</v>
      </c>
      <c r="X8" s="107">
        <v>1</v>
      </c>
      <c r="Y8" s="107">
        <v>1</v>
      </c>
      <c r="Z8" s="107">
        <v>1</v>
      </c>
      <c r="AA8" s="107">
        <v>1</v>
      </c>
      <c r="AB8" s="107">
        <v>1</v>
      </c>
      <c r="AC8" s="107">
        <v>1</v>
      </c>
    </row>
    <row r="9" spans="1:29" ht="30" customHeight="1" x14ac:dyDescent="0.25">
      <c r="A9" s="38">
        <v>6232667213</v>
      </c>
      <c r="B9" s="56" t="s">
        <v>1041</v>
      </c>
      <c r="C9" s="43" t="s">
        <v>1040</v>
      </c>
      <c r="D9" s="56" t="s">
        <v>270</v>
      </c>
      <c r="E9" s="56" t="s">
        <v>1036</v>
      </c>
      <c r="F9" s="56" t="s">
        <v>59</v>
      </c>
      <c r="G9" s="56" t="s">
        <v>769</v>
      </c>
      <c r="H9" s="56" t="s">
        <v>61</v>
      </c>
      <c r="I9" s="56" t="s">
        <v>63</v>
      </c>
      <c r="J9" s="56"/>
      <c r="K9" s="56"/>
      <c r="L9" s="56"/>
      <c r="M9" s="56"/>
      <c r="N9" s="56" t="s">
        <v>16</v>
      </c>
      <c r="O9" s="13" t="s">
        <v>964</v>
      </c>
      <c r="P9" s="56" t="s">
        <v>21</v>
      </c>
      <c r="Q9" s="107">
        <v>1</v>
      </c>
      <c r="R9" s="107">
        <v>1</v>
      </c>
      <c r="S9" s="107">
        <v>1</v>
      </c>
      <c r="T9" s="107">
        <v>1</v>
      </c>
      <c r="U9" s="107">
        <v>1</v>
      </c>
      <c r="V9" s="107">
        <v>1</v>
      </c>
      <c r="W9" s="107">
        <v>1</v>
      </c>
      <c r="X9" s="107">
        <v>1</v>
      </c>
      <c r="Y9" s="107">
        <v>1</v>
      </c>
      <c r="Z9" s="107">
        <v>1</v>
      </c>
      <c r="AA9" s="107">
        <v>1</v>
      </c>
      <c r="AB9" s="107">
        <v>1</v>
      </c>
      <c r="AC9" s="107">
        <v>1</v>
      </c>
    </row>
    <row r="10" spans="1:29" ht="30" customHeight="1" x14ac:dyDescent="0.25">
      <c r="A10" s="38">
        <v>6232667213</v>
      </c>
      <c r="B10" s="56" t="s">
        <v>1041</v>
      </c>
      <c r="C10" s="43" t="s">
        <v>1040</v>
      </c>
      <c r="D10" s="56" t="s">
        <v>270</v>
      </c>
      <c r="E10" s="56" t="s">
        <v>1036</v>
      </c>
      <c r="F10" s="56" t="s">
        <v>59</v>
      </c>
      <c r="G10" s="56" t="s">
        <v>769</v>
      </c>
      <c r="H10" s="56" t="s">
        <v>61</v>
      </c>
      <c r="I10" s="56" t="s">
        <v>63</v>
      </c>
      <c r="J10" s="56"/>
      <c r="K10" s="56"/>
      <c r="L10" s="56"/>
      <c r="M10" s="56"/>
      <c r="N10" s="56" t="s">
        <v>16</v>
      </c>
      <c r="O10" s="13" t="s">
        <v>965</v>
      </c>
      <c r="P10" s="56" t="s">
        <v>21</v>
      </c>
      <c r="Q10" s="107">
        <v>1</v>
      </c>
      <c r="R10" s="107">
        <v>1</v>
      </c>
      <c r="S10" s="107">
        <v>1</v>
      </c>
      <c r="T10" s="107">
        <v>1</v>
      </c>
      <c r="U10" s="107">
        <v>1</v>
      </c>
      <c r="V10" s="107">
        <v>1</v>
      </c>
      <c r="W10" s="107">
        <v>1</v>
      </c>
      <c r="X10" s="107">
        <v>1</v>
      </c>
      <c r="Y10" s="107">
        <v>1</v>
      </c>
      <c r="Z10" s="107">
        <v>1</v>
      </c>
      <c r="AA10" s="107">
        <v>1</v>
      </c>
      <c r="AB10" s="107">
        <v>1</v>
      </c>
      <c r="AC10" s="107">
        <v>1</v>
      </c>
    </row>
    <row r="11" spans="1:29" ht="30" customHeight="1" x14ac:dyDescent="0.25">
      <c r="A11" s="38">
        <v>6232667213</v>
      </c>
      <c r="B11" s="56" t="s">
        <v>1041</v>
      </c>
      <c r="C11" s="43" t="s">
        <v>1040</v>
      </c>
      <c r="D11" s="56" t="s">
        <v>270</v>
      </c>
      <c r="E11" s="56" t="s">
        <v>1036</v>
      </c>
      <c r="F11" s="56" t="s">
        <v>59</v>
      </c>
      <c r="G11" s="56" t="s">
        <v>769</v>
      </c>
      <c r="H11" s="56" t="s">
        <v>61</v>
      </c>
      <c r="I11" s="56" t="s">
        <v>63</v>
      </c>
      <c r="J11" s="56"/>
      <c r="K11" s="56"/>
      <c r="L11" s="56"/>
      <c r="M11" s="56"/>
      <c r="N11" s="56" t="s">
        <v>16</v>
      </c>
      <c r="O11" s="13" t="s">
        <v>966</v>
      </c>
      <c r="P11" s="56" t="s">
        <v>21</v>
      </c>
      <c r="Q11" s="107">
        <v>1</v>
      </c>
      <c r="R11" s="107">
        <v>1</v>
      </c>
      <c r="S11" s="107">
        <v>1</v>
      </c>
      <c r="T11" s="107">
        <v>1</v>
      </c>
      <c r="U11" s="107">
        <v>1</v>
      </c>
      <c r="V11" s="107">
        <v>1</v>
      </c>
      <c r="W11" s="107">
        <v>1</v>
      </c>
      <c r="X11" s="107">
        <v>1</v>
      </c>
      <c r="Y11" s="107">
        <v>1</v>
      </c>
      <c r="Z11" s="107">
        <v>1</v>
      </c>
      <c r="AA11" s="107">
        <v>1</v>
      </c>
      <c r="AB11" s="107">
        <v>1</v>
      </c>
      <c r="AC11" s="107">
        <v>1</v>
      </c>
    </row>
    <row r="12" spans="1:29" ht="30" customHeight="1" x14ac:dyDescent="0.25">
      <c r="A12" s="38">
        <v>6232667213</v>
      </c>
      <c r="B12" s="56" t="s">
        <v>1041</v>
      </c>
      <c r="C12" s="43" t="s">
        <v>1040</v>
      </c>
      <c r="D12" s="56" t="s">
        <v>270</v>
      </c>
      <c r="E12" s="56" t="s">
        <v>1036</v>
      </c>
      <c r="F12" s="56" t="s">
        <v>59</v>
      </c>
      <c r="G12" s="56" t="s">
        <v>769</v>
      </c>
      <c r="H12" s="56" t="s">
        <v>61</v>
      </c>
      <c r="I12" s="56" t="s">
        <v>63</v>
      </c>
      <c r="J12" s="56"/>
      <c r="K12" s="56"/>
      <c r="L12" s="56"/>
      <c r="M12" s="56"/>
      <c r="N12" s="56" t="s">
        <v>16</v>
      </c>
      <c r="O12" s="13" t="s">
        <v>967</v>
      </c>
      <c r="P12" s="56" t="s">
        <v>21</v>
      </c>
      <c r="Q12" s="107">
        <v>1</v>
      </c>
      <c r="R12" s="107">
        <v>1</v>
      </c>
      <c r="S12" s="107">
        <v>1</v>
      </c>
      <c r="T12" s="107">
        <v>1</v>
      </c>
      <c r="U12" s="107">
        <v>1</v>
      </c>
      <c r="V12" s="107">
        <v>1</v>
      </c>
      <c r="W12" s="107">
        <v>1</v>
      </c>
      <c r="X12" s="107">
        <v>1</v>
      </c>
      <c r="Y12" s="107">
        <v>1</v>
      </c>
      <c r="Z12" s="107">
        <v>1</v>
      </c>
      <c r="AA12" s="107">
        <v>1</v>
      </c>
      <c r="AB12" s="107">
        <v>1</v>
      </c>
      <c r="AC12" s="107">
        <v>1</v>
      </c>
    </row>
    <row r="13" spans="1:29" ht="30" customHeight="1" x14ac:dyDescent="0.25">
      <c r="A13" s="38">
        <v>6232667213</v>
      </c>
      <c r="B13" s="56" t="s">
        <v>1041</v>
      </c>
      <c r="C13" s="43" t="s">
        <v>1040</v>
      </c>
      <c r="D13" s="56" t="s">
        <v>270</v>
      </c>
      <c r="E13" s="56" t="s">
        <v>1036</v>
      </c>
      <c r="F13" s="56" t="s">
        <v>59</v>
      </c>
      <c r="G13" s="56" t="s">
        <v>769</v>
      </c>
      <c r="H13" s="56" t="s">
        <v>61</v>
      </c>
      <c r="I13" s="56" t="s">
        <v>63</v>
      </c>
      <c r="J13" s="56"/>
      <c r="K13" s="56"/>
      <c r="L13" s="56"/>
      <c r="M13" s="56"/>
      <c r="N13" s="56" t="s">
        <v>16</v>
      </c>
      <c r="O13" s="13" t="s">
        <v>968</v>
      </c>
      <c r="P13" s="56" t="s">
        <v>21</v>
      </c>
      <c r="Q13" s="107">
        <v>1</v>
      </c>
      <c r="R13" s="107">
        <v>1</v>
      </c>
      <c r="S13" s="107">
        <v>1</v>
      </c>
      <c r="T13" s="107">
        <v>1</v>
      </c>
      <c r="U13" s="107">
        <v>1</v>
      </c>
      <c r="V13" s="107">
        <v>1</v>
      </c>
      <c r="W13" s="107">
        <v>1</v>
      </c>
      <c r="X13" s="107">
        <v>1</v>
      </c>
      <c r="Y13" s="107">
        <v>1</v>
      </c>
      <c r="Z13" s="107">
        <v>1</v>
      </c>
      <c r="AA13" s="107">
        <v>1</v>
      </c>
      <c r="AB13" s="107">
        <v>1</v>
      </c>
      <c r="AC13" s="107">
        <v>1</v>
      </c>
    </row>
    <row r="14" spans="1:29" ht="30" customHeight="1" x14ac:dyDescent="0.25">
      <c r="A14" s="38">
        <v>6232667213</v>
      </c>
      <c r="B14" s="56" t="s">
        <v>1041</v>
      </c>
      <c r="C14" s="43" t="s">
        <v>1040</v>
      </c>
      <c r="D14" s="56" t="s">
        <v>270</v>
      </c>
      <c r="E14" s="56" t="s">
        <v>1036</v>
      </c>
      <c r="F14" s="56" t="s">
        <v>59</v>
      </c>
      <c r="G14" s="56" t="s">
        <v>769</v>
      </c>
      <c r="H14" s="56" t="s">
        <v>61</v>
      </c>
      <c r="I14" s="56" t="s">
        <v>63</v>
      </c>
      <c r="J14" s="56"/>
      <c r="K14" s="56"/>
      <c r="L14" s="56"/>
      <c r="M14" s="56"/>
      <c r="N14" s="56" t="s">
        <v>16</v>
      </c>
      <c r="O14" s="13" t="s">
        <v>969</v>
      </c>
      <c r="P14" s="56" t="s">
        <v>21</v>
      </c>
      <c r="Q14" s="107">
        <v>1</v>
      </c>
      <c r="R14" s="107">
        <v>1</v>
      </c>
      <c r="S14" s="107">
        <v>1</v>
      </c>
      <c r="T14" s="107">
        <v>1</v>
      </c>
      <c r="U14" s="107">
        <v>1</v>
      </c>
      <c r="V14" s="107">
        <v>1</v>
      </c>
      <c r="W14" s="107">
        <v>1</v>
      </c>
      <c r="X14" s="107">
        <v>1</v>
      </c>
      <c r="Y14" s="107">
        <v>1</v>
      </c>
      <c r="Z14" s="107">
        <v>1</v>
      </c>
      <c r="AA14" s="107">
        <v>1</v>
      </c>
      <c r="AB14" s="107">
        <v>1</v>
      </c>
      <c r="AC14" s="107">
        <v>1</v>
      </c>
    </row>
    <row r="15" spans="1:29" ht="30" customHeight="1" x14ac:dyDescent="0.25">
      <c r="A15" s="38">
        <v>6232667213</v>
      </c>
      <c r="B15" s="56" t="s">
        <v>1041</v>
      </c>
      <c r="C15" s="43" t="s">
        <v>1040</v>
      </c>
      <c r="D15" s="56" t="s">
        <v>270</v>
      </c>
      <c r="E15" s="56" t="s">
        <v>1036</v>
      </c>
      <c r="F15" s="56" t="s">
        <v>59</v>
      </c>
      <c r="G15" s="56" t="s">
        <v>769</v>
      </c>
      <c r="H15" s="56" t="s">
        <v>61</v>
      </c>
      <c r="I15" s="56" t="s">
        <v>63</v>
      </c>
      <c r="J15" s="56"/>
      <c r="K15" s="56"/>
      <c r="L15" s="56"/>
      <c r="M15" s="56"/>
      <c r="N15" s="56" t="s">
        <v>16</v>
      </c>
      <c r="O15" s="13" t="s">
        <v>970</v>
      </c>
      <c r="P15" s="56" t="s">
        <v>21</v>
      </c>
      <c r="Q15" s="107">
        <v>1</v>
      </c>
      <c r="R15" s="107">
        <v>1</v>
      </c>
      <c r="S15" s="107">
        <v>1</v>
      </c>
      <c r="T15" s="107">
        <v>1</v>
      </c>
      <c r="U15" s="107">
        <v>1</v>
      </c>
      <c r="V15" s="107">
        <v>1</v>
      </c>
      <c r="W15" s="107">
        <v>1</v>
      </c>
      <c r="X15" s="107">
        <v>1</v>
      </c>
      <c r="Y15" s="107">
        <v>1</v>
      </c>
      <c r="Z15" s="107">
        <v>1</v>
      </c>
      <c r="AA15" s="107">
        <v>1</v>
      </c>
      <c r="AB15" s="107">
        <v>1</v>
      </c>
      <c r="AC15" s="107">
        <v>1</v>
      </c>
    </row>
    <row r="16" spans="1:29" ht="30" customHeight="1" x14ac:dyDescent="0.25">
      <c r="A16" s="38">
        <v>6232667213</v>
      </c>
      <c r="B16" s="56" t="s">
        <v>1041</v>
      </c>
      <c r="C16" s="43" t="s">
        <v>1040</v>
      </c>
      <c r="D16" s="56" t="s">
        <v>270</v>
      </c>
      <c r="E16" s="56" t="s">
        <v>1036</v>
      </c>
      <c r="F16" s="56" t="s">
        <v>59</v>
      </c>
      <c r="G16" s="56" t="s">
        <v>769</v>
      </c>
      <c r="H16" s="56" t="s">
        <v>61</v>
      </c>
      <c r="I16" s="56" t="s">
        <v>63</v>
      </c>
      <c r="J16" s="56"/>
      <c r="K16" s="56"/>
      <c r="L16" s="56"/>
      <c r="M16" s="56"/>
      <c r="N16" s="56" t="s">
        <v>16</v>
      </c>
      <c r="O16" s="13" t="s">
        <v>971</v>
      </c>
      <c r="P16" s="56" t="s">
        <v>21</v>
      </c>
      <c r="Q16" s="107">
        <v>1</v>
      </c>
      <c r="R16" s="107">
        <v>1</v>
      </c>
      <c r="S16" s="107">
        <v>1</v>
      </c>
      <c r="T16" s="107">
        <v>1</v>
      </c>
      <c r="U16" s="107">
        <v>1</v>
      </c>
      <c r="V16" s="107">
        <v>1</v>
      </c>
      <c r="W16" s="107">
        <v>1</v>
      </c>
      <c r="X16" s="107">
        <v>1</v>
      </c>
      <c r="Y16" s="107">
        <v>1</v>
      </c>
      <c r="Z16" s="107">
        <v>1</v>
      </c>
      <c r="AA16" s="107">
        <v>1</v>
      </c>
      <c r="AB16" s="107">
        <v>1</v>
      </c>
      <c r="AC16" s="107">
        <v>1</v>
      </c>
    </row>
    <row r="17" spans="1:29" ht="30" customHeight="1" x14ac:dyDescent="0.25">
      <c r="A17" s="38">
        <v>6232667213</v>
      </c>
      <c r="B17" s="56" t="s">
        <v>1041</v>
      </c>
      <c r="C17" s="43" t="s">
        <v>1040</v>
      </c>
      <c r="D17" s="56" t="s">
        <v>270</v>
      </c>
      <c r="E17" s="56" t="s">
        <v>1036</v>
      </c>
      <c r="F17" s="56" t="s">
        <v>59</v>
      </c>
      <c r="G17" s="56" t="s">
        <v>769</v>
      </c>
      <c r="H17" s="56" t="s">
        <v>61</v>
      </c>
      <c r="I17" s="56" t="s">
        <v>63</v>
      </c>
      <c r="J17" s="56"/>
      <c r="K17" s="56"/>
      <c r="L17" s="56"/>
      <c r="M17" s="56"/>
      <c r="N17" s="56" t="s">
        <v>16</v>
      </c>
      <c r="O17" s="13" t="s">
        <v>972</v>
      </c>
      <c r="P17" s="56" t="s">
        <v>21</v>
      </c>
      <c r="Q17" s="107">
        <v>1</v>
      </c>
      <c r="R17" s="107">
        <v>1</v>
      </c>
      <c r="S17" s="107">
        <v>1</v>
      </c>
      <c r="T17" s="107">
        <v>1</v>
      </c>
      <c r="U17" s="107">
        <v>1</v>
      </c>
      <c r="V17" s="107">
        <v>1</v>
      </c>
      <c r="W17" s="107">
        <v>1</v>
      </c>
      <c r="X17" s="107">
        <v>1</v>
      </c>
      <c r="Y17" s="107">
        <v>1</v>
      </c>
      <c r="Z17" s="107">
        <v>1</v>
      </c>
      <c r="AA17" s="107">
        <v>1</v>
      </c>
      <c r="AB17" s="107">
        <v>1</v>
      </c>
      <c r="AC17" s="107">
        <v>1</v>
      </c>
    </row>
    <row r="18" spans="1:29" ht="30" customHeight="1" x14ac:dyDescent="0.25">
      <c r="A18" s="38">
        <v>6232667213</v>
      </c>
      <c r="B18" s="56" t="s">
        <v>1041</v>
      </c>
      <c r="C18" s="43" t="s">
        <v>1040</v>
      </c>
      <c r="D18" s="56" t="s">
        <v>270</v>
      </c>
      <c r="E18" s="56" t="s">
        <v>1036</v>
      </c>
      <c r="F18" s="56" t="s">
        <v>59</v>
      </c>
      <c r="G18" s="56" t="s">
        <v>769</v>
      </c>
      <c r="H18" s="56" t="s">
        <v>61</v>
      </c>
      <c r="I18" s="56" t="s">
        <v>63</v>
      </c>
      <c r="J18" s="56"/>
      <c r="K18" s="56"/>
      <c r="L18" s="56"/>
      <c r="M18" s="56"/>
      <c r="N18" s="56" t="s">
        <v>16</v>
      </c>
      <c r="O18" s="13" t="s">
        <v>973</v>
      </c>
      <c r="P18" s="56" t="s">
        <v>21</v>
      </c>
      <c r="Q18" s="107">
        <v>1</v>
      </c>
      <c r="R18" s="107">
        <v>1</v>
      </c>
      <c r="S18" s="107">
        <v>1</v>
      </c>
      <c r="T18" s="107">
        <v>1</v>
      </c>
      <c r="U18" s="107">
        <v>1</v>
      </c>
      <c r="V18" s="107">
        <v>1</v>
      </c>
      <c r="W18" s="107">
        <v>1</v>
      </c>
      <c r="X18" s="107">
        <v>1</v>
      </c>
      <c r="Y18" s="107">
        <v>1</v>
      </c>
      <c r="Z18" s="107">
        <v>1</v>
      </c>
      <c r="AA18" s="107">
        <v>1</v>
      </c>
      <c r="AB18" s="107">
        <v>1</v>
      </c>
      <c r="AC18" s="107">
        <v>1</v>
      </c>
    </row>
    <row r="19" spans="1:29" ht="30" customHeight="1" x14ac:dyDescent="0.25">
      <c r="A19" s="38">
        <v>6232667213</v>
      </c>
      <c r="B19" s="56" t="s">
        <v>1041</v>
      </c>
      <c r="C19" s="43" t="s">
        <v>1040</v>
      </c>
      <c r="D19" s="56" t="s">
        <v>270</v>
      </c>
      <c r="E19" s="56" t="s">
        <v>1036</v>
      </c>
      <c r="F19" s="56" t="s">
        <v>59</v>
      </c>
      <c r="G19" s="56" t="s">
        <v>769</v>
      </c>
      <c r="H19" s="56" t="s">
        <v>61</v>
      </c>
      <c r="I19" s="56" t="s">
        <v>63</v>
      </c>
      <c r="J19" s="56"/>
      <c r="K19" s="56"/>
      <c r="L19" s="56"/>
      <c r="M19" s="56"/>
      <c r="N19" s="56" t="s">
        <v>16</v>
      </c>
      <c r="O19" s="13" t="s">
        <v>974</v>
      </c>
      <c r="P19" s="56" t="s">
        <v>21</v>
      </c>
      <c r="Q19" s="107">
        <v>1</v>
      </c>
      <c r="R19" s="107">
        <v>1</v>
      </c>
      <c r="S19" s="107">
        <v>1</v>
      </c>
      <c r="T19" s="107">
        <v>1</v>
      </c>
      <c r="U19" s="107">
        <v>1</v>
      </c>
      <c r="V19" s="107">
        <v>1</v>
      </c>
      <c r="W19" s="107">
        <v>1</v>
      </c>
      <c r="X19" s="107">
        <v>1</v>
      </c>
      <c r="Y19" s="107">
        <v>1</v>
      </c>
      <c r="Z19" s="107">
        <v>1</v>
      </c>
      <c r="AA19" s="107">
        <v>1</v>
      </c>
      <c r="AB19" s="107">
        <v>1</v>
      </c>
      <c r="AC19" s="107">
        <v>1</v>
      </c>
    </row>
  </sheetData>
  <hyperlinks>
    <hyperlink ref="C2" r:id="rId1" xr:uid="{EF29EE2D-0888-465B-B41E-364267FE6629}"/>
    <hyperlink ref="C3" r:id="rId2" xr:uid="{CF63B70C-AF08-4E85-B8AC-15856F7D328E}"/>
    <hyperlink ref="C4" r:id="rId3" xr:uid="{93BB0F88-99DD-419D-9BAC-2758A3487680}"/>
    <hyperlink ref="C5" r:id="rId4" xr:uid="{8A865840-AE3A-42B6-86CF-D892CEBF459C}"/>
    <hyperlink ref="C6" r:id="rId5" xr:uid="{718D9EF9-826E-47E5-9F49-A98AA5EA9CF5}"/>
    <hyperlink ref="C7" r:id="rId6" xr:uid="{FA000B3A-FF4D-4E67-8E0F-40583761F7DE}"/>
    <hyperlink ref="C8" r:id="rId7" xr:uid="{2EF4E1DC-AFFB-45C5-A33B-07565EDB9B5D}"/>
    <hyperlink ref="C9" r:id="rId8" xr:uid="{83AC3ED9-10A8-4517-A76B-1AAE4DE7B2CE}"/>
    <hyperlink ref="C10" r:id="rId9" xr:uid="{4F365DB4-59FE-4DB5-95D9-A80FCFEC3E06}"/>
    <hyperlink ref="C11" r:id="rId10" xr:uid="{575BBB4D-E8F9-4508-BDF2-0C4A506A0377}"/>
    <hyperlink ref="C12" r:id="rId11" xr:uid="{41343C52-7977-429B-BEFD-702A37105018}"/>
    <hyperlink ref="C13" r:id="rId12" xr:uid="{64FC1BEE-54F8-485D-A69C-EF7C90512FAB}"/>
    <hyperlink ref="C14" r:id="rId13" xr:uid="{96A412BD-A56D-408A-8219-753B7F288CDC}"/>
    <hyperlink ref="C15" r:id="rId14" xr:uid="{09D66ED4-1624-43F5-A2BE-FE3EDBEEF3DE}"/>
    <hyperlink ref="C16" r:id="rId15" xr:uid="{90D44344-6143-4447-8600-D0E9DCF66178}"/>
    <hyperlink ref="C17" r:id="rId16" xr:uid="{DA764309-95E4-42AD-BA1F-AFDF731B3137}"/>
    <hyperlink ref="C18" r:id="rId17" xr:uid="{9EF5381B-98D7-454C-9904-D2F9B1E25A58}"/>
    <hyperlink ref="C19" r:id="rId18" xr:uid="{0D841C0B-E731-4DFE-925B-561216416E6D}"/>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A5618-03C0-40FC-B3E5-989A72D74DFD}">
  <dimension ref="A1:AC10"/>
  <sheetViews>
    <sheetView workbookViewId="0">
      <selection activeCell="F2" sqref="F2"/>
    </sheetView>
  </sheetViews>
  <sheetFormatPr defaultRowHeight="13.2" x14ac:dyDescent="0.25"/>
  <cols>
    <col min="1" max="1" width="12.109375" bestFit="1" customWidth="1"/>
    <col min="2" max="2" width="16.109375" bestFit="1" customWidth="1"/>
    <col min="3" max="3" width="27.77734375" bestFit="1" customWidth="1"/>
    <col min="4" max="4" width="15.33203125" bestFit="1" customWidth="1"/>
    <col min="5" max="5" width="10.5546875" customWidth="1"/>
    <col min="6" max="6" width="11.88671875" customWidth="1"/>
    <col min="7" max="7" width="10.44140625" customWidth="1"/>
    <col min="8" max="8" width="11.33203125" customWidth="1"/>
    <col min="9" max="9" width="15.109375" customWidth="1"/>
    <col min="10" max="13" width="11.44140625" bestFit="1" customWidth="1"/>
    <col min="14" max="14" width="14.5546875" bestFit="1" customWidth="1"/>
    <col min="15" max="15" width="60.6640625" customWidth="1"/>
    <col min="16" max="16" width="20.88671875" bestFit="1" customWidth="1"/>
    <col min="17" max="17" width="14" bestFit="1" customWidth="1"/>
  </cols>
  <sheetData>
    <row r="1" spans="1:29" ht="27.6" x14ac:dyDescent="0.25">
      <c r="A1" s="35" t="s">
        <v>0</v>
      </c>
      <c r="B1" s="35" t="s">
        <v>1</v>
      </c>
      <c r="C1" s="35" t="s">
        <v>2</v>
      </c>
      <c r="D1" s="35" t="s">
        <v>3</v>
      </c>
      <c r="E1" s="35" t="s">
        <v>4</v>
      </c>
      <c r="F1" s="35" t="s">
        <v>5</v>
      </c>
      <c r="G1" s="35" t="s">
        <v>6</v>
      </c>
      <c r="H1" s="35" t="s">
        <v>7</v>
      </c>
      <c r="I1" s="58" t="s">
        <v>8</v>
      </c>
      <c r="J1" s="35" t="s">
        <v>9</v>
      </c>
      <c r="K1" s="35" t="s">
        <v>10</v>
      </c>
      <c r="L1" s="35" t="s">
        <v>126</v>
      </c>
      <c r="M1" s="35" t="s">
        <v>127</v>
      </c>
      <c r="N1" s="35" t="s">
        <v>11</v>
      </c>
      <c r="O1" s="35" t="s">
        <v>654</v>
      </c>
      <c r="P1" s="35" t="s">
        <v>655</v>
      </c>
      <c r="Q1" s="35" t="s">
        <v>656</v>
      </c>
      <c r="R1" s="35" t="s">
        <v>657</v>
      </c>
      <c r="S1" s="35" t="s">
        <v>658</v>
      </c>
      <c r="T1" s="35" t="s">
        <v>659</v>
      </c>
      <c r="U1" s="35" t="s">
        <v>660</v>
      </c>
      <c r="V1" s="35" t="s">
        <v>661</v>
      </c>
      <c r="W1" s="35" t="s">
        <v>662</v>
      </c>
      <c r="X1" s="35" t="s">
        <v>663</v>
      </c>
      <c r="Y1" s="35" t="s">
        <v>664</v>
      </c>
      <c r="Z1" s="35" t="s">
        <v>665</v>
      </c>
      <c r="AA1" s="35" t="s">
        <v>666</v>
      </c>
      <c r="AB1" s="35" t="s">
        <v>667</v>
      </c>
      <c r="AC1" s="35" t="s">
        <v>668</v>
      </c>
    </row>
    <row r="2" spans="1:29" ht="30" customHeight="1" x14ac:dyDescent="0.25">
      <c r="A2" s="38">
        <v>8103506285</v>
      </c>
      <c r="B2" s="56" t="s">
        <v>1042</v>
      </c>
      <c r="C2" s="43" t="s">
        <v>1043</v>
      </c>
      <c r="D2" s="56" t="s">
        <v>1044</v>
      </c>
      <c r="E2" s="56" t="s">
        <v>635</v>
      </c>
      <c r="F2" s="56" t="s">
        <v>59</v>
      </c>
      <c r="G2" s="56" t="s">
        <v>769</v>
      </c>
      <c r="H2" s="56" t="s">
        <v>61</v>
      </c>
      <c r="I2" s="56" t="s">
        <v>63</v>
      </c>
      <c r="J2" s="56"/>
      <c r="K2" s="56"/>
      <c r="L2" s="56"/>
      <c r="M2" s="56"/>
      <c r="N2" s="56" t="s">
        <v>16</v>
      </c>
      <c r="O2" s="156" t="s">
        <v>1015</v>
      </c>
      <c r="P2" s="56" t="s">
        <v>21</v>
      </c>
      <c r="Q2" s="107">
        <v>1</v>
      </c>
      <c r="R2" s="107">
        <v>1</v>
      </c>
      <c r="S2" s="107">
        <v>1</v>
      </c>
      <c r="T2" s="107">
        <v>1</v>
      </c>
      <c r="U2" s="107">
        <v>1</v>
      </c>
      <c r="V2" s="107">
        <v>1</v>
      </c>
      <c r="W2" s="107">
        <v>1</v>
      </c>
      <c r="X2" s="107">
        <v>1</v>
      </c>
      <c r="Y2" s="107">
        <v>1</v>
      </c>
      <c r="Z2" s="107">
        <v>1</v>
      </c>
      <c r="AA2" s="107">
        <v>1</v>
      </c>
      <c r="AB2" s="107">
        <v>1</v>
      </c>
      <c r="AC2" s="107">
        <v>1</v>
      </c>
    </row>
    <row r="3" spans="1:29" ht="30" customHeight="1" x14ac:dyDescent="0.25">
      <c r="A3" s="38">
        <v>8103506285</v>
      </c>
      <c r="B3" s="56" t="s">
        <v>1042</v>
      </c>
      <c r="C3" s="43" t="s">
        <v>1043</v>
      </c>
      <c r="D3" s="56" t="s">
        <v>1044</v>
      </c>
      <c r="E3" s="56" t="s">
        <v>635</v>
      </c>
      <c r="F3" s="56" t="s">
        <v>59</v>
      </c>
      <c r="G3" s="56" t="s">
        <v>769</v>
      </c>
      <c r="H3" s="56" t="s">
        <v>61</v>
      </c>
      <c r="I3" s="56" t="s">
        <v>63</v>
      </c>
      <c r="J3" s="56"/>
      <c r="K3" s="56"/>
      <c r="L3" s="56"/>
      <c r="M3" s="56"/>
      <c r="N3" s="56" t="s">
        <v>16</v>
      </c>
      <c r="O3" s="156" t="s">
        <v>1016</v>
      </c>
      <c r="P3" s="56" t="s">
        <v>21</v>
      </c>
      <c r="Q3" s="107">
        <v>1</v>
      </c>
      <c r="R3" s="107">
        <v>1</v>
      </c>
      <c r="S3" s="107">
        <v>1</v>
      </c>
      <c r="T3" s="107">
        <v>1</v>
      </c>
      <c r="U3" s="107">
        <v>1</v>
      </c>
      <c r="V3" s="107">
        <v>1</v>
      </c>
      <c r="W3" s="107">
        <v>1</v>
      </c>
      <c r="X3" s="107">
        <v>1</v>
      </c>
      <c r="Y3" s="107">
        <v>1</v>
      </c>
      <c r="Z3" s="107">
        <v>1</v>
      </c>
      <c r="AA3" s="107">
        <v>1</v>
      </c>
      <c r="AB3" s="107">
        <v>1</v>
      </c>
      <c r="AC3" s="107">
        <v>1</v>
      </c>
    </row>
    <row r="4" spans="1:29" ht="30" customHeight="1" x14ac:dyDescent="0.25">
      <c r="A4" s="38">
        <v>8103506285</v>
      </c>
      <c r="B4" s="56" t="s">
        <v>1042</v>
      </c>
      <c r="C4" s="43" t="s">
        <v>1043</v>
      </c>
      <c r="D4" s="56" t="s">
        <v>1044</v>
      </c>
      <c r="E4" s="56" t="s">
        <v>635</v>
      </c>
      <c r="F4" s="56" t="s">
        <v>59</v>
      </c>
      <c r="G4" s="56" t="s">
        <v>769</v>
      </c>
      <c r="H4" s="56" t="s">
        <v>61</v>
      </c>
      <c r="I4" s="56" t="s">
        <v>63</v>
      </c>
      <c r="J4" s="56"/>
      <c r="K4" s="56"/>
      <c r="L4" s="56"/>
      <c r="M4" s="56"/>
      <c r="N4" s="56" t="s">
        <v>16</v>
      </c>
      <c r="O4" s="156" t="s">
        <v>1017</v>
      </c>
      <c r="P4" s="56" t="s">
        <v>21</v>
      </c>
      <c r="Q4" s="107">
        <v>1</v>
      </c>
      <c r="R4" s="107">
        <v>1</v>
      </c>
      <c r="S4" s="107">
        <v>1</v>
      </c>
      <c r="T4" s="107">
        <v>1</v>
      </c>
      <c r="U4" s="107">
        <v>1</v>
      </c>
      <c r="V4" s="107">
        <v>1</v>
      </c>
      <c r="W4" s="107">
        <v>1</v>
      </c>
      <c r="X4" s="107">
        <v>1</v>
      </c>
      <c r="Y4" s="107">
        <v>1</v>
      </c>
      <c r="Z4" s="107">
        <v>1</v>
      </c>
      <c r="AA4" s="107">
        <v>1</v>
      </c>
      <c r="AB4" s="107">
        <v>1</v>
      </c>
      <c r="AC4" s="107">
        <v>1</v>
      </c>
    </row>
    <row r="5" spans="1:29" ht="30" customHeight="1" x14ac:dyDescent="0.25">
      <c r="A5" s="38">
        <v>8103506285</v>
      </c>
      <c r="B5" s="56" t="s">
        <v>1042</v>
      </c>
      <c r="C5" s="43" t="s">
        <v>1043</v>
      </c>
      <c r="D5" s="56" t="s">
        <v>1044</v>
      </c>
      <c r="E5" s="56" t="s">
        <v>635</v>
      </c>
      <c r="F5" s="56" t="s">
        <v>59</v>
      </c>
      <c r="G5" s="56" t="s">
        <v>769</v>
      </c>
      <c r="H5" s="56" t="s">
        <v>61</v>
      </c>
      <c r="I5" s="56" t="s">
        <v>63</v>
      </c>
      <c r="J5" s="56"/>
      <c r="K5" s="56"/>
      <c r="L5" s="56"/>
      <c r="M5" s="56"/>
      <c r="N5" s="56" t="s">
        <v>16</v>
      </c>
      <c r="O5" s="156" t="s">
        <v>1018</v>
      </c>
      <c r="P5" s="56" t="s">
        <v>21</v>
      </c>
      <c r="Q5" s="107">
        <v>1</v>
      </c>
      <c r="R5" s="107">
        <v>1</v>
      </c>
      <c r="S5" s="107">
        <v>1</v>
      </c>
      <c r="T5" s="107">
        <v>1</v>
      </c>
      <c r="U5" s="107">
        <v>1</v>
      </c>
      <c r="V5" s="107">
        <v>1</v>
      </c>
      <c r="W5" s="107">
        <v>1</v>
      </c>
      <c r="X5" s="107">
        <v>1</v>
      </c>
      <c r="Y5" s="107">
        <v>1</v>
      </c>
      <c r="Z5" s="107">
        <v>1</v>
      </c>
      <c r="AA5" s="107">
        <v>1</v>
      </c>
      <c r="AB5" s="107">
        <v>1</v>
      </c>
      <c r="AC5" s="107">
        <v>1</v>
      </c>
    </row>
    <row r="6" spans="1:29" ht="30" customHeight="1" x14ac:dyDescent="0.25">
      <c r="A6" s="38">
        <v>8103506285</v>
      </c>
      <c r="B6" s="56" t="s">
        <v>1042</v>
      </c>
      <c r="C6" s="43" t="s">
        <v>1043</v>
      </c>
      <c r="D6" s="56" t="s">
        <v>1044</v>
      </c>
      <c r="E6" s="56" t="s">
        <v>635</v>
      </c>
      <c r="F6" s="56" t="s">
        <v>59</v>
      </c>
      <c r="G6" s="56" t="s">
        <v>769</v>
      </c>
      <c r="H6" s="56" t="s">
        <v>61</v>
      </c>
      <c r="I6" s="56" t="s">
        <v>63</v>
      </c>
      <c r="J6" s="56"/>
      <c r="K6" s="56"/>
      <c r="L6" s="56"/>
      <c r="M6" s="56"/>
      <c r="N6" s="56" t="s">
        <v>16</v>
      </c>
      <c r="O6" s="156" t="s">
        <v>1019</v>
      </c>
      <c r="P6" s="56" t="s">
        <v>21</v>
      </c>
      <c r="Q6" s="107">
        <v>1</v>
      </c>
      <c r="R6" s="107">
        <v>1</v>
      </c>
      <c r="S6" s="107">
        <v>1</v>
      </c>
      <c r="T6" s="107">
        <v>1</v>
      </c>
      <c r="U6" s="107">
        <v>1</v>
      </c>
      <c r="V6" s="107">
        <v>1</v>
      </c>
      <c r="W6" s="107">
        <v>1</v>
      </c>
      <c r="X6" s="107">
        <v>1</v>
      </c>
      <c r="Y6" s="107">
        <v>1</v>
      </c>
      <c r="Z6" s="107">
        <v>1</v>
      </c>
      <c r="AA6" s="107">
        <v>1</v>
      </c>
      <c r="AB6" s="107">
        <v>1</v>
      </c>
      <c r="AC6" s="107">
        <v>1</v>
      </c>
    </row>
    <row r="7" spans="1:29" ht="30" customHeight="1" x14ac:dyDescent="0.25">
      <c r="A7" s="38">
        <v>8103506285</v>
      </c>
      <c r="B7" s="56" t="s">
        <v>1042</v>
      </c>
      <c r="C7" s="43" t="s">
        <v>1043</v>
      </c>
      <c r="D7" s="56" t="s">
        <v>1044</v>
      </c>
      <c r="E7" s="56" t="s">
        <v>635</v>
      </c>
      <c r="F7" s="56" t="s">
        <v>59</v>
      </c>
      <c r="G7" s="56" t="s">
        <v>769</v>
      </c>
      <c r="H7" s="56" t="s">
        <v>61</v>
      </c>
      <c r="I7" s="56" t="s">
        <v>63</v>
      </c>
      <c r="J7" s="56"/>
      <c r="K7" s="56"/>
      <c r="L7" s="56"/>
      <c r="M7" s="56"/>
      <c r="N7" s="56" t="s">
        <v>16</v>
      </c>
      <c r="O7" s="156" t="s">
        <v>1020</v>
      </c>
      <c r="P7" s="56" t="s">
        <v>21</v>
      </c>
      <c r="Q7" s="107">
        <v>1</v>
      </c>
      <c r="R7" s="107">
        <v>1</v>
      </c>
      <c r="S7" s="107">
        <v>1</v>
      </c>
      <c r="T7" s="107">
        <v>1</v>
      </c>
      <c r="U7" s="107">
        <v>1</v>
      </c>
      <c r="V7" s="107">
        <v>1</v>
      </c>
      <c r="W7" s="107">
        <v>1</v>
      </c>
      <c r="X7" s="107">
        <v>1</v>
      </c>
      <c r="Y7" s="107">
        <v>1</v>
      </c>
      <c r="Z7" s="107">
        <v>1</v>
      </c>
      <c r="AA7" s="107">
        <v>1</v>
      </c>
      <c r="AB7" s="107">
        <v>1</v>
      </c>
      <c r="AC7" s="107">
        <v>1</v>
      </c>
    </row>
    <row r="8" spans="1:29" ht="30" customHeight="1" x14ac:dyDescent="0.25">
      <c r="A8" s="38">
        <v>8103506285</v>
      </c>
      <c r="B8" s="56" t="s">
        <v>1042</v>
      </c>
      <c r="C8" s="43" t="s">
        <v>1043</v>
      </c>
      <c r="D8" s="56" t="s">
        <v>1044</v>
      </c>
      <c r="E8" s="56" t="s">
        <v>635</v>
      </c>
      <c r="F8" s="56" t="s">
        <v>59</v>
      </c>
      <c r="G8" s="56" t="s">
        <v>769</v>
      </c>
      <c r="H8" s="56" t="s">
        <v>61</v>
      </c>
      <c r="I8" s="56" t="s">
        <v>63</v>
      </c>
      <c r="J8" s="56"/>
      <c r="K8" s="56"/>
      <c r="L8" s="56"/>
      <c r="M8" s="56"/>
      <c r="N8" s="56" t="s">
        <v>16</v>
      </c>
      <c r="O8" s="156" t="s">
        <v>1021</v>
      </c>
      <c r="P8" s="56" t="s">
        <v>21</v>
      </c>
      <c r="Q8" s="107">
        <v>1</v>
      </c>
      <c r="R8" s="107">
        <v>1</v>
      </c>
      <c r="S8" s="107">
        <v>1</v>
      </c>
      <c r="T8" s="107">
        <v>1</v>
      </c>
      <c r="U8" s="107">
        <v>1</v>
      </c>
      <c r="V8" s="107">
        <v>1</v>
      </c>
      <c r="W8" s="107">
        <v>1</v>
      </c>
      <c r="X8" s="107">
        <v>1</v>
      </c>
      <c r="Y8" s="107">
        <v>1</v>
      </c>
      <c r="Z8" s="107">
        <v>1</v>
      </c>
      <c r="AA8" s="107">
        <v>1</v>
      </c>
      <c r="AB8" s="107">
        <v>1</v>
      </c>
      <c r="AC8" s="107">
        <v>1</v>
      </c>
    </row>
    <row r="9" spans="1:29" ht="30" customHeight="1" x14ac:dyDescent="0.25">
      <c r="A9" s="38">
        <v>8103506285</v>
      </c>
      <c r="B9" s="56" t="s">
        <v>1042</v>
      </c>
      <c r="C9" s="43" t="s">
        <v>1043</v>
      </c>
      <c r="D9" s="56" t="s">
        <v>1044</v>
      </c>
      <c r="E9" s="56" t="s">
        <v>635</v>
      </c>
      <c r="F9" s="56" t="s">
        <v>59</v>
      </c>
      <c r="G9" s="56" t="s">
        <v>769</v>
      </c>
      <c r="H9" s="56" t="s">
        <v>61</v>
      </c>
      <c r="I9" s="56" t="s">
        <v>63</v>
      </c>
      <c r="J9" s="56"/>
      <c r="K9" s="56"/>
      <c r="L9" s="56"/>
      <c r="M9" s="56"/>
      <c r="N9" s="56" t="s">
        <v>16</v>
      </c>
      <c r="O9" s="156" t="s">
        <v>1022</v>
      </c>
      <c r="P9" s="56" t="s">
        <v>21</v>
      </c>
      <c r="Q9" s="107">
        <v>1</v>
      </c>
      <c r="R9" s="107">
        <v>1</v>
      </c>
      <c r="S9" s="107">
        <v>1</v>
      </c>
      <c r="T9" s="107">
        <v>1</v>
      </c>
      <c r="U9" s="107">
        <v>1</v>
      </c>
      <c r="V9" s="107">
        <v>1</v>
      </c>
      <c r="W9" s="107">
        <v>1</v>
      </c>
      <c r="X9" s="107">
        <v>1</v>
      </c>
      <c r="Y9" s="107">
        <v>1</v>
      </c>
      <c r="Z9" s="107">
        <v>1</v>
      </c>
      <c r="AA9" s="107">
        <v>1</v>
      </c>
      <c r="AB9" s="107">
        <v>1</v>
      </c>
      <c r="AC9" s="107">
        <v>1</v>
      </c>
    </row>
    <row r="10" spans="1:29" ht="30" customHeight="1" x14ac:dyDescent="0.25">
      <c r="A10" s="38">
        <v>8103506285</v>
      </c>
      <c r="B10" s="56" t="s">
        <v>1042</v>
      </c>
      <c r="C10" s="43" t="s">
        <v>1043</v>
      </c>
      <c r="D10" s="56" t="s">
        <v>1044</v>
      </c>
      <c r="E10" s="56" t="s">
        <v>635</v>
      </c>
      <c r="F10" s="56" t="s">
        <v>59</v>
      </c>
      <c r="G10" s="56" t="s">
        <v>769</v>
      </c>
      <c r="H10" s="56" t="s">
        <v>61</v>
      </c>
      <c r="I10" s="56" t="s">
        <v>63</v>
      </c>
      <c r="J10" s="56"/>
      <c r="K10" s="56"/>
      <c r="L10" s="56"/>
      <c r="M10" s="56"/>
      <c r="N10" s="56" t="s">
        <v>16</v>
      </c>
      <c r="O10" s="156" t="s">
        <v>1023</v>
      </c>
      <c r="P10" s="56" t="s">
        <v>21</v>
      </c>
      <c r="Q10" s="107">
        <v>1</v>
      </c>
      <c r="R10" s="107">
        <v>1</v>
      </c>
      <c r="S10" s="107">
        <v>1</v>
      </c>
      <c r="T10" s="107">
        <v>1</v>
      </c>
      <c r="U10" s="107">
        <v>1</v>
      </c>
      <c r="V10" s="107">
        <v>1</v>
      </c>
      <c r="W10" s="107">
        <v>1</v>
      </c>
      <c r="X10" s="107">
        <v>1</v>
      </c>
      <c r="Y10" s="107">
        <v>1</v>
      </c>
      <c r="Z10" s="107">
        <v>1</v>
      </c>
      <c r="AA10" s="107">
        <v>1</v>
      </c>
      <c r="AB10" s="107">
        <v>1</v>
      </c>
      <c r="AC10" s="107">
        <v>1</v>
      </c>
    </row>
  </sheetData>
  <hyperlinks>
    <hyperlink ref="C2" r:id="rId1" xr:uid="{7777F1CA-64B3-4C02-A77A-04FFD1AC5878}"/>
    <hyperlink ref="C3" r:id="rId2" xr:uid="{77F5086D-A3B5-4B50-9306-E64BDA6565E6}"/>
    <hyperlink ref="C4" r:id="rId3" xr:uid="{2259D06B-E749-4BFD-8BFC-FB93CB9497FE}"/>
    <hyperlink ref="C5" r:id="rId4" xr:uid="{A6D7605E-9090-40B0-8B60-85B7100684EF}"/>
    <hyperlink ref="C6" r:id="rId5" xr:uid="{8342DB18-1854-4ECE-8465-173F0160747E}"/>
    <hyperlink ref="C7" r:id="rId6" xr:uid="{5F850286-0A8F-4546-8989-B40D5FC702C1}"/>
    <hyperlink ref="C8" r:id="rId7" xr:uid="{3605424B-34C3-421E-9E82-3F2722D40AB5}"/>
    <hyperlink ref="C9" r:id="rId8" xr:uid="{5B3E0E5C-EB5B-455C-B398-59B037140CB4}"/>
    <hyperlink ref="C10" r:id="rId9" xr:uid="{7EB7F386-99F8-4E63-8086-0AF3B79A2375}"/>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AB7FF-F025-4A4A-9128-9ED219D33276}">
  <dimension ref="A1:AC18"/>
  <sheetViews>
    <sheetView topLeftCell="D1" workbookViewId="0">
      <selection activeCell="F2" sqref="F2"/>
    </sheetView>
  </sheetViews>
  <sheetFormatPr defaultColWidth="9.6640625" defaultRowHeight="15" x14ac:dyDescent="0.25"/>
  <cols>
    <col min="1" max="1" width="12.109375" style="16" bestFit="1" customWidth="1"/>
    <col min="2" max="2" width="17.33203125" style="16" bestFit="1" customWidth="1"/>
    <col min="3" max="3" width="40.109375" style="16" customWidth="1"/>
    <col min="4" max="4" width="10.88671875" style="16" customWidth="1"/>
    <col min="5" max="5" width="9.21875" style="16" customWidth="1"/>
    <col min="6" max="6" width="11.33203125" style="16" bestFit="1" customWidth="1"/>
    <col min="7" max="7" width="21.77734375" style="16" bestFit="1" customWidth="1"/>
    <col min="8" max="8" width="10.109375" style="16" customWidth="1"/>
    <col min="9" max="9" width="13" style="16" customWidth="1"/>
    <col min="10" max="13" width="12.6640625" style="16" bestFit="1" customWidth="1"/>
    <col min="14" max="14" width="14.88671875" style="16" bestFit="1" customWidth="1"/>
    <col min="15" max="15" width="125.44140625" style="16" bestFit="1" customWidth="1"/>
    <col min="16" max="16" width="11.88671875" style="16" customWidth="1"/>
    <col min="17" max="29" width="11.21875" style="16" customWidth="1"/>
    <col min="30" max="16384" width="9.6640625" style="16"/>
  </cols>
  <sheetData>
    <row r="1" spans="1:29" s="17" customFormat="1" ht="27.6" x14ac:dyDescent="0.25">
      <c r="A1" s="35" t="s">
        <v>0</v>
      </c>
      <c r="B1" s="35" t="s">
        <v>1</v>
      </c>
      <c r="C1" s="35" t="s">
        <v>2</v>
      </c>
      <c r="D1" s="58" t="s">
        <v>3</v>
      </c>
      <c r="E1" s="35" t="s">
        <v>4</v>
      </c>
      <c r="F1" s="35" t="s">
        <v>5</v>
      </c>
      <c r="G1" s="35" t="s">
        <v>6</v>
      </c>
      <c r="H1" s="35" t="s">
        <v>7</v>
      </c>
      <c r="I1" s="58" t="s">
        <v>8</v>
      </c>
      <c r="J1" s="35" t="s">
        <v>9</v>
      </c>
      <c r="K1" s="35" t="s">
        <v>10</v>
      </c>
      <c r="L1" s="35" t="s">
        <v>126</v>
      </c>
      <c r="M1" s="35" t="s">
        <v>127</v>
      </c>
      <c r="N1" s="35"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s="18" customFormat="1" ht="19.95" customHeight="1" x14ac:dyDescent="0.25">
      <c r="A2" s="12">
        <v>8458811048</v>
      </c>
      <c r="B2" s="12" t="s">
        <v>74</v>
      </c>
      <c r="C2" s="43" t="s">
        <v>75</v>
      </c>
      <c r="D2" s="12" t="s">
        <v>73</v>
      </c>
      <c r="E2" s="12" t="s">
        <v>26</v>
      </c>
      <c r="F2" s="56" t="s">
        <v>59</v>
      </c>
      <c r="G2" s="12" t="s">
        <v>72</v>
      </c>
      <c r="H2" s="12" t="s">
        <v>13</v>
      </c>
      <c r="I2" s="12" t="s">
        <v>14</v>
      </c>
      <c r="J2" s="12"/>
      <c r="K2" s="12"/>
      <c r="L2" s="12"/>
      <c r="M2" s="12"/>
      <c r="N2" s="12" t="s">
        <v>16</v>
      </c>
      <c r="O2" s="85" t="s">
        <v>76</v>
      </c>
      <c r="P2" s="81" t="s">
        <v>70</v>
      </c>
      <c r="Q2" s="82">
        <v>7800</v>
      </c>
      <c r="R2" s="38">
        <v>1500</v>
      </c>
      <c r="S2" s="38">
        <v>1500</v>
      </c>
      <c r="T2" s="38">
        <v>1500</v>
      </c>
      <c r="U2" s="12">
        <v>1000</v>
      </c>
      <c r="V2" s="12">
        <v>0</v>
      </c>
      <c r="W2" s="12">
        <v>0</v>
      </c>
      <c r="X2" s="12">
        <v>0</v>
      </c>
      <c r="Y2" s="12">
        <v>500</v>
      </c>
      <c r="Z2" s="12">
        <v>500</v>
      </c>
      <c r="AA2" s="12">
        <v>300</v>
      </c>
      <c r="AB2" s="12">
        <v>500</v>
      </c>
      <c r="AC2" s="12">
        <v>500</v>
      </c>
    </row>
    <row r="3" spans="1:29" s="18" customFormat="1" ht="19.95" customHeight="1" x14ac:dyDescent="0.25">
      <c r="A3" s="12">
        <v>8458811048</v>
      </c>
      <c r="B3" s="12" t="s">
        <v>74</v>
      </c>
      <c r="C3" s="43" t="s">
        <v>75</v>
      </c>
      <c r="D3" s="12" t="s">
        <v>73</v>
      </c>
      <c r="E3" s="12" t="s">
        <v>26</v>
      </c>
      <c r="F3" s="56" t="s">
        <v>59</v>
      </c>
      <c r="G3" s="12" t="s">
        <v>72</v>
      </c>
      <c r="H3" s="12" t="s">
        <v>13</v>
      </c>
      <c r="I3" s="12" t="s">
        <v>14</v>
      </c>
      <c r="J3" s="12"/>
      <c r="K3" s="12"/>
      <c r="L3" s="12"/>
      <c r="M3" s="12"/>
      <c r="N3" s="12" t="s">
        <v>16</v>
      </c>
      <c r="O3" s="85" t="s">
        <v>357</v>
      </c>
      <c r="P3" s="81" t="s">
        <v>71</v>
      </c>
      <c r="Q3" s="82">
        <v>28.24</v>
      </c>
      <c r="R3" s="38">
        <f>+R2*30000/10000000</f>
        <v>4.5</v>
      </c>
      <c r="S3" s="38">
        <f t="shared" ref="S3:T3" si="0">+S2*30000/10000000</f>
        <v>4.5</v>
      </c>
      <c r="T3" s="38">
        <f t="shared" si="0"/>
        <v>4.5</v>
      </c>
      <c r="U3" s="38">
        <f>+U2*30000/10000000</f>
        <v>3</v>
      </c>
      <c r="V3" s="38">
        <f t="shared" ref="V3:W3" si="1">+V2*30000/10000000</f>
        <v>0</v>
      </c>
      <c r="W3" s="38">
        <f t="shared" si="1"/>
        <v>0</v>
      </c>
      <c r="X3" s="38">
        <f>+X2*30000/10000000</f>
        <v>0</v>
      </c>
      <c r="Y3" s="38">
        <v>2</v>
      </c>
      <c r="Z3" s="38">
        <v>2</v>
      </c>
      <c r="AA3" s="38">
        <v>1.1000000000000001</v>
      </c>
      <c r="AB3" s="38">
        <v>4</v>
      </c>
      <c r="AC3" s="38">
        <v>3</v>
      </c>
    </row>
    <row r="4" spans="1:29" s="18" customFormat="1" ht="19.95" customHeight="1" x14ac:dyDescent="0.25">
      <c r="A4" s="12">
        <v>8458811048</v>
      </c>
      <c r="B4" s="12" t="s">
        <v>74</v>
      </c>
      <c r="C4" s="43" t="s">
        <v>75</v>
      </c>
      <c r="D4" s="12" t="s">
        <v>73</v>
      </c>
      <c r="E4" s="12" t="s">
        <v>26</v>
      </c>
      <c r="F4" s="56" t="s">
        <v>59</v>
      </c>
      <c r="G4" s="12" t="s">
        <v>72</v>
      </c>
      <c r="H4" s="12" t="s">
        <v>13</v>
      </c>
      <c r="I4" s="12" t="s">
        <v>14</v>
      </c>
      <c r="J4" s="12"/>
      <c r="K4" s="12"/>
      <c r="L4" s="12"/>
      <c r="M4" s="12"/>
      <c r="N4" s="12" t="s">
        <v>16</v>
      </c>
      <c r="O4" s="85" t="s">
        <v>77</v>
      </c>
      <c r="P4" s="81" t="s">
        <v>70</v>
      </c>
      <c r="Q4" s="82">
        <v>11600</v>
      </c>
      <c r="R4" s="38">
        <v>500</v>
      </c>
      <c r="S4" s="38">
        <v>500</v>
      </c>
      <c r="T4" s="38">
        <v>500</v>
      </c>
      <c r="U4" s="12">
        <v>600</v>
      </c>
      <c r="V4" s="12">
        <v>600</v>
      </c>
      <c r="W4" s="12">
        <v>600</v>
      </c>
      <c r="X4" s="12">
        <v>1500</v>
      </c>
      <c r="Y4" s="12">
        <v>1500</v>
      </c>
      <c r="Z4" s="12">
        <v>1500</v>
      </c>
      <c r="AA4" s="12">
        <v>1100</v>
      </c>
      <c r="AB4" s="12">
        <v>1100</v>
      </c>
      <c r="AC4" s="12">
        <v>1600</v>
      </c>
    </row>
    <row r="5" spans="1:29" s="18" customFormat="1" ht="19.95" customHeight="1" x14ac:dyDescent="0.25">
      <c r="A5" s="12">
        <v>8458811048</v>
      </c>
      <c r="B5" s="12" t="s">
        <v>74</v>
      </c>
      <c r="C5" s="43" t="s">
        <v>75</v>
      </c>
      <c r="D5" s="12" t="s">
        <v>73</v>
      </c>
      <c r="E5" s="12" t="s">
        <v>26</v>
      </c>
      <c r="F5" s="56" t="s">
        <v>59</v>
      </c>
      <c r="G5" s="12" t="s">
        <v>72</v>
      </c>
      <c r="H5" s="12" t="s">
        <v>13</v>
      </c>
      <c r="I5" s="12" t="s">
        <v>14</v>
      </c>
      <c r="J5" s="12"/>
      <c r="K5" s="12"/>
      <c r="L5" s="12"/>
      <c r="M5" s="12"/>
      <c r="N5" s="12" t="s">
        <v>16</v>
      </c>
      <c r="O5" s="85" t="s">
        <v>357</v>
      </c>
      <c r="P5" s="81" t="s">
        <v>71</v>
      </c>
      <c r="Q5" s="82">
        <v>34.604999999999997</v>
      </c>
      <c r="R5" s="82">
        <f>+R4*25000/10000000</f>
        <v>1.25</v>
      </c>
      <c r="S5" s="82">
        <f t="shared" ref="S5:T5" si="2">+S4*25000/10000000</f>
        <v>1.25</v>
      </c>
      <c r="T5" s="82">
        <f t="shared" si="2"/>
        <v>1.25</v>
      </c>
      <c r="U5" s="82">
        <f t="shared" ref="U5:W5" si="3">+U4*25000/10000000</f>
        <v>1.5</v>
      </c>
      <c r="V5" s="82">
        <f t="shared" si="3"/>
        <v>1.5</v>
      </c>
      <c r="W5" s="82">
        <f t="shared" si="3"/>
        <v>1.5</v>
      </c>
      <c r="X5" s="83">
        <f>+X4*20000/10000000</f>
        <v>3</v>
      </c>
      <c r="Y5" s="83">
        <v>7</v>
      </c>
      <c r="Z5" s="83">
        <v>7</v>
      </c>
      <c r="AA5" s="82">
        <f t="shared" ref="AA5:AC5" si="4">+AA4*25000/10000000</f>
        <v>2.75</v>
      </c>
      <c r="AB5" s="82">
        <f t="shared" si="4"/>
        <v>2.75</v>
      </c>
      <c r="AC5" s="82">
        <f t="shared" si="4"/>
        <v>4</v>
      </c>
    </row>
    <row r="6" spans="1:29" s="18" customFormat="1" ht="19.95" customHeight="1" x14ac:dyDescent="0.25">
      <c r="A6" s="12">
        <v>8458811048</v>
      </c>
      <c r="B6" s="12" t="s">
        <v>74</v>
      </c>
      <c r="C6" s="43" t="s">
        <v>75</v>
      </c>
      <c r="D6" s="12" t="s">
        <v>73</v>
      </c>
      <c r="E6" s="12" t="s">
        <v>26</v>
      </c>
      <c r="F6" s="56" t="s">
        <v>59</v>
      </c>
      <c r="G6" s="12" t="s">
        <v>72</v>
      </c>
      <c r="H6" s="12" t="s">
        <v>13</v>
      </c>
      <c r="I6" s="12" t="s">
        <v>14</v>
      </c>
      <c r="J6" s="12"/>
      <c r="K6" s="12"/>
      <c r="L6" s="12"/>
      <c r="M6" s="12"/>
      <c r="N6" s="12" t="s">
        <v>16</v>
      </c>
      <c r="O6" s="85" t="s">
        <v>358</v>
      </c>
      <c r="P6" s="81" t="s">
        <v>18</v>
      </c>
      <c r="Q6" s="82">
        <v>30</v>
      </c>
      <c r="R6" s="38">
        <v>2</v>
      </c>
      <c r="S6" s="38">
        <v>2</v>
      </c>
      <c r="T6" s="38">
        <v>1</v>
      </c>
      <c r="U6" s="12">
        <v>0</v>
      </c>
      <c r="V6" s="12">
        <v>3</v>
      </c>
      <c r="W6" s="12">
        <v>3</v>
      </c>
      <c r="X6" s="12">
        <v>3</v>
      </c>
      <c r="Y6" s="12">
        <v>3</v>
      </c>
      <c r="Z6" s="12">
        <v>3</v>
      </c>
      <c r="AA6" s="12">
        <v>3</v>
      </c>
      <c r="AB6" s="12">
        <v>3</v>
      </c>
      <c r="AC6" s="12">
        <v>4</v>
      </c>
    </row>
    <row r="7" spans="1:29" s="18" customFormat="1" ht="19.95" customHeight="1" x14ac:dyDescent="0.25">
      <c r="A7" s="12">
        <v>8458811048</v>
      </c>
      <c r="B7" s="12" t="s">
        <v>74</v>
      </c>
      <c r="C7" s="43" t="s">
        <v>75</v>
      </c>
      <c r="D7" s="12" t="s">
        <v>73</v>
      </c>
      <c r="E7" s="12" t="s">
        <v>26</v>
      </c>
      <c r="F7" s="56" t="s">
        <v>59</v>
      </c>
      <c r="G7" s="12" t="s">
        <v>72</v>
      </c>
      <c r="H7" s="12" t="s">
        <v>13</v>
      </c>
      <c r="I7" s="12" t="s">
        <v>14</v>
      </c>
      <c r="J7" s="12"/>
      <c r="K7" s="12"/>
      <c r="L7" s="12"/>
      <c r="M7" s="12"/>
      <c r="N7" s="12" t="s">
        <v>16</v>
      </c>
      <c r="O7" s="85" t="s">
        <v>359</v>
      </c>
      <c r="P7" s="81" t="s">
        <v>18</v>
      </c>
      <c r="Q7" s="82">
        <v>45</v>
      </c>
      <c r="R7" s="38">
        <v>4</v>
      </c>
      <c r="S7" s="38">
        <v>4</v>
      </c>
      <c r="T7" s="38">
        <v>4</v>
      </c>
      <c r="U7" s="12">
        <v>4</v>
      </c>
      <c r="V7" s="12">
        <v>4</v>
      </c>
      <c r="W7" s="12">
        <v>4</v>
      </c>
      <c r="X7" s="12">
        <v>4</v>
      </c>
      <c r="Y7" s="12">
        <v>4</v>
      </c>
      <c r="Z7" s="12">
        <v>4</v>
      </c>
      <c r="AA7" s="12">
        <v>4</v>
      </c>
      <c r="AB7" s="12">
        <v>4</v>
      </c>
      <c r="AC7" s="12">
        <v>4</v>
      </c>
    </row>
    <row r="8" spans="1:29" s="18" customFormat="1" ht="19.95" customHeight="1" x14ac:dyDescent="0.25">
      <c r="A8" s="12">
        <v>8458811048</v>
      </c>
      <c r="B8" s="12" t="s">
        <v>74</v>
      </c>
      <c r="C8" s="43" t="s">
        <v>75</v>
      </c>
      <c r="D8" s="12" t="s">
        <v>73</v>
      </c>
      <c r="E8" s="12" t="s">
        <v>26</v>
      </c>
      <c r="F8" s="56" t="s">
        <v>59</v>
      </c>
      <c r="G8" s="12" t="s">
        <v>72</v>
      </c>
      <c r="H8" s="12" t="s">
        <v>13</v>
      </c>
      <c r="I8" s="12" t="s">
        <v>14</v>
      </c>
      <c r="J8" s="12"/>
      <c r="K8" s="12"/>
      <c r="L8" s="12"/>
      <c r="M8" s="12"/>
      <c r="N8" s="12" t="s">
        <v>16</v>
      </c>
      <c r="O8" s="85" t="s">
        <v>360</v>
      </c>
      <c r="P8" s="81" t="s">
        <v>18</v>
      </c>
      <c r="Q8" s="82">
        <v>54</v>
      </c>
      <c r="R8" s="38">
        <v>8</v>
      </c>
      <c r="S8" s="38">
        <v>8</v>
      </c>
      <c r="T8" s="38">
        <v>8</v>
      </c>
      <c r="U8" s="12">
        <v>12</v>
      </c>
      <c r="V8" s="12">
        <v>12</v>
      </c>
      <c r="W8" s="12">
        <v>30</v>
      </c>
      <c r="X8" s="12">
        <v>20</v>
      </c>
      <c r="Y8" s="12">
        <v>30</v>
      </c>
      <c r="Z8" s="12">
        <v>30</v>
      </c>
      <c r="AA8" s="12">
        <v>20</v>
      </c>
      <c r="AB8" s="12">
        <v>30</v>
      </c>
      <c r="AC8" s="12">
        <v>30</v>
      </c>
    </row>
    <row r="9" spans="1:29" s="18" customFormat="1" ht="19.95" customHeight="1" x14ac:dyDescent="0.25">
      <c r="A9" s="12">
        <v>8458811048</v>
      </c>
      <c r="B9" s="12" t="s">
        <v>74</v>
      </c>
      <c r="C9" s="43" t="s">
        <v>75</v>
      </c>
      <c r="D9" s="12" t="s">
        <v>73</v>
      </c>
      <c r="E9" s="12" t="s">
        <v>26</v>
      </c>
      <c r="F9" s="56" t="s">
        <v>59</v>
      </c>
      <c r="G9" s="12" t="s">
        <v>72</v>
      </c>
      <c r="H9" s="12" t="s">
        <v>13</v>
      </c>
      <c r="I9" s="12" t="s">
        <v>14</v>
      </c>
      <c r="J9" s="12"/>
      <c r="K9" s="12"/>
      <c r="L9" s="12"/>
      <c r="M9" s="12"/>
      <c r="N9" s="12" t="s">
        <v>16</v>
      </c>
      <c r="O9" s="85" t="s">
        <v>361</v>
      </c>
      <c r="P9" s="81" t="s">
        <v>18</v>
      </c>
      <c r="Q9" s="82">
        <v>18</v>
      </c>
      <c r="R9" s="38">
        <v>2</v>
      </c>
      <c r="S9" s="38">
        <v>2</v>
      </c>
      <c r="T9" s="38">
        <v>1</v>
      </c>
      <c r="U9" s="12">
        <v>1</v>
      </c>
      <c r="V9" s="12">
        <v>1</v>
      </c>
      <c r="W9" s="12">
        <v>1</v>
      </c>
      <c r="X9" s="12">
        <v>1</v>
      </c>
      <c r="Y9" s="12">
        <v>2</v>
      </c>
      <c r="Z9" s="12">
        <v>3</v>
      </c>
      <c r="AA9" s="12">
        <v>1</v>
      </c>
      <c r="AB9" s="12">
        <v>1</v>
      </c>
      <c r="AC9" s="12">
        <v>2</v>
      </c>
    </row>
    <row r="10" spans="1:29" s="18" customFormat="1" ht="19.95" customHeight="1" x14ac:dyDescent="0.25">
      <c r="A10" s="12">
        <v>8458811048</v>
      </c>
      <c r="B10" s="12" t="s">
        <v>74</v>
      </c>
      <c r="C10" s="43" t="s">
        <v>75</v>
      </c>
      <c r="D10" s="12" t="s">
        <v>73</v>
      </c>
      <c r="E10" s="12" t="s">
        <v>26</v>
      </c>
      <c r="F10" s="56" t="s">
        <v>59</v>
      </c>
      <c r="G10" s="12" t="s">
        <v>72</v>
      </c>
      <c r="H10" s="12" t="s">
        <v>13</v>
      </c>
      <c r="I10" s="12" t="s">
        <v>14</v>
      </c>
      <c r="J10" s="12"/>
      <c r="K10" s="12"/>
      <c r="L10" s="12"/>
      <c r="M10" s="12"/>
      <c r="N10" s="12" t="s">
        <v>16</v>
      </c>
      <c r="O10" s="85" t="s">
        <v>362</v>
      </c>
      <c r="P10" s="81" t="s">
        <v>18</v>
      </c>
      <c r="Q10" s="82">
        <v>104</v>
      </c>
      <c r="R10" s="38">
        <v>4</v>
      </c>
      <c r="S10" s="38">
        <v>10</v>
      </c>
      <c r="T10" s="38">
        <v>5</v>
      </c>
      <c r="U10" s="12">
        <v>6</v>
      </c>
      <c r="V10" s="12">
        <v>12</v>
      </c>
      <c r="W10" s="12">
        <v>12</v>
      </c>
      <c r="X10" s="12">
        <v>8</v>
      </c>
      <c r="Y10" s="12">
        <v>9</v>
      </c>
      <c r="Z10" s="12">
        <v>8</v>
      </c>
      <c r="AA10" s="12">
        <v>6</v>
      </c>
      <c r="AB10" s="12">
        <v>12</v>
      </c>
      <c r="AC10" s="12">
        <v>12</v>
      </c>
    </row>
    <row r="11" spans="1:29" s="18" customFormat="1" ht="19.95" customHeight="1" x14ac:dyDescent="0.25">
      <c r="A11" s="12">
        <v>8458811048</v>
      </c>
      <c r="B11" s="12" t="s">
        <v>74</v>
      </c>
      <c r="C11" s="43" t="s">
        <v>75</v>
      </c>
      <c r="D11" s="12" t="s">
        <v>73</v>
      </c>
      <c r="E11" s="12" t="s">
        <v>26</v>
      </c>
      <c r="F11" s="56" t="s">
        <v>59</v>
      </c>
      <c r="G11" s="12" t="s">
        <v>72</v>
      </c>
      <c r="H11" s="12" t="s">
        <v>13</v>
      </c>
      <c r="I11" s="12" t="s">
        <v>14</v>
      </c>
      <c r="J11" s="12"/>
      <c r="K11" s="12"/>
      <c r="L11" s="12"/>
      <c r="M11" s="12"/>
      <c r="N11" s="12" t="s">
        <v>16</v>
      </c>
      <c r="O11" s="85" t="s">
        <v>78</v>
      </c>
      <c r="P11" s="81" t="s">
        <v>18</v>
      </c>
      <c r="Q11" s="82">
        <v>12</v>
      </c>
      <c r="R11" s="38">
        <v>1</v>
      </c>
      <c r="S11" s="38">
        <v>1</v>
      </c>
      <c r="T11" s="38">
        <v>1</v>
      </c>
      <c r="U11" s="12">
        <v>2</v>
      </c>
      <c r="V11" s="12">
        <v>2</v>
      </c>
      <c r="W11" s="12">
        <v>2</v>
      </c>
      <c r="X11" s="12">
        <v>1</v>
      </c>
      <c r="Y11" s="12">
        <v>0</v>
      </c>
      <c r="Z11" s="12">
        <v>0</v>
      </c>
      <c r="AA11" s="12">
        <v>1</v>
      </c>
      <c r="AB11" s="12">
        <v>1</v>
      </c>
      <c r="AC11" s="12">
        <v>0</v>
      </c>
    </row>
    <row r="12" spans="1:29" s="18" customFormat="1" ht="19.95" customHeight="1" x14ac:dyDescent="0.25">
      <c r="A12" s="12">
        <v>8458811048</v>
      </c>
      <c r="B12" s="12" t="s">
        <v>74</v>
      </c>
      <c r="C12" s="43" t="s">
        <v>75</v>
      </c>
      <c r="D12" s="12" t="s">
        <v>73</v>
      </c>
      <c r="E12" s="12" t="s">
        <v>26</v>
      </c>
      <c r="F12" s="56" t="s">
        <v>59</v>
      </c>
      <c r="G12" s="12" t="s">
        <v>72</v>
      </c>
      <c r="H12" s="12" t="s">
        <v>13</v>
      </c>
      <c r="I12" s="12" t="s">
        <v>14</v>
      </c>
      <c r="J12" s="12"/>
      <c r="K12" s="12"/>
      <c r="L12" s="12"/>
      <c r="M12" s="12"/>
      <c r="N12" s="12" t="s">
        <v>16</v>
      </c>
      <c r="O12" s="85" t="s">
        <v>79</v>
      </c>
      <c r="P12" s="81" t="s">
        <v>18</v>
      </c>
      <c r="Q12" s="82">
        <v>12</v>
      </c>
      <c r="R12" s="38">
        <v>1</v>
      </c>
      <c r="S12" s="38">
        <v>1</v>
      </c>
      <c r="T12" s="38">
        <v>1</v>
      </c>
      <c r="U12" s="38">
        <v>1</v>
      </c>
      <c r="V12" s="38">
        <v>1</v>
      </c>
      <c r="W12" s="38">
        <v>1</v>
      </c>
      <c r="X12" s="38">
        <v>1</v>
      </c>
      <c r="Y12" s="38">
        <v>1</v>
      </c>
      <c r="Z12" s="38">
        <v>1</v>
      </c>
      <c r="AA12" s="38">
        <v>1</v>
      </c>
      <c r="AB12" s="38">
        <v>1</v>
      </c>
      <c r="AC12" s="38">
        <v>1</v>
      </c>
    </row>
    <row r="13" spans="1:29" s="18" customFormat="1" ht="19.95" customHeight="1" x14ac:dyDescent="0.25">
      <c r="A13" s="12">
        <v>8458811048</v>
      </c>
      <c r="B13" s="12" t="s">
        <v>74</v>
      </c>
      <c r="C13" s="43" t="s">
        <v>75</v>
      </c>
      <c r="D13" s="12" t="s">
        <v>73</v>
      </c>
      <c r="E13" s="12" t="s">
        <v>26</v>
      </c>
      <c r="F13" s="56" t="s">
        <v>59</v>
      </c>
      <c r="G13" s="12" t="s">
        <v>72</v>
      </c>
      <c r="H13" s="12" t="s">
        <v>13</v>
      </c>
      <c r="I13" s="12" t="s">
        <v>14</v>
      </c>
      <c r="J13" s="12"/>
      <c r="K13" s="12"/>
      <c r="L13" s="12"/>
      <c r="M13" s="12"/>
      <c r="N13" s="12" t="s">
        <v>16</v>
      </c>
      <c r="O13" s="85" t="s">
        <v>80</v>
      </c>
      <c r="P13" s="81" t="s">
        <v>18</v>
      </c>
      <c r="Q13" s="82">
        <v>7</v>
      </c>
      <c r="R13" s="38">
        <v>0</v>
      </c>
      <c r="S13" s="38">
        <v>0</v>
      </c>
      <c r="T13" s="38">
        <v>1</v>
      </c>
      <c r="U13" s="38">
        <v>1</v>
      </c>
      <c r="V13" s="38">
        <v>0</v>
      </c>
      <c r="W13" s="38">
        <v>1</v>
      </c>
      <c r="X13" s="38">
        <v>1</v>
      </c>
      <c r="Y13" s="38">
        <v>0</v>
      </c>
      <c r="Z13" s="38">
        <v>1</v>
      </c>
      <c r="AA13" s="38">
        <v>1</v>
      </c>
      <c r="AB13" s="38">
        <v>0</v>
      </c>
      <c r="AC13" s="38">
        <v>1</v>
      </c>
    </row>
    <row r="14" spans="1:29" s="18" customFormat="1" ht="19.95" customHeight="1" x14ac:dyDescent="0.25">
      <c r="A14" s="12">
        <v>8458811048</v>
      </c>
      <c r="B14" s="12" t="s">
        <v>74</v>
      </c>
      <c r="C14" s="43" t="s">
        <v>75</v>
      </c>
      <c r="D14" s="12" t="s">
        <v>73</v>
      </c>
      <c r="E14" s="12" t="s">
        <v>26</v>
      </c>
      <c r="F14" s="56" t="s">
        <v>59</v>
      </c>
      <c r="G14" s="12" t="s">
        <v>72</v>
      </c>
      <c r="H14" s="12" t="s">
        <v>13</v>
      </c>
      <c r="I14" s="12" t="s">
        <v>14</v>
      </c>
      <c r="J14" s="12"/>
      <c r="K14" s="12"/>
      <c r="L14" s="12"/>
      <c r="M14" s="12"/>
      <c r="N14" s="12" t="s">
        <v>16</v>
      </c>
      <c r="O14" s="85" t="s">
        <v>81</v>
      </c>
      <c r="P14" s="81" t="s">
        <v>18</v>
      </c>
      <c r="Q14" s="82">
        <v>3</v>
      </c>
      <c r="R14" s="38">
        <v>0</v>
      </c>
      <c r="S14" s="38">
        <v>0</v>
      </c>
      <c r="T14" s="38">
        <v>0</v>
      </c>
      <c r="U14" s="12">
        <v>0</v>
      </c>
      <c r="V14" s="12">
        <v>0</v>
      </c>
      <c r="W14" s="12">
        <v>1</v>
      </c>
      <c r="X14" s="12">
        <v>1</v>
      </c>
      <c r="Y14" s="12">
        <v>0</v>
      </c>
      <c r="Z14" s="12">
        <v>0</v>
      </c>
      <c r="AA14" s="12">
        <v>0</v>
      </c>
      <c r="AB14" s="12">
        <v>0</v>
      </c>
      <c r="AC14" s="12">
        <v>1</v>
      </c>
    </row>
    <row r="15" spans="1:29" s="18" customFormat="1" ht="19.95" customHeight="1" x14ac:dyDescent="0.25">
      <c r="A15" s="12">
        <v>8458811048</v>
      </c>
      <c r="B15" s="12" t="s">
        <v>74</v>
      </c>
      <c r="C15" s="43" t="s">
        <v>75</v>
      </c>
      <c r="D15" s="12" t="s">
        <v>73</v>
      </c>
      <c r="E15" s="12" t="s">
        <v>26</v>
      </c>
      <c r="F15" s="56" t="s">
        <v>59</v>
      </c>
      <c r="G15" s="12" t="s">
        <v>72</v>
      </c>
      <c r="H15" s="12" t="s">
        <v>13</v>
      </c>
      <c r="I15" s="12" t="s">
        <v>14</v>
      </c>
      <c r="J15" s="12"/>
      <c r="K15" s="12"/>
      <c r="L15" s="12"/>
      <c r="M15" s="12"/>
      <c r="N15" s="12" t="s">
        <v>16</v>
      </c>
      <c r="O15" s="85" t="s">
        <v>363</v>
      </c>
      <c r="P15" s="81" t="s">
        <v>18</v>
      </c>
      <c r="Q15" s="82">
        <v>3</v>
      </c>
      <c r="R15" s="38">
        <v>0</v>
      </c>
      <c r="S15" s="38">
        <v>0</v>
      </c>
      <c r="T15" s="38">
        <v>0</v>
      </c>
      <c r="U15" s="12">
        <v>1</v>
      </c>
      <c r="V15" s="12">
        <v>0</v>
      </c>
      <c r="W15" s="12">
        <v>0</v>
      </c>
      <c r="X15" s="12">
        <v>1</v>
      </c>
      <c r="Y15" s="12">
        <v>0</v>
      </c>
      <c r="Z15" s="12">
        <v>0</v>
      </c>
      <c r="AA15" s="12">
        <v>0</v>
      </c>
      <c r="AB15" s="12">
        <v>1</v>
      </c>
      <c r="AC15" s="12">
        <v>0</v>
      </c>
    </row>
    <row r="16" spans="1:29" s="18" customFormat="1" ht="19.95" customHeight="1" x14ac:dyDescent="0.25">
      <c r="A16" s="12">
        <v>8458811048</v>
      </c>
      <c r="B16" s="12" t="s">
        <v>74</v>
      </c>
      <c r="C16" s="43" t="s">
        <v>75</v>
      </c>
      <c r="D16" s="12" t="s">
        <v>73</v>
      </c>
      <c r="E16" s="12" t="s">
        <v>26</v>
      </c>
      <c r="F16" s="56" t="s">
        <v>59</v>
      </c>
      <c r="G16" s="12" t="s">
        <v>72</v>
      </c>
      <c r="H16" s="12" t="s">
        <v>13</v>
      </c>
      <c r="I16" s="12" t="s">
        <v>14</v>
      </c>
      <c r="J16" s="12"/>
      <c r="K16" s="12"/>
      <c r="L16" s="12"/>
      <c r="M16" s="12"/>
      <c r="N16" s="12" t="s">
        <v>16</v>
      </c>
      <c r="O16" s="85" t="s">
        <v>364</v>
      </c>
      <c r="P16" s="81" t="s">
        <v>18</v>
      </c>
      <c r="Q16" s="82">
        <v>10</v>
      </c>
      <c r="R16" s="38">
        <v>0</v>
      </c>
      <c r="S16" s="38">
        <v>0</v>
      </c>
      <c r="T16" s="38">
        <v>0</v>
      </c>
      <c r="U16" s="12">
        <v>2</v>
      </c>
      <c r="V16" s="12">
        <v>0</v>
      </c>
      <c r="W16" s="12">
        <v>0</v>
      </c>
      <c r="X16" s="12">
        <v>2</v>
      </c>
      <c r="Y16" s="12">
        <v>2</v>
      </c>
      <c r="Z16" s="12">
        <v>2</v>
      </c>
      <c r="AA16" s="12">
        <v>0</v>
      </c>
      <c r="AB16" s="12">
        <v>2</v>
      </c>
      <c r="AC16" s="12">
        <v>0</v>
      </c>
    </row>
    <row r="17" spans="1:29" s="18" customFormat="1" ht="19.95" customHeight="1" x14ac:dyDescent="0.25">
      <c r="A17" s="12">
        <v>8458811048</v>
      </c>
      <c r="B17" s="12" t="s">
        <v>74</v>
      </c>
      <c r="C17" s="43" t="s">
        <v>75</v>
      </c>
      <c r="D17" s="12" t="s">
        <v>73</v>
      </c>
      <c r="E17" s="12" t="s">
        <v>26</v>
      </c>
      <c r="F17" s="56" t="s">
        <v>59</v>
      </c>
      <c r="G17" s="12" t="s">
        <v>72</v>
      </c>
      <c r="H17" s="12" t="s">
        <v>13</v>
      </c>
      <c r="I17" s="12" t="s">
        <v>14</v>
      </c>
      <c r="J17" s="12"/>
      <c r="K17" s="12"/>
      <c r="L17" s="12"/>
      <c r="M17" s="12"/>
      <c r="N17" s="12" t="s">
        <v>16</v>
      </c>
      <c r="O17" s="85" t="s">
        <v>365</v>
      </c>
      <c r="P17" s="81" t="s">
        <v>18</v>
      </c>
      <c r="Q17" s="82">
        <v>12</v>
      </c>
      <c r="R17" s="38">
        <v>1</v>
      </c>
      <c r="S17" s="38">
        <v>1</v>
      </c>
      <c r="T17" s="38">
        <v>1</v>
      </c>
      <c r="U17" s="38">
        <v>1</v>
      </c>
      <c r="V17" s="38">
        <v>1</v>
      </c>
      <c r="W17" s="38">
        <v>1</v>
      </c>
      <c r="X17" s="38">
        <v>1</v>
      </c>
      <c r="Y17" s="38">
        <v>1</v>
      </c>
      <c r="Z17" s="38">
        <v>1</v>
      </c>
      <c r="AA17" s="38">
        <v>1</v>
      </c>
      <c r="AB17" s="38">
        <v>1</v>
      </c>
      <c r="AC17" s="38">
        <v>1</v>
      </c>
    </row>
    <row r="18" spans="1:29" s="18" customFormat="1" ht="19.95" customHeight="1" x14ac:dyDescent="0.25">
      <c r="A18" s="12">
        <v>8458811048</v>
      </c>
      <c r="B18" s="12" t="s">
        <v>74</v>
      </c>
      <c r="C18" s="43" t="s">
        <v>75</v>
      </c>
      <c r="D18" s="12" t="s">
        <v>73</v>
      </c>
      <c r="E18" s="12" t="s">
        <v>26</v>
      </c>
      <c r="F18" s="56" t="s">
        <v>59</v>
      </c>
      <c r="G18" s="12" t="s">
        <v>72</v>
      </c>
      <c r="H18" s="12" t="s">
        <v>13</v>
      </c>
      <c r="I18" s="12" t="s">
        <v>14</v>
      </c>
      <c r="J18" s="12"/>
      <c r="K18" s="12"/>
      <c r="L18" s="12"/>
      <c r="M18" s="12"/>
      <c r="N18" s="12" t="s">
        <v>16</v>
      </c>
      <c r="O18" s="85" t="s">
        <v>366</v>
      </c>
      <c r="P18" s="81" t="s">
        <v>18</v>
      </c>
      <c r="Q18" s="82">
        <v>12</v>
      </c>
      <c r="R18" s="38">
        <v>1</v>
      </c>
      <c r="S18" s="38">
        <v>1</v>
      </c>
      <c r="T18" s="38">
        <v>1</v>
      </c>
      <c r="U18" s="38">
        <v>1</v>
      </c>
      <c r="V18" s="38">
        <v>1</v>
      </c>
      <c r="W18" s="38">
        <v>1</v>
      </c>
      <c r="X18" s="38">
        <v>1</v>
      </c>
      <c r="Y18" s="38">
        <v>1</v>
      </c>
      <c r="Z18" s="38">
        <v>1</v>
      </c>
      <c r="AA18" s="38">
        <v>1</v>
      </c>
      <c r="AB18" s="38">
        <v>1</v>
      </c>
      <c r="AC18" s="38">
        <v>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53FD4-677F-4479-9A7E-0E4CA60BBD60}">
  <dimension ref="A1:AC18"/>
  <sheetViews>
    <sheetView topLeftCell="K4" workbookViewId="0">
      <selection activeCell="O1" sqref="O1:AC1"/>
    </sheetView>
  </sheetViews>
  <sheetFormatPr defaultRowHeight="13.2" x14ac:dyDescent="0.25"/>
  <cols>
    <col min="1" max="1" width="12.109375" bestFit="1" customWidth="1"/>
    <col min="2" max="2" width="19.5546875" bestFit="1" customWidth="1"/>
    <col min="3" max="3" width="34.21875" bestFit="1" customWidth="1"/>
    <col min="4" max="4" width="15.33203125" bestFit="1" customWidth="1"/>
    <col min="5" max="5" width="11.21875" bestFit="1" customWidth="1"/>
    <col min="6" max="6" width="9" bestFit="1" customWidth="1"/>
    <col min="7" max="7" width="17.77734375" bestFit="1" customWidth="1"/>
    <col min="8" max="8" width="10.44140625" customWidth="1"/>
    <col min="9" max="9" width="18.77734375" bestFit="1" customWidth="1"/>
    <col min="10" max="13" width="11.44140625" bestFit="1" customWidth="1"/>
    <col min="14" max="14" width="14.5546875" bestFit="1" customWidth="1"/>
    <col min="15" max="15" width="134.21875" style="66" customWidth="1"/>
    <col min="28" max="28" width="10.33203125" customWidth="1"/>
  </cols>
  <sheetData>
    <row r="1" spans="1:29" ht="13.8" x14ac:dyDescent="0.25">
      <c r="A1" s="35" t="s">
        <v>0</v>
      </c>
      <c r="B1" s="35" t="s">
        <v>1</v>
      </c>
      <c r="C1" s="35" t="s">
        <v>2</v>
      </c>
      <c r="D1" s="35" t="s">
        <v>3</v>
      </c>
      <c r="E1" s="35" t="s">
        <v>4</v>
      </c>
      <c r="F1" s="35" t="s">
        <v>5</v>
      </c>
      <c r="G1" s="35" t="s">
        <v>6</v>
      </c>
      <c r="H1" s="35" t="s">
        <v>7</v>
      </c>
      <c r="I1" s="58" t="s">
        <v>8</v>
      </c>
      <c r="J1" s="35" t="s">
        <v>9</v>
      </c>
      <c r="K1" s="35" t="s">
        <v>10</v>
      </c>
      <c r="L1" s="35" t="s">
        <v>126</v>
      </c>
      <c r="M1" s="35" t="s">
        <v>127</v>
      </c>
      <c r="N1" s="35"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24">
        <v>9753993355</v>
      </c>
      <c r="B2" s="56" t="s">
        <v>371</v>
      </c>
      <c r="C2" s="19" t="s">
        <v>369</v>
      </c>
      <c r="D2" s="56" t="s">
        <v>370</v>
      </c>
      <c r="E2" s="56" t="s">
        <v>104</v>
      </c>
      <c r="F2" s="56" t="s">
        <v>368</v>
      </c>
      <c r="G2" s="56" t="s">
        <v>367</v>
      </c>
      <c r="H2" s="56" t="s">
        <v>73</v>
      </c>
      <c r="I2" s="56" t="s">
        <v>74</v>
      </c>
      <c r="J2" s="56"/>
      <c r="K2" s="56"/>
      <c r="L2" s="56"/>
      <c r="M2" s="56"/>
      <c r="N2" s="56" t="s">
        <v>16</v>
      </c>
      <c r="O2" s="85" t="s">
        <v>76</v>
      </c>
      <c r="P2" s="81" t="s">
        <v>70</v>
      </c>
      <c r="Q2" s="82">
        <v>0</v>
      </c>
      <c r="R2" s="82">
        <v>0</v>
      </c>
      <c r="S2" s="82">
        <v>0</v>
      </c>
      <c r="T2" s="82">
        <v>0</v>
      </c>
      <c r="U2" s="82">
        <v>0</v>
      </c>
      <c r="V2" s="82">
        <v>0</v>
      </c>
      <c r="W2" s="82">
        <v>0</v>
      </c>
      <c r="X2" s="82">
        <v>0</v>
      </c>
      <c r="Y2" s="82">
        <v>0</v>
      </c>
      <c r="Z2" s="82">
        <v>0</v>
      </c>
      <c r="AA2" s="82">
        <v>0</v>
      </c>
      <c r="AB2" s="82">
        <v>0</v>
      </c>
      <c r="AC2" s="82">
        <v>0</v>
      </c>
    </row>
    <row r="3" spans="1:29" ht="19.95" customHeight="1" x14ac:dyDescent="0.25">
      <c r="A3" s="38">
        <v>9753993355</v>
      </c>
      <c r="B3" s="56" t="s">
        <v>371</v>
      </c>
      <c r="C3" s="43" t="s">
        <v>369</v>
      </c>
      <c r="D3" s="56" t="s">
        <v>370</v>
      </c>
      <c r="E3" s="56" t="s">
        <v>104</v>
      </c>
      <c r="F3" s="56" t="s">
        <v>368</v>
      </c>
      <c r="G3" s="56" t="s">
        <v>367</v>
      </c>
      <c r="H3" s="56" t="s">
        <v>73</v>
      </c>
      <c r="I3" s="56" t="s">
        <v>74</v>
      </c>
      <c r="J3" s="56"/>
      <c r="K3" s="56"/>
      <c r="L3" s="56"/>
      <c r="M3" s="56"/>
      <c r="N3" s="56" t="s">
        <v>16</v>
      </c>
      <c r="O3" s="85" t="s">
        <v>357</v>
      </c>
      <c r="P3" s="81" t="s">
        <v>71</v>
      </c>
      <c r="Q3" s="82">
        <v>0</v>
      </c>
      <c r="R3" s="82">
        <v>0</v>
      </c>
      <c r="S3" s="82">
        <v>0</v>
      </c>
      <c r="T3" s="82">
        <v>0</v>
      </c>
      <c r="U3" s="82">
        <v>0</v>
      </c>
      <c r="V3" s="82">
        <v>0</v>
      </c>
      <c r="W3" s="82">
        <v>0</v>
      </c>
      <c r="X3" s="82">
        <v>0</v>
      </c>
      <c r="Y3" s="82">
        <v>0</v>
      </c>
      <c r="Z3" s="82">
        <v>0</v>
      </c>
      <c r="AA3" s="82">
        <v>0</v>
      </c>
      <c r="AB3" s="82">
        <v>0</v>
      </c>
      <c r="AC3" s="82">
        <v>0</v>
      </c>
    </row>
    <row r="4" spans="1:29" ht="19.95" customHeight="1" x14ac:dyDescent="0.25">
      <c r="A4" s="38">
        <v>9753993355</v>
      </c>
      <c r="B4" s="56" t="s">
        <v>371</v>
      </c>
      <c r="C4" s="43" t="s">
        <v>369</v>
      </c>
      <c r="D4" s="56" t="s">
        <v>370</v>
      </c>
      <c r="E4" s="56" t="s">
        <v>104</v>
      </c>
      <c r="F4" s="56" t="s">
        <v>368</v>
      </c>
      <c r="G4" s="56" t="s">
        <v>367</v>
      </c>
      <c r="H4" s="56" t="s">
        <v>73</v>
      </c>
      <c r="I4" s="56" t="s">
        <v>74</v>
      </c>
      <c r="J4" s="56"/>
      <c r="K4" s="56"/>
      <c r="L4" s="56"/>
      <c r="M4" s="56"/>
      <c r="N4" s="56" t="s">
        <v>16</v>
      </c>
      <c r="O4" s="85" t="s">
        <v>77</v>
      </c>
      <c r="P4" s="81" t="s">
        <v>70</v>
      </c>
      <c r="Q4" s="82">
        <v>2850</v>
      </c>
      <c r="R4" s="82">
        <v>0</v>
      </c>
      <c r="S4" s="82">
        <v>0</v>
      </c>
      <c r="T4" s="82">
        <v>0</v>
      </c>
      <c r="U4" s="12">
        <v>100</v>
      </c>
      <c r="V4" s="12">
        <v>100</v>
      </c>
      <c r="W4" s="12">
        <v>400</v>
      </c>
      <c r="X4" s="12">
        <v>150</v>
      </c>
      <c r="Y4" s="12">
        <v>600</v>
      </c>
      <c r="Z4" s="12">
        <v>600</v>
      </c>
      <c r="AA4" s="12">
        <v>200</v>
      </c>
      <c r="AB4" s="12">
        <v>200</v>
      </c>
      <c r="AC4" s="12">
        <v>500</v>
      </c>
    </row>
    <row r="5" spans="1:29" ht="19.95" customHeight="1" x14ac:dyDescent="0.25">
      <c r="A5" s="38">
        <v>9753993355</v>
      </c>
      <c r="B5" s="56" t="s">
        <v>371</v>
      </c>
      <c r="C5" s="43" t="s">
        <v>369</v>
      </c>
      <c r="D5" s="56" t="s">
        <v>370</v>
      </c>
      <c r="E5" s="56" t="s">
        <v>104</v>
      </c>
      <c r="F5" s="56" t="s">
        <v>368</v>
      </c>
      <c r="G5" s="56" t="s">
        <v>367</v>
      </c>
      <c r="H5" s="56" t="s">
        <v>73</v>
      </c>
      <c r="I5" s="56" t="s">
        <v>74</v>
      </c>
      <c r="J5" s="56"/>
      <c r="K5" s="56"/>
      <c r="L5" s="56"/>
      <c r="M5" s="56"/>
      <c r="N5" s="56" t="s">
        <v>16</v>
      </c>
      <c r="O5" s="85" t="s">
        <v>357</v>
      </c>
      <c r="P5" s="81" t="s">
        <v>71</v>
      </c>
      <c r="Q5" s="82">
        <v>9</v>
      </c>
      <c r="R5" s="82">
        <v>0</v>
      </c>
      <c r="S5" s="82">
        <v>0</v>
      </c>
      <c r="T5" s="82">
        <v>0</v>
      </c>
      <c r="U5" s="84">
        <v>0.5</v>
      </c>
      <c r="V5" s="84">
        <v>0.5</v>
      </c>
      <c r="W5" s="84">
        <v>0.5</v>
      </c>
      <c r="X5" s="84">
        <v>0.78023407022106639</v>
      </c>
      <c r="Y5" s="84">
        <v>1.8205461638491549</v>
      </c>
      <c r="Z5" s="84">
        <v>1.8205461638491549</v>
      </c>
      <c r="AA5" s="84">
        <v>1</v>
      </c>
      <c r="AB5" s="84">
        <v>1</v>
      </c>
      <c r="AC5" s="84">
        <v>1.0403120936280885</v>
      </c>
    </row>
    <row r="6" spans="1:29" ht="19.95" customHeight="1" x14ac:dyDescent="0.25">
      <c r="A6" s="38">
        <v>9753993355</v>
      </c>
      <c r="B6" s="56" t="s">
        <v>371</v>
      </c>
      <c r="C6" s="43" t="s">
        <v>369</v>
      </c>
      <c r="D6" s="56" t="s">
        <v>370</v>
      </c>
      <c r="E6" s="56" t="s">
        <v>104</v>
      </c>
      <c r="F6" s="56" t="s">
        <v>368</v>
      </c>
      <c r="G6" s="56" t="s">
        <v>367</v>
      </c>
      <c r="H6" s="56" t="s">
        <v>73</v>
      </c>
      <c r="I6" s="56" t="s">
        <v>74</v>
      </c>
      <c r="J6" s="56"/>
      <c r="K6" s="56"/>
      <c r="L6" s="56"/>
      <c r="M6" s="56"/>
      <c r="N6" s="56" t="s">
        <v>16</v>
      </c>
      <c r="O6" s="85" t="s">
        <v>358</v>
      </c>
      <c r="P6" s="81" t="s">
        <v>18</v>
      </c>
      <c r="Q6" s="82">
        <v>10</v>
      </c>
      <c r="R6" s="38">
        <v>1</v>
      </c>
      <c r="S6" s="38">
        <v>1</v>
      </c>
      <c r="T6" s="38">
        <v>1</v>
      </c>
      <c r="U6" s="12">
        <v>1</v>
      </c>
      <c r="V6" s="12">
        <v>1</v>
      </c>
      <c r="W6" s="12">
        <v>1</v>
      </c>
      <c r="X6" s="12">
        <v>1</v>
      </c>
      <c r="Y6" s="12">
        <v>0</v>
      </c>
      <c r="Z6" s="12">
        <v>1</v>
      </c>
      <c r="AA6" s="12">
        <v>1</v>
      </c>
      <c r="AB6" s="12">
        <v>1</v>
      </c>
      <c r="AC6" s="12">
        <v>0</v>
      </c>
    </row>
    <row r="7" spans="1:29" ht="19.95" customHeight="1" x14ac:dyDescent="0.25">
      <c r="A7" s="38">
        <v>9753993355</v>
      </c>
      <c r="B7" s="56" t="s">
        <v>371</v>
      </c>
      <c r="C7" s="43" t="s">
        <v>369</v>
      </c>
      <c r="D7" s="56" t="s">
        <v>370</v>
      </c>
      <c r="E7" s="56" t="s">
        <v>104</v>
      </c>
      <c r="F7" s="56" t="s">
        <v>368</v>
      </c>
      <c r="G7" s="56" t="s">
        <v>367</v>
      </c>
      <c r="H7" s="56" t="s">
        <v>73</v>
      </c>
      <c r="I7" s="56" t="s">
        <v>74</v>
      </c>
      <c r="J7" s="56"/>
      <c r="K7" s="56"/>
      <c r="L7" s="56"/>
      <c r="M7" s="56"/>
      <c r="N7" s="56" t="s">
        <v>16</v>
      </c>
      <c r="O7" s="85" t="s">
        <v>359</v>
      </c>
      <c r="P7" s="81" t="s">
        <v>18</v>
      </c>
      <c r="Q7" s="82">
        <v>10</v>
      </c>
      <c r="R7" s="38">
        <v>1</v>
      </c>
      <c r="S7" s="38">
        <v>1</v>
      </c>
      <c r="T7" s="38">
        <v>1</v>
      </c>
      <c r="U7" s="12">
        <v>1</v>
      </c>
      <c r="V7" s="12">
        <v>1</v>
      </c>
      <c r="W7" s="12">
        <v>1</v>
      </c>
      <c r="X7" s="12">
        <v>1</v>
      </c>
      <c r="Y7" s="12">
        <v>0</v>
      </c>
      <c r="Z7" s="12">
        <v>1</v>
      </c>
      <c r="AA7" s="12">
        <v>1</v>
      </c>
      <c r="AB7" s="12">
        <v>1</v>
      </c>
      <c r="AC7" s="12">
        <v>0</v>
      </c>
    </row>
    <row r="8" spans="1:29" ht="19.95" customHeight="1" x14ac:dyDescent="0.25">
      <c r="A8" s="38">
        <v>9753993355</v>
      </c>
      <c r="B8" s="56" t="s">
        <v>371</v>
      </c>
      <c r="C8" s="43" t="s">
        <v>369</v>
      </c>
      <c r="D8" s="56" t="s">
        <v>370</v>
      </c>
      <c r="E8" s="56" t="s">
        <v>104</v>
      </c>
      <c r="F8" s="56" t="s">
        <v>368</v>
      </c>
      <c r="G8" s="56" t="s">
        <v>367</v>
      </c>
      <c r="H8" s="56" t="s">
        <v>73</v>
      </c>
      <c r="I8" s="56" t="s">
        <v>74</v>
      </c>
      <c r="J8" s="56"/>
      <c r="K8" s="56"/>
      <c r="L8" s="56"/>
      <c r="M8" s="56"/>
      <c r="N8" s="56" t="s">
        <v>16</v>
      </c>
      <c r="O8" s="85" t="s">
        <v>360</v>
      </c>
      <c r="P8" s="81" t="s">
        <v>18</v>
      </c>
      <c r="Q8" s="82">
        <v>3</v>
      </c>
      <c r="R8" s="82">
        <v>3</v>
      </c>
      <c r="S8" s="82">
        <v>3</v>
      </c>
      <c r="T8" s="82">
        <v>3</v>
      </c>
      <c r="U8" s="82">
        <v>3</v>
      </c>
      <c r="V8" s="82">
        <v>3</v>
      </c>
      <c r="W8" s="82">
        <v>3</v>
      </c>
      <c r="X8" s="82">
        <v>3</v>
      </c>
      <c r="Y8" s="82">
        <v>3</v>
      </c>
      <c r="Z8" s="82">
        <v>3</v>
      </c>
      <c r="AA8" s="82">
        <v>3</v>
      </c>
      <c r="AB8" s="82">
        <v>3</v>
      </c>
      <c r="AC8" s="82">
        <v>3</v>
      </c>
    </row>
    <row r="9" spans="1:29" ht="19.95" customHeight="1" x14ac:dyDescent="0.25">
      <c r="A9" s="38">
        <v>9753993355</v>
      </c>
      <c r="B9" s="56" t="s">
        <v>371</v>
      </c>
      <c r="C9" s="43" t="s">
        <v>369</v>
      </c>
      <c r="D9" s="56" t="s">
        <v>370</v>
      </c>
      <c r="E9" s="56" t="s">
        <v>104</v>
      </c>
      <c r="F9" s="56" t="s">
        <v>368</v>
      </c>
      <c r="G9" s="56" t="s">
        <v>367</v>
      </c>
      <c r="H9" s="56" t="s">
        <v>73</v>
      </c>
      <c r="I9" s="56" t="s">
        <v>74</v>
      </c>
      <c r="J9" s="56"/>
      <c r="K9" s="56"/>
      <c r="L9" s="56"/>
      <c r="M9" s="56"/>
      <c r="N9" s="56" t="s">
        <v>16</v>
      </c>
      <c r="O9" s="85" t="s">
        <v>361</v>
      </c>
      <c r="P9" s="81" t="s">
        <v>18</v>
      </c>
      <c r="Q9" s="82">
        <v>6</v>
      </c>
      <c r="R9" s="38">
        <v>1</v>
      </c>
      <c r="S9" s="38">
        <v>1</v>
      </c>
      <c r="T9" s="38">
        <v>1</v>
      </c>
      <c r="U9" s="12">
        <v>0</v>
      </c>
      <c r="V9" s="12">
        <v>0</v>
      </c>
      <c r="W9" s="12">
        <v>0</v>
      </c>
      <c r="X9" s="12">
        <v>0</v>
      </c>
      <c r="Y9" s="12">
        <v>1</v>
      </c>
      <c r="Z9" s="12">
        <v>1</v>
      </c>
      <c r="AA9" s="12">
        <v>0</v>
      </c>
      <c r="AB9" s="12">
        <v>0</v>
      </c>
      <c r="AC9" s="12">
        <v>1</v>
      </c>
    </row>
    <row r="10" spans="1:29" ht="19.95" customHeight="1" x14ac:dyDescent="0.25">
      <c r="A10" s="38">
        <v>9753993355</v>
      </c>
      <c r="B10" s="56" t="s">
        <v>371</v>
      </c>
      <c r="C10" s="43" t="s">
        <v>369</v>
      </c>
      <c r="D10" s="56" t="s">
        <v>370</v>
      </c>
      <c r="E10" s="56" t="s">
        <v>104</v>
      </c>
      <c r="F10" s="56" t="s">
        <v>368</v>
      </c>
      <c r="G10" s="56" t="s">
        <v>367</v>
      </c>
      <c r="H10" s="56" t="s">
        <v>73</v>
      </c>
      <c r="I10" s="56" t="s">
        <v>74</v>
      </c>
      <c r="J10" s="56"/>
      <c r="K10" s="56"/>
      <c r="L10" s="56"/>
      <c r="M10" s="56"/>
      <c r="N10" s="56" t="s">
        <v>16</v>
      </c>
      <c r="O10" s="85" t="s">
        <v>362</v>
      </c>
      <c r="P10" s="81" t="s">
        <v>18</v>
      </c>
      <c r="Q10" s="82">
        <v>36</v>
      </c>
      <c r="R10" s="38">
        <v>3</v>
      </c>
      <c r="S10" s="38">
        <v>3</v>
      </c>
      <c r="T10" s="38">
        <v>3</v>
      </c>
      <c r="U10" s="12">
        <v>3</v>
      </c>
      <c r="V10" s="12">
        <v>3</v>
      </c>
      <c r="W10" s="12">
        <v>3</v>
      </c>
      <c r="X10" s="12">
        <v>3</v>
      </c>
      <c r="Y10" s="12">
        <v>3</v>
      </c>
      <c r="Z10" s="12">
        <v>3</v>
      </c>
      <c r="AA10" s="12">
        <v>3</v>
      </c>
      <c r="AB10" s="12">
        <v>3</v>
      </c>
      <c r="AC10" s="12">
        <v>3</v>
      </c>
    </row>
    <row r="11" spans="1:29" ht="19.95" customHeight="1" x14ac:dyDescent="0.25">
      <c r="A11" s="38">
        <v>9753993355</v>
      </c>
      <c r="B11" s="56" t="s">
        <v>371</v>
      </c>
      <c r="C11" s="43" t="s">
        <v>369</v>
      </c>
      <c r="D11" s="56" t="s">
        <v>370</v>
      </c>
      <c r="E11" s="56" t="s">
        <v>104</v>
      </c>
      <c r="F11" s="56" t="s">
        <v>368</v>
      </c>
      <c r="G11" s="56" t="s">
        <v>367</v>
      </c>
      <c r="H11" s="56" t="s">
        <v>73</v>
      </c>
      <c r="I11" s="56" t="s">
        <v>74</v>
      </c>
      <c r="J11" s="56"/>
      <c r="K11" s="56"/>
      <c r="L11" s="56"/>
      <c r="M11" s="56"/>
      <c r="N11" s="56" t="s">
        <v>16</v>
      </c>
      <c r="O11" s="85" t="s">
        <v>78</v>
      </c>
      <c r="P11" s="81" t="s">
        <v>18</v>
      </c>
      <c r="Q11" s="82">
        <v>12</v>
      </c>
      <c r="R11" s="38">
        <v>1</v>
      </c>
      <c r="S11" s="38">
        <v>1</v>
      </c>
      <c r="T11" s="38">
        <v>1</v>
      </c>
      <c r="U11" s="12">
        <v>1</v>
      </c>
      <c r="V11" s="12">
        <v>1</v>
      </c>
      <c r="W11" s="12">
        <v>1</v>
      </c>
      <c r="X11" s="12">
        <v>1</v>
      </c>
      <c r="Y11" s="12">
        <v>1</v>
      </c>
      <c r="Z11" s="12">
        <v>1</v>
      </c>
      <c r="AA11" s="12">
        <v>1</v>
      </c>
      <c r="AB11" s="12">
        <v>1</v>
      </c>
      <c r="AC11" s="12">
        <v>1</v>
      </c>
    </row>
    <row r="12" spans="1:29" ht="19.95" customHeight="1" x14ac:dyDescent="0.25">
      <c r="A12" s="38">
        <v>9753993355</v>
      </c>
      <c r="B12" s="56" t="s">
        <v>371</v>
      </c>
      <c r="C12" s="43" t="s">
        <v>369</v>
      </c>
      <c r="D12" s="56" t="s">
        <v>370</v>
      </c>
      <c r="E12" s="56" t="s">
        <v>104</v>
      </c>
      <c r="F12" s="56" t="s">
        <v>368</v>
      </c>
      <c r="G12" s="56" t="s">
        <v>367</v>
      </c>
      <c r="H12" s="56" t="s">
        <v>73</v>
      </c>
      <c r="I12" s="56" t="s">
        <v>74</v>
      </c>
      <c r="J12" s="56"/>
      <c r="K12" s="56"/>
      <c r="L12" s="56"/>
      <c r="M12" s="56"/>
      <c r="N12" s="56" t="s">
        <v>16</v>
      </c>
      <c r="O12" s="85" t="s">
        <v>79</v>
      </c>
      <c r="P12" s="81" t="s">
        <v>18</v>
      </c>
      <c r="Q12" s="82">
        <v>12</v>
      </c>
      <c r="R12" s="38">
        <v>1</v>
      </c>
      <c r="S12" s="38">
        <v>1</v>
      </c>
      <c r="T12" s="38">
        <v>1</v>
      </c>
      <c r="U12" s="38">
        <v>1</v>
      </c>
      <c r="V12" s="38">
        <v>1</v>
      </c>
      <c r="W12" s="38">
        <v>1</v>
      </c>
      <c r="X12" s="38">
        <v>1</v>
      </c>
      <c r="Y12" s="38">
        <v>1</v>
      </c>
      <c r="Z12" s="38">
        <v>1</v>
      </c>
      <c r="AA12" s="38">
        <v>1</v>
      </c>
      <c r="AB12" s="38">
        <v>1</v>
      </c>
      <c r="AC12" s="38">
        <v>1</v>
      </c>
    </row>
    <row r="13" spans="1:29" ht="19.95" customHeight="1" x14ac:dyDescent="0.25">
      <c r="A13" s="38">
        <v>9753993355</v>
      </c>
      <c r="B13" s="56" t="s">
        <v>371</v>
      </c>
      <c r="C13" s="43" t="s">
        <v>369</v>
      </c>
      <c r="D13" s="56" t="s">
        <v>370</v>
      </c>
      <c r="E13" s="56" t="s">
        <v>104</v>
      </c>
      <c r="F13" s="56" t="s">
        <v>368</v>
      </c>
      <c r="G13" s="56" t="s">
        <v>367</v>
      </c>
      <c r="H13" s="56" t="s">
        <v>73</v>
      </c>
      <c r="I13" s="56" t="s">
        <v>74</v>
      </c>
      <c r="J13" s="56"/>
      <c r="K13" s="56"/>
      <c r="L13" s="56"/>
      <c r="M13" s="56"/>
      <c r="N13" s="56" t="s">
        <v>16</v>
      </c>
      <c r="O13" s="85" t="s">
        <v>80</v>
      </c>
      <c r="P13" s="81" t="s">
        <v>18</v>
      </c>
      <c r="Q13" s="82">
        <v>7</v>
      </c>
      <c r="R13" s="38">
        <v>0</v>
      </c>
      <c r="S13" s="38">
        <v>0</v>
      </c>
      <c r="T13" s="38">
        <v>1</v>
      </c>
      <c r="U13" s="38">
        <v>1</v>
      </c>
      <c r="V13" s="38">
        <v>0</v>
      </c>
      <c r="W13" s="38">
        <v>1</v>
      </c>
      <c r="X13" s="38">
        <v>1</v>
      </c>
      <c r="Y13" s="38">
        <v>0</v>
      </c>
      <c r="Z13" s="38">
        <v>1</v>
      </c>
      <c r="AA13" s="38">
        <v>1</v>
      </c>
      <c r="AB13" s="38">
        <v>0</v>
      </c>
      <c r="AC13" s="38">
        <v>1</v>
      </c>
    </row>
    <row r="14" spans="1:29" ht="19.95" customHeight="1" x14ac:dyDescent="0.25">
      <c r="A14" s="38">
        <v>9753993355</v>
      </c>
      <c r="B14" s="56" t="s">
        <v>371</v>
      </c>
      <c r="C14" s="43" t="s">
        <v>369</v>
      </c>
      <c r="D14" s="56" t="s">
        <v>370</v>
      </c>
      <c r="E14" s="56" t="s">
        <v>104</v>
      </c>
      <c r="F14" s="56" t="s">
        <v>368</v>
      </c>
      <c r="G14" s="56" t="s">
        <v>367</v>
      </c>
      <c r="H14" s="56" t="s">
        <v>73</v>
      </c>
      <c r="I14" s="56" t="s">
        <v>74</v>
      </c>
      <c r="J14" s="56"/>
      <c r="K14" s="56"/>
      <c r="L14" s="56"/>
      <c r="M14" s="56"/>
      <c r="N14" s="56" t="s">
        <v>16</v>
      </c>
      <c r="O14" s="85" t="s">
        <v>81</v>
      </c>
      <c r="P14" s="81" t="s">
        <v>18</v>
      </c>
      <c r="Q14" s="82">
        <v>3</v>
      </c>
      <c r="R14" s="38">
        <v>0</v>
      </c>
      <c r="S14" s="38">
        <v>0</v>
      </c>
      <c r="T14" s="38">
        <v>0</v>
      </c>
      <c r="U14" s="12">
        <v>0</v>
      </c>
      <c r="V14" s="12">
        <v>0</v>
      </c>
      <c r="W14" s="12">
        <v>1</v>
      </c>
      <c r="X14" s="12">
        <v>1</v>
      </c>
      <c r="Y14" s="12">
        <v>0</v>
      </c>
      <c r="Z14" s="12">
        <v>0</v>
      </c>
      <c r="AA14" s="12">
        <v>0</v>
      </c>
      <c r="AB14" s="12">
        <v>0</v>
      </c>
      <c r="AC14" s="12">
        <v>1</v>
      </c>
    </row>
    <row r="15" spans="1:29" ht="19.95" customHeight="1" x14ac:dyDescent="0.25">
      <c r="A15" s="38">
        <v>9753993355</v>
      </c>
      <c r="B15" s="56" t="s">
        <v>371</v>
      </c>
      <c r="C15" s="43" t="s">
        <v>369</v>
      </c>
      <c r="D15" s="56" t="s">
        <v>370</v>
      </c>
      <c r="E15" s="56" t="s">
        <v>104</v>
      </c>
      <c r="F15" s="56" t="s">
        <v>368</v>
      </c>
      <c r="G15" s="56" t="s">
        <v>367</v>
      </c>
      <c r="H15" s="56" t="s">
        <v>73</v>
      </c>
      <c r="I15" s="56" t="s">
        <v>74</v>
      </c>
      <c r="J15" s="56"/>
      <c r="K15" s="56"/>
      <c r="L15" s="56"/>
      <c r="M15" s="56"/>
      <c r="N15" s="56" t="s">
        <v>16</v>
      </c>
      <c r="O15" s="85" t="s">
        <v>363</v>
      </c>
      <c r="P15" s="81" t="s">
        <v>18</v>
      </c>
      <c r="Q15" s="82">
        <v>3</v>
      </c>
      <c r="R15" s="38">
        <v>0</v>
      </c>
      <c r="S15" s="38">
        <v>0</v>
      </c>
      <c r="T15" s="38">
        <v>0</v>
      </c>
      <c r="U15" s="12">
        <v>1</v>
      </c>
      <c r="V15" s="12">
        <v>0</v>
      </c>
      <c r="W15" s="12">
        <v>0</v>
      </c>
      <c r="X15" s="12">
        <v>1</v>
      </c>
      <c r="Y15" s="12">
        <v>0</v>
      </c>
      <c r="Z15" s="12">
        <v>0</v>
      </c>
      <c r="AA15" s="12">
        <v>0</v>
      </c>
      <c r="AB15" s="12">
        <v>1</v>
      </c>
      <c r="AC15" s="12">
        <v>0</v>
      </c>
    </row>
    <row r="16" spans="1:29" ht="19.95" customHeight="1" x14ac:dyDescent="0.25">
      <c r="A16" s="38">
        <v>9753993355</v>
      </c>
      <c r="B16" s="56" t="s">
        <v>371</v>
      </c>
      <c r="C16" s="43" t="s">
        <v>369</v>
      </c>
      <c r="D16" s="56" t="s">
        <v>370</v>
      </c>
      <c r="E16" s="56" t="s">
        <v>104</v>
      </c>
      <c r="F16" s="56" t="s">
        <v>368</v>
      </c>
      <c r="G16" s="56" t="s">
        <v>367</v>
      </c>
      <c r="H16" s="56" t="s">
        <v>73</v>
      </c>
      <c r="I16" s="56" t="s">
        <v>74</v>
      </c>
      <c r="J16" s="56"/>
      <c r="K16" s="56"/>
      <c r="L16" s="56"/>
      <c r="M16" s="56"/>
      <c r="N16" s="56" t="s">
        <v>16</v>
      </c>
      <c r="O16" s="85" t="s">
        <v>364</v>
      </c>
      <c r="P16" s="81" t="s">
        <v>18</v>
      </c>
      <c r="Q16" s="82">
        <v>10</v>
      </c>
      <c r="R16" s="38">
        <v>0</v>
      </c>
      <c r="S16" s="38">
        <v>0</v>
      </c>
      <c r="T16" s="38">
        <v>0</v>
      </c>
      <c r="U16" s="12">
        <v>2</v>
      </c>
      <c r="V16" s="12">
        <v>0</v>
      </c>
      <c r="W16" s="12">
        <v>0</v>
      </c>
      <c r="X16" s="12">
        <v>2</v>
      </c>
      <c r="Y16" s="12">
        <v>2</v>
      </c>
      <c r="Z16" s="12">
        <v>2</v>
      </c>
      <c r="AA16" s="12">
        <v>0</v>
      </c>
      <c r="AB16" s="12">
        <v>2</v>
      </c>
      <c r="AC16" s="12">
        <v>0</v>
      </c>
    </row>
    <row r="17" spans="1:29" ht="19.95" customHeight="1" x14ac:dyDescent="0.25">
      <c r="A17" s="38">
        <v>9753993355</v>
      </c>
      <c r="B17" s="56" t="s">
        <v>371</v>
      </c>
      <c r="C17" s="43" t="s">
        <v>369</v>
      </c>
      <c r="D17" s="56" t="s">
        <v>370</v>
      </c>
      <c r="E17" s="56" t="s">
        <v>104</v>
      </c>
      <c r="F17" s="56" t="s">
        <v>368</v>
      </c>
      <c r="G17" s="56" t="s">
        <v>367</v>
      </c>
      <c r="H17" s="56" t="s">
        <v>73</v>
      </c>
      <c r="I17" s="56" t="s">
        <v>74</v>
      </c>
      <c r="J17" s="56"/>
      <c r="K17" s="56"/>
      <c r="L17" s="56"/>
      <c r="M17" s="56"/>
      <c r="N17" s="56" t="s">
        <v>16</v>
      </c>
      <c r="O17" s="85" t="s">
        <v>365</v>
      </c>
      <c r="P17" s="81" t="s">
        <v>18</v>
      </c>
      <c r="Q17" s="82">
        <v>12</v>
      </c>
      <c r="R17" s="38">
        <v>1</v>
      </c>
      <c r="S17" s="38">
        <v>1</v>
      </c>
      <c r="T17" s="38">
        <v>1</v>
      </c>
      <c r="U17" s="38">
        <v>1</v>
      </c>
      <c r="V17" s="38">
        <v>1</v>
      </c>
      <c r="W17" s="38">
        <v>1</v>
      </c>
      <c r="X17" s="38">
        <v>1</v>
      </c>
      <c r="Y17" s="38">
        <v>1</v>
      </c>
      <c r="Z17" s="38">
        <v>1</v>
      </c>
      <c r="AA17" s="38">
        <v>1</v>
      </c>
      <c r="AB17" s="38">
        <v>1</v>
      </c>
      <c r="AC17" s="38">
        <v>1</v>
      </c>
    </row>
    <row r="18" spans="1:29" ht="19.95" customHeight="1" x14ac:dyDescent="0.25">
      <c r="A18" s="38">
        <v>9753993355</v>
      </c>
      <c r="B18" s="56" t="s">
        <v>371</v>
      </c>
      <c r="C18" s="43" t="s">
        <v>369</v>
      </c>
      <c r="D18" s="56" t="s">
        <v>370</v>
      </c>
      <c r="E18" s="56" t="s">
        <v>104</v>
      </c>
      <c r="F18" s="56" t="s">
        <v>368</v>
      </c>
      <c r="G18" s="56" t="s">
        <v>367</v>
      </c>
      <c r="H18" s="56" t="s">
        <v>73</v>
      </c>
      <c r="I18" s="56" t="s">
        <v>74</v>
      </c>
      <c r="J18" s="56"/>
      <c r="K18" s="56"/>
      <c r="L18" s="56"/>
      <c r="M18" s="56"/>
      <c r="N18" s="56" t="s">
        <v>16</v>
      </c>
      <c r="O18" s="85" t="s">
        <v>366</v>
      </c>
      <c r="P18" s="81" t="s">
        <v>18</v>
      </c>
      <c r="Q18" s="82">
        <v>12</v>
      </c>
      <c r="R18" s="38">
        <v>1</v>
      </c>
      <c r="S18" s="38">
        <v>1</v>
      </c>
      <c r="T18" s="38">
        <v>1</v>
      </c>
      <c r="U18" s="38">
        <v>1</v>
      </c>
      <c r="V18" s="38">
        <v>1</v>
      </c>
      <c r="W18" s="38">
        <v>1</v>
      </c>
      <c r="X18" s="38">
        <v>1</v>
      </c>
      <c r="Y18" s="38">
        <v>1</v>
      </c>
      <c r="Z18" s="38">
        <v>1</v>
      </c>
      <c r="AA18" s="38">
        <v>1</v>
      </c>
      <c r="AB18" s="38">
        <v>1</v>
      </c>
      <c r="AC18" s="38">
        <v>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394A9-8C2A-4381-B999-7A723FE4E820}">
  <dimension ref="A1:AC21"/>
  <sheetViews>
    <sheetView topLeftCell="J1" workbookViewId="0">
      <selection activeCell="O1" sqref="O1:AC1"/>
    </sheetView>
  </sheetViews>
  <sheetFormatPr defaultRowHeight="13.2" x14ac:dyDescent="0.25"/>
  <cols>
    <col min="1" max="1" width="12.109375" bestFit="1" customWidth="1"/>
    <col min="2" max="2" width="19.5546875" bestFit="1" customWidth="1"/>
    <col min="3" max="3" width="34.21875" bestFit="1" customWidth="1"/>
    <col min="4" max="4" width="12.21875" customWidth="1"/>
    <col min="5" max="5" width="11.21875" bestFit="1" customWidth="1"/>
    <col min="6" max="6" width="9" bestFit="1" customWidth="1"/>
    <col min="7" max="7" width="17.77734375" bestFit="1" customWidth="1"/>
    <col min="9" max="9" width="17.21875" bestFit="1" customWidth="1"/>
    <col min="10" max="13" width="11.44140625" bestFit="1" customWidth="1"/>
    <col min="14" max="14" width="14.5546875" bestFit="1" customWidth="1"/>
    <col min="15" max="15" width="125.44140625" bestFit="1" customWidth="1"/>
  </cols>
  <sheetData>
    <row r="1" spans="1:29" ht="27.6" x14ac:dyDescent="0.25">
      <c r="A1" s="35" t="s">
        <v>0</v>
      </c>
      <c r="B1" s="35" t="s">
        <v>1</v>
      </c>
      <c r="C1" s="35" t="s">
        <v>2</v>
      </c>
      <c r="D1" s="58" t="s">
        <v>3</v>
      </c>
      <c r="E1" s="35" t="s">
        <v>4</v>
      </c>
      <c r="F1" s="35" t="s">
        <v>5</v>
      </c>
      <c r="G1" s="35" t="s">
        <v>6</v>
      </c>
      <c r="H1" s="35" t="s">
        <v>7</v>
      </c>
      <c r="I1" s="58" t="s">
        <v>8</v>
      </c>
      <c r="J1" s="35" t="s">
        <v>9</v>
      </c>
      <c r="K1" s="35" t="s">
        <v>10</v>
      </c>
      <c r="L1" s="35" t="s">
        <v>126</v>
      </c>
      <c r="M1" s="35" t="s">
        <v>127</v>
      </c>
      <c r="N1" s="35"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38">
        <v>8889385438</v>
      </c>
      <c r="B2" s="56" t="s">
        <v>372</v>
      </c>
      <c r="C2" s="10" t="s">
        <v>373</v>
      </c>
      <c r="D2" s="56" t="s">
        <v>289</v>
      </c>
      <c r="E2" s="56" t="s">
        <v>104</v>
      </c>
      <c r="F2" s="56" t="s">
        <v>368</v>
      </c>
      <c r="G2" s="56" t="s">
        <v>367</v>
      </c>
      <c r="H2" s="56" t="s">
        <v>73</v>
      </c>
      <c r="I2" s="56" t="s">
        <v>74</v>
      </c>
      <c r="J2" s="56"/>
      <c r="K2" s="56"/>
      <c r="L2" s="56"/>
      <c r="M2" s="56"/>
      <c r="N2" s="56" t="s">
        <v>16</v>
      </c>
      <c r="O2" s="85" t="s">
        <v>76</v>
      </c>
      <c r="P2" s="87" t="s">
        <v>70</v>
      </c>
      <c r="Q2" s="79">
        <v>3500</v>
      </c>
      <c r="R2" s="79">
        <v>1000</v>
      </c>
      <c r="S2" s="79">
        <v>1000</v>
      </c>
      <c r="T2" s="79">
        <v>1000</v>
      </c>
      <c r="U2" s="79">
        <v>0</v>
      </c>
      <c r="V2" s="79">
        <v>0</v>
      </c>
      <c r="W2" s="79">
        <v>0</v>
      </c>
      <c r="X2" s="79">
        <v>0</v>
      </c>
      <c r="Y2" s="79">
        <v>0</v>
      </c>
      <c r="Z2" s="79">
        <v>0</v>
      </c>
      <c r="AA2" s="79">
        <v>0</v>
      </c>
      <c r="AB2" s="79">
        <v>0</v>
      </c>
      <c r="AC2" s="79">
        <v>500</v>
      </c>
    </row>
    <row r="3" spans="1:29" ht="19.95" customHeight="1" x14ac:dyDescent="0.25">
      <c r="A3" s="38">
        <v>8889385438</v>
      </c>
      <c r="B3" s="56" t="s">
        <v>372</v>
      </c>
      <c r="C3" s="10" t="s">
        <v>373</v>
      </c>
      <c r="D3" s="56" t="s">
        <v>289</v>
      </c>
      <c r="E3" s="56" t="s">
        <v>104</v>
      </c>
      <c r="F3" s="56" t="s">
        <v>368</v>
      </c>
      <c r="G3" s="56" t="s">
        <v>367</v>
      </c>
      <c r="H3" s="56" t="s">
        <v>73</v>
      </c>
      <c r="I3" s="56" t="s">
        <v>74</v>
      </c>
      <c r="J3" s="56"/>
      <c r="K3" s="56"/>
      <c r="L3" s="56"/>
      <c r="M3" s="56"/>
      <c r="N3" s="56" t="s">
        <v>16</v>
      </c>
      <c r="O3" s="85" t="s">
        <v>357</v>
      </c>
      <c r="P3" s="87" t="s">
        <v>71</v>
      </c>
      <c r="Q3" s="79">
        <v>10</v>
      </c>
      <c r="R3" s="80">
        <v>2.8</v>
      </c>
      <c r="S3" s="80">
        <v>2.8</v>
      </c>
      <c r="T3" s="80">
        <v>2.8</v>
      </c>
      <c r="U3" s="80">
        <v>0</v>
      </c>
      <c r="V3" s="80">
        <v>0</v>
      </c>
      <c r="W3" s="80">
        <v>0</v>
      </c>
      <c r="X3" s="80">
        <v>0</v>
      </c>
      <c r="Y3" s="80">
        <v>0</v>
      </c>
      <c r="Z3" s="80">
        <v>0</v>
      </c>
      <c r="AA3" s="80">
        <v>0</v>
      </c>
      <c r="AB3" s="80">
        <v>0</v>
      </c>
      <c r="AC3" s="80">
        <v>1.5</v>
      </c>
    </row>
    <row r="4" spans="1:29" ht="19.95" customHeight="1" x14ac:dyDescent="0.25">
      <c r="A4" s="38">
        <v>8889385438</v>
      </c>
      <c r="B4" s="56" t="s">
        <v>372</v>
      </c>
      <c r="C4" s="10" t="s">
        <v>373</v>
      </c>
      <c r="D4" s="56" t="s">
        <v>289</v>
      </c>
      <c r="E4" s="56" t="s">
        <v>104</v>
      </c>
      <c r="F4" s="56" t="s">
        <v>368</v>
      </c>
      <c r="G4" s="56" t="s">
        <v>367</v>
      </c>
      <c r="H4" s="56" t="s">
        <v>73</v>
      </c>
      <c r="I4" s="56" t="s">
        <v>74</v>
      </c>
      <c r="J4" s="56"/>
      <c r="K4" s="56"/>
      <c r="L4" s="56"/>
      <c r="M4" s="56"/>
      <c r="N4" s="56" t="s">
        <v>16</v>
      </c>
      <c r="O4" s="85" t="s">
        <v>77</v>
      </c>
      <c r="P4" s="87" t="s">
        <v>70</v>
      </c>
      <c r="Q4" s="79">
        <v>2180</v>
      </c>
      <c r="R4" s="79">
        <v>90</v>
      </c>
      <c r="S4" s="79">
        <v>90</v>
      </c>
      <c r="T4" s="79">
        <v>90</v>
      </c>
      <c r="U4" s="79">
        <v>100</v>
      </c>
      <c r="V4" s="79">
        <v>100</v>
      </c>
      <c r="W4" s="79">
        <v>100</v>
      </c>
      <c r="X4" s="79">
        <v>270</v>
      </c>
      <c r="Y4" s="79">
        <v>270</v>
      </c>
      <c r="Z4" s="79">
        <v>270</v>
      </c>
      <c r="AA4" s="79">
        <v>200</v>
      </c>
      <c r="AB4" s="79">
        <v>200</v>
      </c>
      <c r="AC4" s="79">
        <v>400</v>
      </c>
    </row>
    <row r="5" spans="1:29" ht="19.95" customHeight="1" x14ac:dyDescent="0.25">
      <c r="A5" s="38">
        <v>8889385438</v>
      </c>
      <c r="B5" s="56" t="s">
        <v>372</v>
      </c>
      <c r="C5" s="10" t="s">
        <v>373</v>
      </c>
      <c r="D5" s="56" t="s">
        <v>289</v>
      </c>
      <c r="E5" s="56" t="s">
        <v>104</v>
      </c>
      <c r="F5" s="56" t="s">
        <v>368</v>
      </c>
      <c r="G5" s="56" t="s">
        <v>367</v>
      </c>
      <c r="H5" s="56" t="s">
        <v>73</v>
      </c>
      <c r="I5" s="56" t="s">
        <v>74</v>
      </c>
      <c r="J5" s="56"/>
      <c r="K5" s="56"/>
      <c r="L5" s="56"/>
      <c r="M5" s="56"/>
      <c r="N5" s="56" t="s">
        <v>16</v>
      </c>
      <c r="O5" s="85" t="s">
        <v>357</v>
      </c>
      <c r="P5" s="87" t="s">
        <v>71</v>
      </c>
      <c r="Q5" s="79">
        <v>7</v>
      </c>
      <c r="R5" s="80">
        <v>0.25285363386793813</v>
      </c>
      <c r="S5" s="80">
        <v>0.25285363386793813</v>
      </c>
      <c r="T5" s="80">
        <v>0.25285363386793813</v>
      </c>
      <c r="U5" s="80">
        <v>0.30342436064152578</v>
      </c>
      <c r="V5" s="80">
        <v>0.30342436064152578</v>
      </c>
      <c r="W5" s="80">
        <v>0.30342436064152578</v>
      </c>
      <c r="X5" s="80">
        <v>0.60684872128305156</v>
      </c>
      <c r="Y5" s="80">
        <v>1.4159803496604537</v>
      </c>
      <c r="Z5" s="80">
        <v>1.4159803496604537</v>
      </c>
      <c r="AA5" s="80">
        <v>0.55627799450946402</v>
      </c>
      <c r="AB5" s="80">
        <v>0.55627799450946402</v>
      </c>
      <c r="AC5" s="80">
        <v>0.80913162837740216</v>
      </c>
    </row>
    <row r="6" spans="1:29" ht="19.95" customHeight="1" x14ac:dyDescent="0.25">
      <c r="A6" s="38">
        <v>8889385438</v>
      </c>
      <c r="B6" s="56" t="s">
        <v>372</v>
      </c>
      <c r="C6" s="10" t="s">
        <v>373</v>
      </c>
      <c r="D6" s="56" t="s">
        <v>289</v>
      </c>
      <c r="E6" s="56" t="s">
        <v>104</v>
      </c>
      <c r="F6" s="56" t="s">
        <v>368</v>
      </c>
      <c r="G6" s="56" t="s">
        <v>367</v>
      </c>
      <c r="H6" s="56" t="s">
        <v>73</v>
      </c>
      <c r="I6" s="56" t="s">
        <v>74</v>
      </c>
      <c r="J6" s="56"/>
      <c r="K6" s="56"/>
      <c r="L6" s="56"/>
      <c r="M6" s="56"/>
      <c r="N6" s="56" t="s">
        <v>16</v>
      </c>
      <c r="O6" s="85" t="s">
        <v>358</v>
      </c>
      <c r="P6" s="87" t="s">
        <v>18</v>
      </c>
      <c r="Q6" s="79">
        <v>10</v>
      </c>
      <c r="R6" s="27">
        <v>1</v>
      </c>
      <c r="S6" s="27">
        <v>1</v>
      </c>
      <c r="T6" s="27">
        <v>1</v>
      </c>
      <c r="U6" s="26">
        <v>1</v>
      </c>
      <c r="V6" s="26">
        <v>1</v>
      </c>
      <c r="W6" s="26">
        <v>1</v>
      </c>
      <c r="X6" s="26">
        <v>1</v>
      </c>
      <c r="Y6" s="26">
        <v>0</v>
      </c>
      <c r="Z6" s="26">
        <v>1</v>
      </c>
      <c r="AA6" s="26">
        <v>1</v>
      </c>
      <c r="AB6" s="26">
        <v>1</v>
      </c>
      <c r="AC6" s="26">
        <v>0</v>
      </c>
    </row>
    <row r="7" spans="1:29" ht="19.95" customHeight="1" x14ac:dyDescent="0.25">
      <c r="A7" s="38">
        <v>8889385438</v>
      </c>
      <c r="B7" s="56" t="s">
        <v>372</v>
      </c>
      <c r="C7" s="10" t="s">
        <v>373</v>
      </c>
      <c r="D7" s="56" t="s">
        <v>289</v>
      </c>
      <c r="E7" s="56" t="s">
        <v>104</v>
      </c>
      <c r="F7" s="56" t="s">
        <v>368</v>
      </c>
      <c r="G7" s="56" t="s">
        <v>367</v>
      </c>
      <c r="H7" s="56" t="s">
        <v>73</v>
      </c>
      <c r="I7" s="56" t="s">
        <v>74</v>
      </c>
      <c r="J7" s="56"/>
      <c r="K7" s="56"/>
      <c r="L7" s="56"/>
      <c r="M7" s="56"/>
      <c r="N7" s="56" t="s">
        <v>16</v>
      </c>
      <c r="O7" s="85" t="s">
        <v>359</v>
      </c>
      <c r="P7" s="87" t="s">
        <v>18</v>
      </c>
      <c r="Q7" s="79">
        <v>10</v>
      </c>
      <c r="R7" s="27">
        <v>1</v>
      </c>
      <c r="S7" s="27">
        <v>1</v>
      </c>
      <c r="T7" s="27">
        <v>1</v>
      </c>
      <c r="U7" s="26">
        <v>1</v>
      </c>
      <c r="V7" s="26">
        <v>1</v>
      </c>
      <c r="W7" s="26">
        <v>1</v>
      </c>
      <c r="X7" s="26">
        <v>1</v>
      </c>
      <c r="Y7" s="26">
        <v>0</v>
      </c>
      <c r="Z7" s="26">
        <v>1</v>
      </c>
      <c r="AA7" s="26">
        <v>1</v>
      </c>
      <c r="AB7" s="26">
        <v>1</v>
      </c>
      <c r="AC7" s="26">
        <v>0</v>
      </c>
    </row>
    <row r="8" spans="1:29" ht="19.95" customHeight="1" x14ac:dyDescent="0.25">
      <c r="A8" s="38">
        <v>8889385438</v>
      </c>
      <c r="B8" s="56" t="s">
        <v>372</v>
      </c>
      <c r="C8" s="10" t="s">
        <v>373</v>
      </c>
      <c r="D8" s="56" t="s">
        <v>289</v>
      </c>
      <c r="E8" s="56" t="s">
        <v>104</v>
      </c>
      <c r="F8" s="56" t="s">
        <v>368</v>
      </c>
      <c r="G8" s="56" t="s">
        <v>367</v>
      </c>
      <c r="H8" s="56" t="s">
        <v>73</v>
      </c>
      <c r="I8" s="56" t="s">
        <v>74</v>
      </c>
      <c r="J8" s="56"/>
      <c r="K8" s="56"/>
      <c r="L8" s="56"/>
      <c r="M8" s="56"/>
      <c r="N8" s="56" t="s">
        <v>16</v>
      </c>
      <c r="O8" s="85" t="s">
        <v>360</v>
      </c>
      <c r="P8" s="87" t="s">
        <v>18</v>
      </c>
      <c r="Q8" s="79">
        <v>5</v>
      </c>
      <c r="R8" s="79">
        <v>4</v>
      </c>
      <c r="S8" s="79">
        <v>4</v>
      </c>
      <c r="T8" s="79">
        <v>4</v>
      </c>
      <c r="U8" s="79">
        <v>4</v>
      </c>
      <c r="V8" s="79">
        <v>4</v>
      </c>
      <c r="W8" s="79">
        <v>4</v>
      </c>
      <c r="X8" s="79">
        <v>4</v>
      </c>
      <c r="Y8" s="79">
        <v>4</v>
      </c>
      <c r="Z8" s="79">
        <v>4</v>
      </c>
      <c r="AA8" s="79">
        <v>4</v>
      </c>
      <c r="AB8" s="79">
        <v>4</v>
      </c>
      <c r="AC8" s="79">
        <v>4</v>
      </c>
    </row>
    <row r="9" spans="1:29" ht="19.95" customHeight="1" x14ac:dyDescent="0.25">
      <c r="A9" s="38">
        <v>8889385438</v>
      </c>
      <c r="B9" s="56" t="s">
        <v>372</v>
      </c>
      <c r="C9" s="10" t="s">
        <v>373</v>
      </c>
      <c r="D9" s="56" t="s">
        <v>289</v>
      </c>
      <c r="E9" s="56" t="s">
        <v>104</v>
      </c>
      <c r="F9" s="56" t="s">
        <v>368</v>
      </c>
      <c r="G9" s="56" t="s">
        <v>367</v>
      </c>
      <c r="H9" s="56" t="s">
        <v>73</v>
      </c>
      <c r="I9" s="56" t="s">
        <v>74</v>
      </c>
      <c r="J9" s="56"/>
      <c r="K9" s="56"/>
      <c r="L9" s="56"/>
      <c r="M9" s="56"/>
      <c r="N9" s="56" t="s">
        <v>16</v>
      </c>
      <c r="O9" s="85" t="s">
        <v>361</v>
      </c>
      <c r="P9" s="87" t="s">
        <v>18</v>
      </c>
      <c r="Q9" s="79">
        <v>6</v>
      </c>
      <c r="R9" s="27">
        <v>1</v>
      </c>
      <c r="S9" s="27">
        <v>1</v>
      </c>
      <c r="T9" s="27">
        <v>1</v>
      </c>
      <c r="U9" s="26">
        <v>0</v>
      </c>
      <c r="V9" s="26">
        <v>0</v>
      </c>
      <c r="W9" s="26">
        <v>0</v>
      </c>
      <c r="X9" s="26">
        <v>0</v>
      </c>
      <c r="Y9" s="26">
        <v>1</v>
      </c>
      <c r="Z9" s="26">
        <v>1</v>
      </c>
      <c r="AA9" s="26">
        <v>0</v>
      </c>
      <c r="AB9" s="26">
        <v>0</v>
      </c>
      <c r="AC9" s="26">
        <v>1</v>
      </c>
    </row>
    <row r="10" spans="1:29" ht="19.95" customHeight="1" x14ac:dyDescent="0.25">
      <c r="A10" s="38">
        <v>8889385438</v>
      </c>
      <c r="B10" s="56" t="s">
        <v>372</v>
      </c>
      <c r="C10" s="10" t="s">
        <v>373</v>
      </c>
      <c r="D10" s="56" t="s">
        <v>289</v>
      </c>
      <c r="E10" s="56" t="s">
        <v>104</v>
      </c>
      <c r="F10" s="56" t="s">
        <v>368</v>
      </c>
      <c r="G10" s="56" t="s">
        <v>367</v>
      </c>
      <c r="H10" s="56" t="s">
        <v>73</v>
      </c>
      <c r="I10" s="56" t="s">
        <v>74</v>
      </c>
      <c r="J10" s="56"/>
      <c r="K10" s="56"/>
      <c r="L10" s="56"/>
      <c r="M10" s="56"/>
      <c r="N10" s="56" t="s">
        <v>16</v>
      </c>
      <c r="O10" s="85" t="s">
        <v>362</v>
      </c>
      <c r="P10" s="87" t="s">
        <v>18</v>
      </c>
      <c r="Q10" s="79">
        <v>36</v>
      </c>
      <c r="R10" s="27">
        <v>3</v>
      </c>
      <c r="S10" s="27">
        <v>3</v>
      </c>
      <c r="T10" s="27">
        <v>3</v>
      </c>
      <c r="U10" s="26">
        <v>3</v>
      </c>
      <c r="V10" s="26">
        <v>3</v>
      </c>
      <c r="W10" s="26">
        <v>3</v>
      </c>
      <c r="X10" s="26">
        <v>3</v>
      </c>
      <c r="Y10" s="26">
        <v>3</v>
      </c>
      <c r="Z10" s="26">
        <v>3</v>
      </c>
      <c r="AA10" s="26">
        <v>3</v>
      </c>
      <c r="AB10" s="26">
        <v>3</v>
      </c>
      <c r="AC10" s="26">
        <v>3</v>
      </c>
    </row>
    <row r="11" spans="1:29" ht="19.95" customHeight="1" x14ac:dyDescent="0.25">
      <c r="A11" s="38">
        <v>8889385438</v>
      </c>
      <c r="B11" s="56" t="s">
        <v>372</v>
      </c>
      <c r="C11" s="10" t="s">
        <v>373</v>
      </c>
      <c r="D11" s="56" t="s">
        <v>289</v>
      </c>
      <c r="E11" s="56" t="s">
        <v>104</v>
      </c>
      <c r="F11" s="56" t="s">
        <v>368</v>
      </c>
      <c r="G11" s="56" t="s">
        <v>367</v>
      </c>
      <c r="H11" s="56" t="s">
        <v>73</v>
      </c>
      <c r="I11" s="56" t="s">
        <v>74</v>
      </c>
      <c r="J11" s="56"/>
      <c r="K11" s="56"/>
      <c r="L11" s="56"/>
      <c r="M11" s="56"/>
      <c r="N11" s="56" t="s">
        <v>16</v>
      </c>
      <c r="O11" s="85" t="s">
        <v>78</v>
      </c>
      <c r="P11" s="87" t="s">
        <v>18</v>
      </c>
      <c r="Q11" s="79">
        <v>12</v>
      </c>
      <c r="R11" s="27">
        <v>1</v>
      </c>
      <c r="S11" s="27">
        <v>1</v>
      </c>
      <c r="T11" s="27">
        <v>1</v>
      </c>
      <c r="U11" s="26">
        <v>1</v>
      </c>
      <c r="V11" s="26">
        <v>1</v>
      </c>
      <c r="W11" s="26">
        <v>1</v>
      </c>
      <c r="X11" s="26">
        <v>1</v>
      </c>
      <c r="Y11" s="26">
        <v>1</v>
      </c>
      <c r="Z11" s="26">
        <v>1</v>
      </c>
      <c r="AA11" s="26">
        <v>1</v>
      </c>
      <c r="AB11" s="26">
        <v>1</v>
      </c>
      <c r="AC11" s="26">
        <v>1</v>
      </c>
    </row>
    <row r="12" spans="1:29" ht="19.95" customHeight="1" x14ac:dyDescent="0.25">
      <c r="A12" s="38">
        <v>8889385438</v>
      </c>
      <c r="B12" s="56" t="s">
        <v>372</v>
      </c>
      <c r="C12" s="10" t="s">
        <v>373</v>
      </c>
      <c r="D12" s="56" t="s">
        <v>289</v>
      </c>
      <c r="E12" s="56" t="s">
        <v>104</v>
      </c>
      <c r="F12" s="56" t="s">
        <v>368</v>
      </c>
      <c r="G12" s="56" t="s">
        <v>367</v>
      </c>
      <c r="H12" s="56" t="s">
        <v>73</v>
      </c>
      <c r="I12" s="56" t="s">
        <v>74</v>
      </c>
      <c r="J12" s="56"/>
      <c r="K12" s="56"/>
      <c r="L12" s="56"/>
      <c r="M12" s="56"/>
      <c r="N12" s="56" t="s">
        <v>16</v>
      </c>
      <c r="O12" s="85" t="s">
        <v>79</v>
      </c>
      <c r="P12" s="87" t="s">
        <v>18</v>
      </c>
      <c r="Q12" s="79">
        <v>12</v>
      </c>
      <c r="R12" s="27">
        <v>1</v>
      </c>
      <c r="S12" s="27">
        <v>1</v>
      </c>
      <c r="T12" s="27">
        <v>1</v>
      </c>
      <c r="U12" s="27">
        <v>1</v>
      </c>
      <c r="V12" s="27">
        <v>1</v>
      </c>
      <c r="W12" s="27">
        <v>1</v>
      </c>
      <c r="X12" s="27">
        <v>1</v>
      </c>
      <c r="Y12" s="27">
        <v>1</v>
      </c>
      <c r="Z12" s="27">
        <v>1</v>
      </c>
      <c r="AA12" s="27">
        <v>1</v>
      </c>
      <c r="AB12" s="27">
        <v>1</v>
      </c>
      <c r="AC12" s="27">
        <v>1</v>
      </c>
    </row>
    <row r="13" spans="1:29" ht="19.95" customHeight="1" x14ac:dyDescent="0.25">
      <c r="A13" s="38">
        <v>8889385438</v>
      </c>
      <c r="B13" s="56" t="s">
        <v>372</v>
      </c>
      <c r="C13" s="10" t="s">
        <v>373</v>
      </c>
      <c r="D13" s="56" t="s">
        <v>289</v>
      </c>
      <c r="E13" s="56" t="s">
        <v>104</v>
      </c>
      <c r="F13" s="56" t="s">
        <v>368</v>
      </c>
      <c r="G13" s="56" t="s">
        <v>367</v>
      </c>
      <c r="H13" s="56" t="s">
        <v>73</v>
      </c>
      <c r="I13" s="56" t="s">
        <v>74</v>
      </c>
      <c r="J13" s="56"/>
      <c r="K13" s="56"/>
      <c r="L13" s="56"/>
      <c r="M13" s="56"/>
      <c r="N13" s="56" t="s">
        <v>16</v>
      </c>
      <c r="O13" s="85" t="s">
        <v>80</v>
      </c>
      <c r="P13" s="87" t="s">
        <v>18</v>
      </c>
      <c r="Q13" s="79">
        <v>7</v>
      </c>
      <c r="R13" s="27">
        <v>0</v>
      </c>
      <c r="S13" s="27">
        <v>0</v>
      </c>
      <c r="T13" s="27">
        <v>1</v>
      </c>
      <c r="U13" s="27">
        <v>1</v>
      </c>
      <c r="V13" s="27">
        <v>0</v>
      </c>
      <c r="W13" s="27">
        <v>1</v>
      </c>
      <c r="X13" s="27">
        <v>1</v>
      </c>
      <c r="Y13" s="27">
        <v>0</v>
      </c>
      <c r="Z13" s="27">
        <v>1</v>
      </c>
      <c r="AA13" s="27">
        <v>1</v>
      </c>
      <c r="AB13" s="27">
        <v>0</v>
      </c>
      <c r="AC13" s="27">
        <v>1</v>
      </c>
    </row>
    <row r="14" spans="1:29" ht="19.95" customHeight="1" x14ac:dyDescent="0.25">
      <c r="A14" s="38">
        <v>8889385438</v>
      </c>
      <c r="B14" s="56" t="s">
        <v>372</v>
      </c>
      <c r="C14" s="10" t="s">
        <v>373</v>
      </c>
      <c r="D14" s="56" t="s">
        <v>289</v>
      </c>
      <c r="E14" s="56" t="s">
        <v>104</v>
      </c>
      <c r="F14" s="56" t="s">
        <v>368</v>
      </c>
      <c r="G14" s="56" t="s">
        <v>367</v>
      </c>
      <c r="H14" s="56" t="s">
        <v>73</v>
      </c>
      <c r="I14" s="56" t="s">
        <v>74</v>
      </c>
      <c r="J14" s="56"/>
      <c r="K14" s="56"/>
      <c r="L14" s="56"/>
      <c r="M14" s="56"/>
      <c r="N14" s="56" t="s">
        <v>16</v>
      </c>
      <c r="O14" s="85" t="s">
        <v>81</v>
      </c>
      <c r="P14" s="87" t="s">
        <v>18</v>
      </c>
      <c r="Q14" s="79">
        <v>3</v>
      </c>
      <c r="R14" s="27">
        <v>0</v>
      </c>
      <c r="S14" s="27">
        <v>0</v>
      </c>
      <c r="T14" s="27">
        <v>0</v>
      </c>
      <c r="U14" s="26">
        <v>0</v>
      </c>
      <c r="V14" s="26">
        <v>0</v>
      </c>
      <c r="W14" s="26">
        <v>1</v>
      </c>
      <c r="X14" s="26">
        <v>1</v>
      </c>
      <c r="Y14" s="26">
        <v>0</v>
      </c>
      <c r="Z14" s="26">
        <v>0</v>
      </c>
      <c r="AA14" s="26">
        <v>0</v>
      </c>
      <c r="AB14" s="26">
        <v>0</v>
      </c>
      <c r="AC14" s="26">
        <v>1</v>
      </c>
    </row>
    <row r="15" spans="1:29" ht="19.95" customHeight="1" x14ac:dyDescent="0.25">
      <c r="A15" s="38">
        <v>8889385438</v>
      </c>
      <c r="B15" s="56" t="s">
        <v>372</v>
      </c>
      <c r="C15" s="10" t="s">
        <v>373</v>
      </c>
      <c r="D15" s="56" t="s">
        <v>289</v>
      </c>
      <c r="E15" s="56" t="s">
        <v>104</v>
      </c>
      <c r="F15" s="56" t="s">
        <v>368</v>
      </c>
      <c r="G15" s="56" t="s">
        <v>367</v>
      </c>
      <c r="H15" s="56" t="s">
        <v>73</v>
      </c>
      <c r="I15" s="56" t="s">
        <v>74</v>
      </c>
      <c r="J15" s="56"/>
      <c r="K15" s="56"/>
      <c r="L15" s="56"/>
      <c r="M15" s="56"/>
      <c r="N15" s="56" t="s">
        <v>16</v>
      </c>
      <c r="O15" s="85" t="s">
        <v>363</v>
      </c>
      <c r="P15" s="87" t="s">
        <v>18</v>
      </c>
      <c r="Q15" s="79">
        <v>3</v>
      </c>
      <c r="R15" s="27">
        <v>0</v>
      </c>
      <c r="S15" s="27">
        <v>0</v>
      </c>
      <c r="T15" s="27">
        <v>0</v>
      </c>
      <c r="U15" s="26">
        <v>1</v>
      </c>
      <c r="V15" s="26">
        <v>0</v>
      </c>
      <c r="W15" s="26">
        <v>0</v>
      </c>
      <c r="X15" s="26">
        <v>1</v>
      </c>
      <c r="Y15" s="26">
        <v>0</v>
      </c>
      <c r="Z15" s="26">
        <v>0</v>
      </c>
      <c r="AA15" s="26">
        <v>0</v>
      </c>
      <c r="AB15" s="26">
        <v>1</v>
      </c>
      <c r="AC15" s="26">
        <v>0</v>
      </c>
    </row>
    <row r="16" spans="1:29" ht="19.95" customHeight="1" x14ac:dyDescent="0.25">
      <c r="A16" s="38">
        <v>8889385438</v>
      </c>
      <c r="B16" s="56" t="s">
        <v>372</v>
      </c>
      <c r="C16" s="10" t="s">
        <v>373</v>
      </c>
      <c r="D16" s="56" t="s">
        <v>289</v>
      </c>
      <c r="E16" s="56" t="s">
        <v>104</v>
      </c>
      <c r="F16" s="56" t="s">
        <v>368</v>
      </c>
      <c r="G16" s="56" t="s">
        <v>367</v>
      </c>
      <c r="H16" s="56" t="s">
        <v>73</v>
      </c>
      <c r="I16" s="56" t="s">
        <v>74</v>
      </c>
      <c r="J16" s="56"/>
      <c r="K16" s="56"/>
      <c r="L16" s="56"/>
      <c r="M16" s="56"/>
      <c r="N16" s="56" t="s">
        <v>16</v>
      </c>
      <c r="O16" s="85" t="s">
        <v>364</v>
      </c>
      <c r="P16" s="87" t="s">
        <v>18</v>
      </c>
      <c r="Q16" s="79">
        <v>10</v>
      </c>
      <c r="R16" s="27">
        <v>0</v>
      </c>
      <c r="S16" s="27">
        <v>0</v>
      </c>
      <c r="T16" s="27">
        <v>0</v>
      </c>
      <c r="U16" s="26">
        <v>2</v>
      </c>
      <c r="V16" s="26">
        <v>0</v>
      </c>
      <c r="W16" s="26">
        <v>0</v>
      </c>
      <c r="X16" s="26">
        <v>2</v>
      </c>
      <c r="Y16" s="26">
        <v>2</v>
      </c>
      <c r="Z16" s="26">
        <v>2</v>
      </c>
      <c r="AA16" s="26">
        <v>0</v>
      </c>
      <c r="AB16" s="26">
        <v>2</v>
      </c>
      <c r="AC16" s="26">
        <v>0</v>
      </c>
    </row>
    <row r="17" spans="1:29" ht="19.95" customHeight="1" x14ac:dyDescent="0.25">
      <c r="A17" s="38">
        <v>8889385438</v>
      </c>
      <c r="B17" s="56" t="s">
        <v>372</v>
      </c>
      <c r="C17" s="10" t="s">
        <v>373</v>
      </c>
      <c r="D17" s="56" t="s">
        <v>289</v>
      </c>
      <c r="E17" s="56" t="s">
        <v>104</v>
      </c>
      <c r="F17" s="56" t="s">
        <v>368</v>
      </c>
      <c r="G17" s="56" t="s">
        <v>367</v>
      </c>
      <c r="H17" s="56" t="s">
        <v>73</v>
      </c>
      <c r="I17" s="56" t="s">
        <v>74</v>
      </c>
      <c r="J17" s="56"/>
      <c r="K17" s="56"/>
      <c r="L17" s="56"/>
      <c r="M17" s="56"/>
      <c r="N17" s="56" t="s">
        <v>16</v>
      </c>
      <c r="O17" s="85" t="s">
        <v>365</v>
      </c>
      <c r="P17" s="87" t="s">
        <v>18</v>
      </c>
      <c r="Q17" s="79">
        <v>12</v>
      </c>
      <c r="R17" s="27">
        <v>1</v>
      </c>
      <c r="S17" s="27">
        <v>1</v>
      </c>
      <c r="T17" s="27">
        <v>1</v>
      </c>
      <c r="U17" s="27">
        <v>1</v>
      </c>
      <c r="V17" s="27">
        <v>1</v>
      </c>
      <c r="W17" s="27">
        <v>1</v>
      </c>
      <c r="X17" s="27">
        <v>1</v>
      </c>
      <c r="Y17" s="27">
        <v>1</v>
      </c>
      <c r="Z17" s="27">
        <v>1</v>
      </c>
      <c r="AA17" s="27">
        <v>1</v>
      </c>
      <c r="AB17" s="27">
        <v>1</v>
      </c>
      <c r="AC17" s="27">
        <v>1</v>
      </c>
    </row>
    <row r="18" spans="1:29" ht="19.95" customHeight="1" x14ac:dyDescent="0.25">
      <c r="A18" s="38">
        <v>8889385438</v>
      </c>
      <c r="B18" s="56" t="s">
        <v>372</v>
      </c>
      <c r="C18" s="10" t="s">
        <v>373</v>
      </c>
      <c r="D18" s="56" t="s">
        <v>289</v>
      </c>
      <c r="E18" s="56" t="s">
        <v>104</v>
      </c>
      <c r="F18" s="56" t="s">
        <v>368</v>
      </c>
      <c r="G18" s="56" t="s">
        <v>367</v>
      </c>
      <c r="H18" s="56" t="s">
        <v>73</v>
      </c>
      <c r="I18" s="56" t="s">
        <v>74</v>
      </c>
      <c r="J18" s="56"/>
      <c r="K18" s="56"/>
      <c r="L18" s="56"/>
      <c r="M18" s="56"/>
      <c r="N18" s="56" t="s">
        <v>16</v>
      </c>
      <c r="O18" s="85" t="s">
        <v>366</v>
      </c>
      <c r="P18" s="87" t="s">
        <v>18</v>
      </c>
      <c r="Q18" s="79">
        <v>12</v>
      </c>
      <c r="R18" s="27">
        <v>1</v>
      </c>
      <c r="S18" s="27">
        <v>1</v>
      </c>
      <c r="T18" s="27">
        <v>1</v>
      </c>
      <c r="U18" s="27">
        <v>1</v>
      </c>
      <c r="V18" s="27">
        <v>1</v>
      </c>
      <c r="W18" s="27">
        <v>1</v>
      </c>
      <c r="X18" s="27">
        <v>1</v>
      </c>
      <c r="Y18" s="27">
        <v>1</v>
      </c>
      <c r="Z18" s="27">
        <v>1</v>
      </c>
      <c r="AA18" s="27">
        <v>1</v>
      </c>
      <c r="AB18" s="27">
        <v>1</v>
      </c>
      <c r="AC18" s="27">
        <v>1</v>
      </c>
    </row>
    <row r="21" spans="1:29" ht="13.8" x14ac:dyDescent="0.25">
      <c r="B21" s="38"/>
    </row>
  </sheetData>
  <hyperlinks>
    <hyperlink ref="C2" r:id="rId1" xr:uid="{83F167CD-C78B-4E83-9F69-E37A7F093E14}"/>
    <hyperlink ref="C3" r:id="rId2" xr:uid="{FA1D014E-0C78-4641-B9FF-1FD67D91A3FC}"/>
    <hyperlink ref="C4" r:id="rId3" xr:uid="{B4B8FCB6-CD12-4AB3-B6E1-B59EB1282EB7}"/>
    <hyperlink ref="C5" r:id="rId4" xr:uid="{AE768B2F-B0F7-4F3A-BB31-D3171C3408A4}"/>
    <hyperlink ref="C6" r:id="rId5" xr:uid="{F553B15D-37D4-4E09-BCE8-805D9ED11BD8}"/>
    <hyperlink ref="C7" r:id="rId6" xr:uid="{1BC6045D-3199-4848-8832-ECA83CFC2517}"/>
    <hyperlink ref="C8" r:id="rId7" xr:uid="{A98F7632-2FD6-420C-9413-79C091940E94}"/>
    <hyperlink ref="C9" r:id="rId8" xr:uid="{C80F0603-45A5-40B2-9122-7FD55C04148C}"/>
    <hyperlink ref="C10" r:id="rId9" xr:uid="{88789122-C33B-4AA6-822D-E0E59E90F639}"/>
    <hyperlink ref="C11" r:id="rId10" xr:uid="{41CE6DE7-E273-492A-98D2-CF92D69FAE7F}"/>
    <hyperlink ref="C12" r:id="rId11" xr:uid="{2B3E3D6B-7237-4F2B-95CE-AD7BF9CC17A7}"/>
    <hyperlink ref="C13" r:id="rId12" xr:uid="{3522C75D-7591-4738-B659-1EEC06749062}"/>
    <hyperlink ref="C14" r:id="rId13" xr:uid="{1AC89A6D-A4AA-43B4-9755-5BDAA286316E}"/>
    <hyperlink ref="C15" r:id="rId14" xr:uid="{511138C8-3D8E-42A3-90A8-B7EF4A605D0F}"/>
    <hyperlink ref="C16" r:id="rId15" xr:uid="{F1C226E4-4F0E-45FA-8CEC-C3D4E120FA1D}"/>
    <hyperlink ref="C17" r:id="rId16" xr:uid="{0BE994CB-78D1-4EC6-97D0-D253CBC740C3}"/>
    <hyperlink ref="C18" r:id="rId17" xr:uid="{B4335F83-9078-4DE9-AF09-AB5BA4D3CD3E}"/>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208E0-3A68-4AA3-8305-1B42539D892E}">
  <dimension ref="A1:AC18"/>
  <sheetViews>
    <sheetView topLeftCell="J4" workbookViewId="0">
      <selection activeCell="O1" sqref="O1:AC1"/>
    </sheetView>
  </sheetViews>
  <sheetFormatPr defaultRowHeight="13.2" x14ac:dyDescent="0.25"/>
  <cols>
    <col min="1" max="1" width="12.109375" bestFit="1" customWidth="1"/>
    <col min="2" max="2" width="15.33203125" customWidth="1"/>
    <col min="3" max="3" width="34.109375" bestFit="1" customWidth="1"/>
    <col min="5" max="5" width="11.21875" bestFit="1" customWidth="1"/>
    <col min="6" max="6" width="11.44140625" bestFit="1" customWidth="1"/>
    <col min="7" max="7" width="17.77734375" bestFit="1" customWidth="1"/>
    <col min="9" max="9" width="17.21875" bestFit="1" customWidth="1"/>
    <col min="10" max="13" width="11.44140625" bestFit="1" customWidth="1"/>
    <col min="14" max="14" width="14.5546875" bestFit="1" customWidth="1"/>
    <col min="15" max="15" width="125.44140625" bestFit="1" customWidth="1"/>
  </cols>
  <sheetData>
    <row r="1" spans="1:29" ht="27.6" x14ac:dyDescent="0.25">
      <c r="A1" s="35" t="s">
        <v>0</v>
      </c>
      <c r="B1" s="35" t="s">
        <v>1</v>
      </c>
      <c r="C1" s="35" t="s">
        <v>2</v>
      </c>
      <c r="D1" s="58" t="s">
        <v>3</v>
      </c>
      <c r="E1" s="35" t="s">
        <v>4</v>
      </c>
      <c r="F1" s="35" t="s">
        <v>5</v>
      </c>
      <c r="G1" s="35" t="s">
        <v>6</v>
      </c>
      <c r="H1" s="35" t="s">
        <v>7</v>
      </c>
      <c r="I1" s="58" t="s">
        <v>8</v>
      </c>
      <c r="J1" s="35" t="s">
        <v>9</v>
      </c>
      <c r="K1" s="35" t="s">
        <v>10</v>
      </c>
      <c r="L1" s="35" t="s">
        <v>126</v>
      </c>
      <c r="M1" s="35" t="s">
        <v>127</v>
      </c>
      <c r="N1" s="35"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38">
        <v>9977224565</v>
      </c>
      <c r="B2" s="56" t="s">
        <v>374</v>
      </c>
      <c r="C2" s="43" t="s">
        <v>376</v>
      </c>
      <c r="D2" s="56" t="s">
        <v>375</v>
      </c>
      <c r="E2" s="56" t="s">
        <v>234</v>
      </c>
      <c r="F2" s="56" t="s">
        <v>377</v>
      </c>
      <c r="G2" s="56" t="s">
        <v>367</v>
      </c>
      <c r="H2" s="56" t="s">
        <v>73</v>
      </c>
      <c r="I2" s="56" t="s">
        <v>74</v>
      </c>
      <c r="J2" s="56"/>
      <c r="K2" s="56"/>
      <c r="L2" s="56"/>
      <c r="M2" s="56"/>
      <c r="N2" s="56" t="s">
        <v>16</v>
      </c>
      <c r="O2" s="85" t="s">
        <v>76</v>
      </c>
      <c r="P2" s="78" t="s">
        <v>70</v>
      </c>
      <c r="Q2" s="79">
        <v>0</v>
      </c>
      <c r="R2" s="79">
        <v>0</v>
      </c>
      <c r="S2" s="79">
        <v>0</v>
      </c>
      <c r="T2" s="79">
        <v>0</v>
      </c>
      <c r="U2" s="79">
        <v>0</v>
      </c>
      <c r="V2" s="79">
        <v>0</v>
      </c>
      <c r="W2" s="79">
        <v>0</v>
      </c>
      <c r="X2" s="79">
        <v>0</v>
      </c>
      <c r="Y2" s="79">
        <v>0</v>
      </c>
      <c r="Z2" s="79">
        <v>0</v>
      </c>
      <c r="AA2" s="79">
        <v>0</v>
      </c>
      <c r="AB2" s="79">
        <v>0</v>
      </c>
      <c r="AC2" s="79">
        <v>0</v>
      </c>
    </row>
    <row r="3" spans="1:29" ht="19.95" customHeight="1" x14ac:dyDescent="0.25">
      <c r="A3" s="38">
        <v>9977224565</v>
      </c>
      <c r="B3" s="56" t="s">
        <v>374</v>
      </c>
      <c r="C3" s="43" t="s">
        <v>376</v>
      </c>
      <c r="D3" s="56" t="s">
        <v>375</v>
      </c>
      <c r="E3" s="56" t="s">
        <v>234</v>
      </c>
      <c r="F3" s="56" t="s">
        <v>377</v>
      </c>
      <c r="G3" s="56" t="s">
        <v>367</v>
      </c>
      <c r="H3" s="56" t="s">
        <v>73</v>
      </c>
      <c r="I3" s="56" t="s">
        <v>74</v>
      </c>
      <c r="J3" s="56"/>
      <c r="K3" s="56"/>
      <c r="L3" s="56"/>
      <c r="M3" s="56"/>
      <c r="N3" s="56" t="s">
        <v>16</v>
      </c>
      <c r="O3" s="85" t="s">
        <v>357</v>
      </c>
      <c r="P3" s="78" t="s">
        <v>71</v>
      </c>
      <c r="Q3" s="79">
        <v>0</v>
      </c>
      <c r="R3" s="79">
        <v>0</v>
      </c>
      <c r="S3" s="79">
        <v>0</v>
      </c>
      <c r="T3" s="79">
        <v>0</v>
      </c>
      <c r="U3" s="79">
        <v>0</v>
      </c>
      <c r="V3" s="79">
        <v>0</v>
      </c>
      <c r="W3" s="79">
        <v>0</v>
      </c>
      <c r="X3" s="79">
        <v>0</v>
      </c>
      <c r="Y3" s="79">
        <v>0</v>
      </c>
      <c r="Z3" s="79">
        <v>0</v>
      </c>
      <c r="AA3" s="79">
        <v>0</v>
      </c>
      <c r="AB3" s="79">
        <v>0</v>
      </c>
      <c r="AC3" s="79">
        <v>0</v>
      </c>
    </row>
    <row r="4" spans="1:29" ht="19.95" customHeight="1" x14ac:dyDescent="0.25">
      <c r="A4" s="38">
        <v>9977224565</v>
      </c>
      <c r="B4" s="56" t="s">
        <v>374</v>
      </c>
      <c r="C4" s="43" t="s">
        <v>376</v>
      </c>
      <c r="D4" s="56" t="s">
        <v>375</v>
      </c>
      <c r="E4" s="56" t="s">
        <v>234</v>
      </c>
      <c r="F4" s="56" t="s">
        <v>377</v>
      </c>
      <c r="G4" s="56" t="s">
        <v>367</v>
      </c>
      <c r="H4" s="56" t="s">
        <v>73</v>
      </c>
      <c r="I4" s="56" t="s">
        <v>74</v>
      </c>
      <c r="J4" s="56"/>
      <c r="K4" s="56"/>
      <c r="L4" s="56"/>
      <c r="M4" s="56"/>
      <c r="N4" s="56" t="s">
        <v>16</v>
      </c>
      <c r="O4" s="85" t="s">
        <v>77</v>
      </c>
      <c r="P4" s="78" t="s">
        <v>70</v>
      </c>
      <c r="Q4" s="79">
        <v>4900</v>
      </c>
      <c r="R4" s="27">
        <v>100</v>
      </c>
      <c r="S4" s="27">
        <v>100</v>
      </c>
      <c r="T4" s="27">
        <v>100</v>
      </c>
      <c r="U4" s="27">
        <v>300</v>
      </c>
      <c r="V4" s="27">
        <v>300</v>
      </c>
      <c r="W4" s="27">
        <v>300</v>
      </c>
      <c r="X4" s="27">
        <v>500</v>
      </c>
      <c r="Y4" s="27">
        <v>1000</v>
      </c>
      <c r="Z4" s="27">
        <v>1000</v>
      </c>
      <c r="AA4" s="27">
        <v>300</v>
      </c>
      <c r="AB4" s="27">
        <v>300</v>
      </c>
      <c r="AC4" s="27">
        <v>600</v>
      </c>
    </row>
    <row r="5" spans="1:29" ht="19.95" customHeight="1" x14ac:dyDescent="0.25">
      <c r="A5" s="38">
        <v>9977224565</v>
      </c>
      <c r="B5" s="56" t="s">
        <v>374</v>
      </c>
      <c r="C5" s="43" t="s">
        <v>376</v>
      </c>
      <c r="D5" s="56" t="s">
        <v>375</v>
      </c>
      <c r="E5" s="56" t="s">
        <v>234</v>
      </c>
      <c r="F5" s="56" t="s">
        <v>377</v>
      </c>
      <c r="G5" s="56" t="s">
        <v>367</v>
      </c>
      <c r="H5" s="56" t="s">
        <v>73</v>
      </c>
      <c r="I5" s="56" t="s">
        <v>74</v>
      </c>
      <c r="J5" s="56"/>
      <c r="K5" s="56"/>
      <c r="L5" s="56"/>
      <c r="M5" s="56"/>
      <c r="N5" s="56" t="s">
        <v>16</v>
      </c>
      <c r="O5" s="85" t="s">
        <v>357</v>
      </c>
      <c r="P5" s="78" t="s">
        <v>71</v>
      </c>
      <c r="Q5" s="79">
        <v>11</v>
      </c>
      <c r="R5" s="80">
        <v>0.39734142464961708</v>
      </c>
      <c r="S5" s="80">
        <v>0.39734142464961708</v>
      </c>
      <c r="T5" s="80">
        <v>0.39734142464961708</v>
      </c>
      <c r="U5" s="80">
        <v>0.47680970957954055</v>
      </c>
      <c r="V5" s="80">
        <v>0.47680970957954055</v>
      </c>
      <c r="W5" s="80">
        <v>0.47680970957954055</v>
      </c>
      <c r="X5" s="80">
        <v>0.95361941915908111</v>
      </c>
      <c r="Y5" s="80">
        <v>2.2251119780378561</v>
      </c>
      <c r="Z5" s="80">
        <v>2.2251119780378561</v>
      </c>
      <c r="AA5" s="80">
        <v>0.87415113422915769</v>
      </c>
      <c r="AB5" s="80">
        <v>0.87415113422915769</v>
      </c>
      <c r="AC5" s="80">
        <v>1.2714925588787749</v>
      </c>
    </row>
    <row r="6" spans="1:29" ht="19.95" customHeight="1" x14ac:dyDescent="0.25">
      <c r="A6" s="38">
        <v>9977224565</v>
      </c>
      <c r="B6" s="56" t="s">
        <v>374</v>
      </c>
      <c r="C6" s="43" t="s">
        <v>376</v>
      </c>
      <c r="D6" s="56" t="s">
        <v>375</v>
      </c>
      <c r="E6" s="56" t="s">
        <v>234</v>
      </c>
      <c r="F6" s="56" t="s">
        <v>377</v>
      </c>
      <c r="G6" s="56" t="s">
        <v>367</v>
      </c>
      <c r="H6" s="56" t="s">
        <v>73</v>
      </c>
      <c r="I6" s="56" t="s">
        <v>74</v>
      </c>
      <c r="J6" s="56"/>
      <c r="K6" s="56"/>
      <c r="L6" s="56"/>
      <c r="M6" s="56"/>
      <c r="N6" s="56" t="s">
        <v>16</v>
      </c>
      <c r="O6" s="85" t="s">
        <v>358</v>
      </c>
      <c r="P6" s="78" t="s">
        <v>18</v>
      </c>
      <c r="Q6" s="79">
        <v>10</v>
      </c>
      <c r="R6" s="27">
        <v>1</v>
      </c>
      <c r="S6" s="27">
        <v>1</v>
      </c>
      <c r="T6" s="27">
        <v>1</v>
      </c>
      <c r="U6" s="26">
        <v>1</v>
      </c>
      <c r="V6" s="26">
        <v>1</v>
      </c>
      <c r="W6" s="26">
        <v>1</v>
      </c>
      <c r="X6" s="26">
        <v>1</v>
      </c>
      <c r="Y6" s="26">
        <v>0</v>
      </c>
      <c r="Z6" s="26">
        <v>1</v>
      </c>
      <c r="AA6" s="26">
        <v>1</v>
      </c>
      <c r="AB6" s="26">
        <v>1</v>
      </c>
      <c r="AC6" s="26">
        <v>0</v>
      </c>
    </row>
    <row r="7" spans="1:29" ht="19.95" customHeight="1" x14ac:dyDescent="0.25">
      <c r="A7" s="38">
        <v>9977224565</v>
      </c>
      <c r="B7" s="56" t="s">
        <v>374</v>
      </c>
      <c r="C7" s="43" t="s">
        <v>376</v>
      </c>
      <c r="D7" s="56" t="s">
        <v>375</v>
      </c>
      <c r="E7" s="56" t="s">
        <v>234</v>
      </c>
      <c r="F7" s="56" t="s">
        <v>377</v>
      </c>
      <c r="G7" s="56" t="s">
        <v>367</v>
      </c>
      <c r="H7" s="56" t="s">
        <v>73</v>
      </c>
      <c r="I7" s="56" t="s">
        <v>74</v>
      </c>
      <c r="J7" s="56"/>
      <c r="K7" s="56"/>
      <c r="L7" s="56"/>
      <c r="M7" s="56"/>
      <c r="N7" s="56" t="s">
        <v>16</v>
      </c>
      <c r="O7" s="85" t="s">
        <v>359</v>
      </c>
      <c r="P7" s="78" t="s">
        <v>18</v>
      </c>
      <c r="Q7" s="79">
        <v>10</v>
      </c>
      <c r="R7" s="27">
        <v>1</v>
      </c>
      <c r="S7" s="27">
        <v>1</v>
      </c>
      <c r="T7" s="27">
        <v>1</v>
      </c>
      <c r="U7" s="26">
        <v>1</v>
      </c>
      <c r="V7" s="26">
        <v>1</v>
      </c>
      <c r="W7" s="26">
        <v>1</v>
      </c>
      <c r="X7" s="26">
        <v>1</v>
      </c>
      <c r="Y7" s="26">
        <v>0</v>
      </c>
      <c r="Z7" s="26">
        <v>1</v>
      </c>
      <c r="AA7" s="26">
        <v>1</v>
      </c>
      <c r="AB7" s="26">
        <v>1</v>
      </c>
      <c r="AC7" s="26">
        <v>0</v>
      </c>
    </row>
    <row r="8" spans="1:29" ht="19.95" customHeight="1" x14ac:dyDescent="0.25">
      <c r="A8" s="38">
        <v>9977224565</v>
      </c>
      <c r="B8" s="56" t="s">
        <v>374</v>
      </c>
      <c r="C8" s="43" t="s">
        <v>376</v>
      </c>
      <c r="D8" s="56" t="s">
        <v>375</v>
      </c>
      <c r="E8" s="56" t="s">
        <v>234</v>
      </c>
      <c r="F8" s="56" t="s">
        <v>377</v>
      </c>
      <c r="G8" s="56" t="s">
        <v>367</v>
      </c>
      <c r="H8" s="56" t="s">
        <v>73</v>
      </c>
      <c r="I8" s="56" t="s">
        <v>74</v>
      </c>
      <c r="J8" s="56"/>
      <c r="K8" s="56"/>
      <c r="L8" s="56"/>
      <c r="M8" s="56"/>
      <c r="N8" s="56" t="s">
        <v>16</v>
      </c>
      <c r="O8" s="85" t="s">
        <v>360</v>
      </c>
      <c r="P8" s="78" t="s">
        <v>18</v>
      </c>
      <c r="Q8" s="79">
        <v>5</v>
      </c>
      <c r="R8" s="79">
        <v>4</v>
      </c>
      <c r="S8" s="79">
        <v>4</v>
      </c>
      <c r="T8" s="79">
        <v>4</v>
      </c>
      <c r="U8" s="79">
        <v>4</v>
      </c>
      <c r="V8" s="79">
        <v>4</v>
      </c>
      <c r="W8" s="79">
        <v>4</v>
      </c>
      <c r="X8" s="79">
        <v>4</v>
      </c>
      <c r="Y8" s="79">
        <v>4</v>
      </c>
      <c r="Z8" s="79">
        <v>4</v>
      </c>
      <c r="AA8" s="79">
        <v>4</v>
      </c>
      <c r="AB8" s="79">
        <v>4</v>
      </c>
      <c r="AC8" s="79">
        <v>4</v>
      </c>
    </row>
    <row r="9" spans="1:29" ht="19.95" customHeight="1" x14ac:dyDescent="0.25">
      <c r="A9" s="38">
        <v>9977224565</v>
      </c>
      <c r="B9" s="56" t="s">
        <v>374</v>
      </c>
      <c r="C9" s="43" t="s">
        <v>376</v>
      </c>
      <c r="D9" s="56" t="s">
        <v>375</v>
      </c>
      <c r="E9" s="56" t="s">
        <v>234</v>
      </c>
      <c r="F9" s="56" t="s">
        <v>377</v>
      </c>
      <c r="G9" s="56" t="s">
        <v>367</v>
      </c>
      <c r="H9" s="56" t="s">
        <v>73</v>
      </c>
      <c r="I9" s="56" t="s">
        <v>74</v>
      </c>
      <c r="J9" s="56"/>
      <c r="K9" s="56"/>
      <c r="L9" s="56"/>
      <c r="M9" s="56"/>
      <c r="N9" s="56" t="s">
        <v>16</v>
      </c>
      <c r="O9" s="85" t="s">
        <v>361</v>
      </c>
      <c r="P9" s="78" t="s">
        <v>18</v>
      </c>
      <c r="Q9" s="79">
        <v>6</v>
      </c>
      <c r="R9" s="27">
        <v>1</v>
      </c>
      <c r="S9" s="27">
        <v>1</v>
      </c>
      <c r="T9" s="27">
        <v>1</v>
      </c>
      <c r="U9" s="26">
        <v>0</v>
      </c>
      <c r="V9" s="26">
        <v>0</v>
      </c>
      <c r="W9" s="26">
        <v>0</v>
      </c>
      <c r="X9" s="26">
        <v>0</v>
      </c>
      <c r="Y9" s="26">
        <v>1</v>
      </c>
      <c r="Z9" s="26">
        <v>1</v>
      </c>
      <c r="AA9" s="26">
        <v>0</v>
      </c>
      <c r="AB9" s="26">
        <v>0</v>
      </c>
      <c r="AC9" s="26">
        <v>1</v>
      </c>
    </row>
    <row r="10" spans="1:29" ht="19.95" customHeight="1" x14ac:dyDescent="0.25">
      <c r="A10" s="38">
        <v>9977224565</v>
      </c>
      <c r="B10" s="56" t="s">
        <v>374</v>
      </c>
      <c r="C10" s="43" t="s">
        <v>376</v>
      </c>
      <c r="D10" s="56" t="s">
        <v>375</v>
      </c>
      <c r="E10" s="56" t="s">
        <v>234</v>
      </c>
      <c r="F10" s="56" t="s">
        <v>377</v>
      </c>
      <c r="G10" s="56" t="s">
        <v>367</v>
      </c>
      <c r="H10" s="56" t="s">
        <v>73</v>
      </c>
      <c r="I10" s="56" t="s">
        <v>74</v>
      </c>
      <c r="J10" s="56"/>
      <c r="K10" s="56"/>
      <c r="L10" s="56"/>
      <c r="M10" s="56"/>
      <c r="N10" s="56" t="s">
        <v>16</v>
      </c>
      <c r="O10" s="85" t="s">
        <v>362</v>
      </c>
      <c r="P10" s="78" t="s">
        <v>18</v>
      </c>
      <c r="Q10" s="79">
        <v>36</v>
      </c>
      <c r="R10" s="27">
        <v>3</v>
      </c>
      <c r="S10" s="27">
        <v>3</v>
      </c>
      <c r="T10" s="27">
        <v>3</v>
      </c>
      <c r="U10" s="26">
        <v>3</v>
      </c>
      <c r="V10" s="26">
        <v>3</v>
      </c>
      <c r="W10" s="26">
        <v>3</v>
      </c>
      <c r="X10" s="26">
        <v>3</v>
      </c>
      <c r="Y10" s="26">
        <v>3</v>
      </c>
      <c r="Z10" s="26">
        <v>3</v>
      </c>
      <c r="AA10" s="26">
        <v>3</v>
      </c>
      <c r="AB10" s="26">
        <v>3</v>
      </c>
      <c r="AC10" s="26">
        <v>3</v>
      </c>
    </row>
    <row r="11" spans="1:29" ht="19.95" customHeight="1" x14ac:dyDescent="0.25">
      <c r="A11" s="38">
        <v>9977224565</v>
      </c>
      <c r="B11" s="56" t="s">
        <v>374</v>
      </c>
      <c r="C11" s="43" t="s">
        <v>376</v>
      </c>
      <c r="D11" s="56" t="s">
        <v>375</v>
      </c>
      <c r="E11" s="56" t="s">
        <v>234</v>
      </c>
      <c r="F11" s="56" t="s">
        <v>377</v>
      </c>
      <c r="G11" s="56" t="s">
        <v>367</v>
      </c>
      <c r="H11" s="56" t="s">
        <v>73</v>
      </c>
      <c r="I11" s="56" t="s">
        <v>74</v>
      </c>
      <c r="J11" s="56"/>
      <c r="K11" s="56"/>
      <c r="L11" s="56"/>
      <c r="M11" s="56"/>
      <c r="N11" s="56" t="s">
        <v>16</v>
      </c>
      <c r="O11" s="85" t="s">
        <v>78</v>
      </c>
      <c r="P11" s="78" t="s">
        <v>18</v>
      </c>
      <c r="Q11" s="79">
        <v>12</v>
      </c>
      <c r="R11" s="27">
        <v>1</v>
      </c>
      <c r="S11" s="27">
        <v>1</v>
      </c>
      <c r="T11" s="27">
        <v>1</v>
      </c>
      <c r="U11" s="26">
        <v>1</v>
      </c>
      <c r="V11" s="26">
        <v>1</v>
      </c>
      <c r="W11" s="26">
        <v>1</v>
      </c>
      <c r="X11" s="26">
        <v>1</v>
      </c>
      <c r="Y11" s="26">
        <v>1</v>
      </c>
      <c r="Z11" s="26">
        <v>1</v>
      </c>
      <c r="AA11" s="26">
        <v>1</v>
      </c>
      <c r="AB11" s="26">
        <v>1</v>
      </c>
      <c r="AC11" s="26">
        <v>1</v>
      </c>
    </row>
    <row r="12" spans="1:29" ht="19.95" customHeight="1" x14ac:dyDescent="0.25">
      <c r="A12" s="38">
        <v>9977224565</v>
      </c>
      <c r="B12" s="56" t="s">
        <v>374</v>
      </c>
      <c r="C12" s="43" t="s">
        <v>376</v>
      </c>
      <c r="D12" s="56" t="s">
        <v>375</v>
      </c>
      <c r="E12" s="56" t="s">
        <v>234</v>
      </c>
      <c r="F12" s="56" t="s">
        <v>377</v>
      </c>
      <c r="G12" s="56" t="s">
        <v>367</v>
      </c>
      <c r="H12" s="56" t="s">
        <v>73</v>
      </c>
      <c r="I12" s="56" t="s">
        <v>74</v>
      </c>
      <c r="J12" s="56"/>
      <c r="K12" s="56"/>
      <c r="L12" s="56"/>
      <c r="M12" s="56"/>
      <c r="N12" s="56" t="s">
        <v>16</v>
      </c>
      <c r="O12" s="85" t="s">
        <v>79</v>
      </c>
      <c r="P12" s="78" t="s">
        <v>18</v>
      </c>
      <c r="Q12" s="79">
        <v>12</v>
      </c>
      <c r="R12" s="27">
        <v>1</v>
      </c>
      <c r="S12" s="27">
        <v>1</v>
      </c>
      <c r="T12" s="27">
        <v>1</v>
      </c>
      <c r="U12" s="27">
        <v>1</v>
      </c>
      <c r="V12" s="27">
        <v>1</v>
      </c>
      <c r="W12" s="27">
        <v>1</v>
      </c>
      <c r="X12" s="27">
        <v>1</v>
      </c>
      <c r="Y12" s="27">
        <v>1</v>
      </c>
      <c r="Z12" s="27">
        <v>1</v>
      </c>
      <c r="AA12" s="27">
        <v>1</v>
      </c>
      <c r="AB12" s="27">
        <v>1</v>
      </c>
      <c r="AC12" s="27">
        <v>1</v>
      </c>
    </row>
    <row r="13" spans="1:29" ht="19.95" customHeight="1" x14ac:dyDescent="0.25">
      <c r="A13" s="38">
        <v>9977224565</v>
      </c>
      <c r="B13" s="56" t="s">
        <v>374</v>
      </c>
      <c r="C13" s="43" t="s">
        <v>376</v>
      </c>
      <c r="D13" s="56" t="s">
        <v>375</v>
      </c>
      <c r="E13" s="56" t="s">
        <v>234</v>
      </c>
      <c r="F13" s="56" t="s">
        <v>377</v>
      </c>
      <c r="G13" s="56" t="s">
        <v>367</v>
      </c>
      <c r="H13" s="56" t="s">
        <v>73</v>
      </c>
      <c r="I13" s="56" t="s">
        <v>74</v>
      </c>
      <c r="J13" s="56"/>
      <c r="K13" s="56"/>
      <c r="L13" s="56"/>
      <c r="M13" s="56"/>
      <c r="N13" s="56" t="s">
        <v>16</v>
      </c>
      <c r="O13" s="85" t="s">
        <v>80</v>
      </c>
      <c r="P13" s="78" t="s">
        <v>18</v>
      </c>
      <c r="Q13" s="79">
        <v>7</v>
      </c>
      <c r="R13" s="27">
        <v>0</v>
      </c>
      <c r="S13" s="27">
        <v>0</v>
      </c>
      <c r="T13" s="27">
        <v>1</v>
      </c>
      <c r="U13" s="27">
        <v>1</v>
      </c>
      <c r="V13" s="27">
        <v>0</v>
      </c>
      <c r="W13" s="27">
        <v>1</v>
      </c>
      <c r="X13" s="27">
        <v>1</v>
      </c>
      <c r="Y13" s="27">
        <v>0</v>
      </c>
      <c r="Z13" s="27">
        <v>1</v>
      </c>
      <c r="AA13" s="27">
        <v>1</v>
      </c>
      <c r="AB13" s="27">
        <v>0</v>
      </c>
      <c r="AC13" s="27">
        <v>1</v>
      </c>
    </row>
    <row r="14" spans="1:29" ht="19.95" customHeight="1" x14ac:dyDescent="0.25">
      <c r="A14" s="38">
        <v>9977224565</v>
      </c>
      <c r="B14" s="56" t="s">
        <v>374</v>
      </c>
      <c r="C14" s="43" t="s">
        <v>376</v>
      </c>
      <c r="D14" s="56" t="s">
        <v>375</v>
      </c>
      <c r="E14" s="56" t="s">
        <v>234</v>
      </c>
      <c r="F14" s="56" t="s">
        <v>377</v>
      </c>
      <c r="G14" s="56" t="s">
        <v>367</v>
      </c>
      <c r="H14" s="56" t="s">
        <v>73</v>
      </c>
      <c r="I14" s="56" t="s">
        <v>74</v>
      </c>
      <c r="J14" s="56"/>
      <c r="K14" s="56"/>
      <c r="L14" s="56"/>
      <c r="M14" s="56"/>
      <c r="N14" s="56" t="s">
        <v>16</v>
      </c>
      <c r="O14" s="85" t="s">
        <v>81</v>
      </c>
      <c r="P14" s="78" t="s">
        <v>18</v>
      </c>
      <c r="Q14" s="79">
        <v>3</v>
      </c>
      <c r="R14" s="27">
        <v>0</v>
      </c>
      <c r="S14" s="27">
        <v>0</v>
      </c>
      <c r="T14" s="27">
        <v>0</v>
      </c>
      <c r="U14" s="26">
        <v>0</v>
      </c>
      <c r="V14" s="26">
        <v>0</v>
      </c>
      <c r="W14" s="26">
        <v>1</v>
      </c>
      <c r="X14" s="26">
        <v>1</v>
      </c>
      <c r="Y14" s="26">
        <v>0</v>
      </c>
      <c r="Z14" s="26">
        <v>0</v>
      </c>
      <c r="AA14" s="26">
        <v>0</v>
      </c>
      <c r="AB14" s="26">
        <v>0</v>
      </c>
      <c r="AC14" s="26">
        <v>1</v>
      </c>
    </row>
    <row r="15" spans="1:29" ht="19.95" customHeight="1" x14ac:dyDescent="0.25">
      <c r="A15" s="38">
        <v>9977224565</v>
      </c>
      <c r="B15" s="56" t="s">
        <v>374</v>
      </c>
      <c r="C15" s="43" t="s">
        <v>376</v>
      </c>
      <c r="D15" s="56" t="s">
        <v>375</v>
      </c>
      <c r="E15" s="56" t="s">
        <v>234</v>
      </c>
      <c r="F15" s="56" t="s">
        <v>377</v>
      </c>
      <c r="G15" s="56" t="s">
        <v>367</v>
      </c>
      <c r="H15" s="56" t="s">
        <v>73</v>
      </c>
      <c r="I15" s="56" t="s">
        <v>74</v>
      </c>
      <c r="J15" s="56"/>
      <c r="K15" s="56"/>
      <c r="L15" s="56"/>
      <c r="M15" s="56"/>
      <c r="N15" s="56" t="s">
        <v>16</v>
      </c>
      <c r="O15" s="85" t="s">
        <v>363</v>
      </c>
      <c r="P15" s="78" t="s">
        <v>18</v>
      </c>
      <c r="Q15" s="79">
        <v>3</v>
      </c>
      <c r="R15" s="27">
        <v>0</v>
      </c>
      <c r="S15" s="27">
        <v>0</v>
      </c>
      <c r="T15" s="27">
        <v>0</v>
      </c>
      <c r="U15" s="26">
        <v>1</v>
      </c>
      <c r="V15" s="26">
        <v>0</v>
      </c>
      <c r="W15" s="26">
        <v>0</v>
      </c>
      <c r="X15" s="26">
        <v>1</v>
      </c>
      <c r="Y15" s="26">
        <v>0</v>
      </c>
      <c r="Z15" s="26">
        <v>0</v>
      </c>
      <c r="AA15" s="26">
        <v>0</v>
      </c>
      <c r="AB15" s="26">
        <v>1</v>
      </c>
      <c r="AC15" s="26">
        <v>0</v>
      </c>
    </row>
    <row r="16" spans="1:29" ht="19.95" customHeight="1" x14ac:dyDescent="0.25">
      <c r="A16" s="38">
        <v>9977224565</v>
      </c>
      <c r="B16" s="56" t="s">
        <v>374</v>
      </c>
      <c r="C16" s="43" t="s">
        <v>376</v>
      </c>
      <c r="D16" s="56" t="s">
        <v>375</v>
      </c>
      <c r="E16" s="56" t="s">
        <v>234</v>
      </c>
      <c r="F16" s="56" t="s">
        <v>377</v>
      </c>
      <c r="G16" s="56" t="s">
        <v>367</v>
      </c>
      <c r="H16" s="56" t="s">
        <v>73</v>
      </c>
      <c r="I16" s="56" t="s">
        <v>74</v>
      </c>
      <c r="J16" s="56"/>
      <c r="K16" s="56"/>
      <c r="L16" s="56"/>
      <c r="M16" s="56"/>
      <c r="N16" s="56" t="s">
        <v>16</v>
      </c>
      <c r="O16" s="85" t="s">
        <v>364</v>
      </c>
      <c r="P16" s="78" t="s">
        <v>18</v>
      </c>
      <c r="Q16" s="79">
        <v>10</v>
      </c>
      <c r="R16" s="27">
        <v>0</v>
      </c>
      <c r="S16" s="27">
        <v>0</v>
      </c>
      <c r="T16" s="27">
        <v>0</v>
      </c>
      <c r="U16" s="26">
        <v>2</v>
      </c>
      <c r="V16" s="26">
        <v>0</v>
      </c>
      <c r="W16" s="26">
        <v>0</v>
      </c>
      <c r="X16" s="26">
        <v>2</v>
      </c>
      <c r="Y16" s="26">
        <v>2</v>
      </c>
      <c r="Z16" s="26">
        <v>2</v>
      </c>
      <c r="AA16" s="26">
        <v>0</v>
      </c>
      <c r="AB16" s="26">
        <v>2</v>
      </c>
      <c r="AC16" s="26">
        <v>0</v>
      </c>
    </row>
    <row r="17" spans="1:29" ht="19.95" customHeight="1" x14ac:dyDescent="0.25">
      <c r="A17" s="38">
        <v>9977224565</v>
      </c>
      <c r="B17" s="56" t="s">
        <v>374</v>
      </c>
      <c r="C17" s="43" t="s">
        <v>376</v>
      </c>
      <c r="D17" s="56" t="s">
        <v>375</v>
      </c>
      <c r="E17" s="56" t="s">
        <v>234</v>
      </c>
      <c r="F17" s="56" t="s">
        <v>377</v>
      </c>
      <c r="G17" s="56" t="s">
        <v>367</v>
      </c>
      <c r="H17" s="56" t="s">
        <v>73</v>
      </c>
      <c r="I17" s="56" t="s">
        <v>74</v>
      </c>
      <c r="J17" s="56"/>
      <c r="K17" s="56"/>
      <c r="L17" s="56"/>
      <c r="M17" s="56"/>
      <c r="N17" s="56" t="s">
        <v>16</v>
      </c>
      <c r="O17" s="85" t="s">
        <v>365</v>
      </c>
      <c r="P17" s="78" t="s">
        <v>18</v>
      </c>
      <c r="Q17" s="79">
        <v>12</v>
      </c>
      <c r="R17" s="27">
        <v>1</v>
      </c>
      <c r="S17" s="27">
        <v>1</v>
      </c>
      <c r="T17" s="27">
        <v>1</v>
      </c>
      <c r="U17" s="27">
        <v>1</v>
      </c>
      <c r="V17" s="27">
        <v>1</v>
      </c>
      <c r="W17" s="27">
        <v>1</v>
      </c>
      <c r="X17" s="27">
        <v>1</v>
      </c>
      <c r="Y17" s="27">
        <v>1</v>
      </c>
      <c r="Z17" s="27">
        <v>1</v>
      </c>
      <c r="AA17" s="27">
        <v>1</v>
      </c>
      <c r="AB17" s="27">
        <v>1</v>
      </c>
      <c r="AC17" s="27">
        <v>1</v>
      </c>
    </row>
    <row r="18" spans="1:29" ht="19.95" customHeight="1" x14ac:dyDescent="0.25">
      <c r="A18" s="38">
        <v>9977224565</v>
      </c>
      <c r="B18" s="56" t="s">
        <v>374</v>
      </c>
      <c r="C18" s="43" t="s">
        <v>376</v>
      </c>
      <c r="D18" s="56" t="s">
        <v>375</v>
      </c>
      <c r="E18" s="56" t="s">
        <v>234</v>
      </c>
      <c r="F18" s="56" t="s">
        <v>377</v>
      </c>
      <c r="G18" s="56" t="s">
        <v>367</v>
      </c>
      <c r="H18" s="56" t="s">
        <v>73</v>
      </c>
      <c r="I18" s="56" t="s">
        <v>74</v>
      </c>
      <c r="J18" s="56"/>
      <c r="K18" s="56"/>
      <c r="L18" s="56"/>
      <c r="M18" s="56"/>
      <c r="N18" s="56" t="s">
        <v>16</v>
      </c>
      <c r="O18" s="85" t="s">
        <v>366</v>
      </c>
      <c r="P18" s="78" t="s">
        <v>18</v>
      </c>
      <c r="Q18" s="79">
        <v>12</v>
      </c>
      <c r="R18" s="27">
        <v>1</v>
      </c>
      <c r="S18" s="27">
        <v>1</v>
      </c>
      <c r="T18" s="27">
        <v>1</v>
      </c>
      <c r="U18" s="27">
        <v>1</v>
      </c>
      <c r="V18" s="27">
        <v>1</v>
      </c>
      <c r="W18" s="27">
        <v>1</v>
      </c>
      <c r="X18" s="27">
        <v>1</v>
      </c>
      <c r="Y18" s="27">
        <v>1</v>
      </c>
      <c r="Z18" s="27">
        <v>1</v>
      </c>
      <c r="AA18" s="27">
        <v>1</v>
      </c>
      <c r="AB18" s="27">
        <v>1</v>
      </c>
      <c r="AC18" s="27">
        <v>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9016C-01E6-4FA3-9E86-0820E9CD93E6}">
  <dimension ref="A1:AC18"/>
  <sheetViews>
    <sheetView topLeftCell="J1" workbookViewId="0">
      <selection activeCell="M5" sqref="M5"/>
    </sheetView>
  </sheetViews>
  <sheetFormatPr defaultRowHeight="13.2" x14ac:dyDescent="0.25"/>
  <cols>
    <col min="1" max="1" width="12.109375" bestFit="1" customWidth="1"/>
    <col min="2" max="2" width="16.109375" bestFit="1" customWidth="1"/>
    <col min="3" max="3" width="34.109375" bestFit="1" customWidth="1"/>
    <col min="5" max="5" width="8.5546875" bestFit="1" customWidth="1"/>
    <col min="6" max="6" width="11.44140625" bestFit="1" customWidth="1"/>
    <col min="7" max="7" width="17.77734375" bestFit="1" customWidth="1"/>
    <col min="9" max="9" width="17.21875" bestFit="1" customWidth="1"/>
    <col min="10" max="13" width="11.44140625" bestFit="1" customWidth="1"/>
    <col min="14" max="14" width="14.5546875" bestFit="1" customWidth="1"/>
    <col min="15" max="15" width="125.44140625" bestFit="1" customWidth="1"/>
  </cols>
  <sheetData>
    <row r="1" spans="1:29" ht="27.6" x14ac:dyDescent="0.25">
      <c r="A1" s="59" t="s">
        <v>0</v>
      </c>
      <c r="B1" s="59" t="s">
        <v>1</v>
      </c>
      <c r="C1" s="59" t="s">
        <v>2</v>
      </c>
      <c r="D1" s="60" t="s">
        <v>3</v>
      </c>
      <c r="E1" s="59" t="s">
        <v>4</v>
      </c>
      <c r="F1" s="59" t="s">
        <v>5</v>
      </c>
      <c r="G1" s="59" t="s">
        <v>6</v>
      </c>
      <c r="H1" s="59" t="s">
        <v>7</v>
      </c>
      <c r="I1" s="60" t="s">
        <v>8</v>
      </c>
      <c r="J1" s="59" t="s">
        <v>9</v>
      </c>
      <c r="K1" s="59" t="s">
        <v>10</v>
      </c>
      <c r="L1" s="59" t="s">
        <v>126</v>
      </c>
      <c r="M1" s="59" t="s">
        <v>127</v>
      </c>
      <c r="N1" s="59"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88">
        <v>9993453630</v>
      </c>
      <c r="B2" s="56" t="s">
        <v>378</v>
      </c>
      <c r="C2" s="10" t="s">
        <v>379</v>
      </c>
      <c r="D2" s="56" t="s">
        <v>380</v>
      </c>
      <c r="E2" s="56" t="s">
        <v>234</v>
      </c>
      <c r="F2" s="56"/>
      <c r="G2" s="56" t="s">
        <v>367</v>
      </c>
      <c r="H2" s="56" t="s">
        <v>73</v>
      </c>
      <c r="I2" s="56" t="s">
        <v>74</v>
      </c>
      <c r="J2" s="56"/>
      <c r="K2" s="56"/>
      <c r="L2" s="56"/>
      <c r="M2" s="56"/>
      <c r="N2" s="56" t="s">
        <v>16</v>
      </c>
      <c r="O2" s="86" t="s">
        <v>76</v>
      </c>
      <c r="P2" s="77" t="s">
        <v>70</v>
      </c>
      <c r="Q2" s="89">
        <v>1000</v>
      </c>
      <c r="R2" s="74">
        <v>192.30769230769232</v>
      </c>
      <c r="S2" s="74">
        <v>192.30769230769232</v>
      </c>
      <c r="T2" s="74">
        <v>192.30769230769232</v>
      </c>
      <c r="U2" s="74">
        <v>128.2051282051282</v>
      </c>
      <c r="V2" s="74">
        <v>0</v>
      </c>
      <c r="W2" s="74">
        <v>0</v>
      </c>
      <c r="X2" s="74">
        <v>0</v>
      </c>
      <c r="Y2" s="74">
        <v>64.102564102564102</v>
      </c>
      <c r="Z2" s="74">
        <v>64.102564102564102</v>
      </c>
      <c r="AA2" s="74">
        <v>38.461538461538467</v>
      </c>
      <c r="AB2" s="74">
        <v>64.102564102564102</v>
      </c>
      <c r="AC2" s="74">
        <v>64.102564102564102</v>
      </c>
    </row>
    <row r="3" spans="1:29" ht="19.95" customHeight="1" x14ac:dyDescent="0.25">
      <c r="A3" s="88">
        <v>9993453630</v>
      </c>
      <c r="B3" s="56" t="s">
        <v>378</v>
      </c>
      <c r="C3" s="10" t="s">
        <v>379</v>
      </c>
      <c r="D3" s="56" t="s">
        <v>380</v>
      </c>
      <c r="E3" s="56" t="s">
        <v>234</v>
      </c>
      <c r="F3" s="56"/>
      <c r="G3" s="56" t="s">
        <v>367</v>
      </c>
      <c r="H3" s="56" t="s">
        <v>73</v>
      </c>
      <c r="I3" s="56" t="s">
        <v>74</v>
      </c>
      <c r="J3" s="56"/>
      <c r="K3" s="56"/>
      <c r="L3" s="56"/>
      <c r="M3" s="56"/>
      <c r="N3" s="56" t="s">
        <v>16</v>
      </c>
      <c r="O3" s="86" t="s">
        <v>357</v>
      </c>
      <c r="P3" s="77" t="s">
        <v>71</v>
      </c>
      <c r="Q3" s="89">
        <v>2.8</v>
      </c>
      <c r="R3" s="76">
        <v>0.45</v>
      </c>
      <c r="S3" s="76">
        <v>0.45</v>
      </c>
      <c r="T3" s="76">
        <v>0.45</v>
      </c>
      <c r="U3" s="76">
        <v>0.3</v>
      </c>
      <c r="V3" s="76">
        <v>0</v>
      </c>
      <c r="W3" s="76">
        <v>0</v>
      </c>
      <c r="X3" s="76">
        <v>0</v>
      </c>
      <c r="Y3" s="76">
        <v>0.19999999999999998</v>
      </c>
      <c r="Z3" s="76">
        <v>0.19999999999999998</v>
      </c>
      <c r="AA3" s="76">
        <v>0.11000000000000001</v>
      </c>
      <c r="AB3" s="76">
        <v>0.39999999999999997</v>
      </c>
      <c r="AC3" s="76">
        <v>0.3</v>
      </c>
    </row>
    <row r="4" spans="1:29" ht="19.95" customHeight="1" x14ac:dyDescent="0.25">
      <c r="A4" s="88">
        <v>9993453630</v>
      </c>
      <c r="B4" s="56" t="s">
        <v>378</v>
      </c>
      <c r="C4" s="10" t="s">
        <v>379</v>
      </c>
      <c r="D4" s="56" t="s">
        <v>380</v>
      </c>
      <c r="E4" s="56" t="s">
        <v>234</v>
      </c>
      <c r="F4" s="56"/>
      <c r="G4" s="56" t="s">
        <v>367</v>
      </c>
      <c r="H4" s="56" t="s">
        <v>73</v>
      </c>
      <c r="I4" s="56" t="s">
        <v>74</v>
      </c>
      <c r="J4" s="56"/>
      <c r="K4" s="56"/>
      <c r="L4" s="56"/>
      <c r="M4" s="56"/>
      <c r="N4" s="56" t="s">
        <v>16</v>
      </c>
      <c r="O4" s="86" t="s">
        <v>77</v>
      </c>
      <c r="P4" s="77" t="s">
        <v>70</v>
      </c>
      <c r="Q4" s="89">
        <v>3000</v>
      </c>
      <c r="R4" s="74">
        <v>130</v>
      </c>
      <c r="S4" s="74">
        <v>130</v>
      </c>
      <c r="T4" s="74">
        <v>130</v>
      </c>
      <c r="U4" s="74">
        <v>160</v>
      </c>
      <c r="V4" s="74">
        <v>160</v>
      </c>
      <c r="W4" s="74">
        <v>160</v>
      </c>
      <c r="X4" s="74">
        <v>385</v>
      </c>
      <c r="Y4" s="74">
        <v>385</v>
      </c>
      <c r="Z4" s="74">
        <v>385</v>
      </c>
      <c r="AA4" s="74">
        <v>285</v>
      </c>
      <c r="AB4" s="74">
        <v>285</v>
      </c>
      <c r="AC4" s="74">
        <v>400</v>
      </c>
    </row>
    <row r="5" spans="1:29" ht="19.95" customHeight="1" x14ac:dyDescent="0.25">
      <c r="A5" s="88">
        <v>9993453630</v>
      </c>
      <c r="B5" s="56" t="s">
        <v>378</v>
      </c>
      <c r="C5" s="10" t="s">
        <v>379</v>
      </c>
      <c r="D5" s="56" t="s">
        <v>380</v>
      </c>
      <c r="E5" s="56" t="s">
        <v>234</v>
      </c>
      <c r="F5" s="56"/>
      <c r="G5" s="56" t="s">
        <v>367</v>
      </c>
      <c r="H5" s="56" t="s">
        <v>73</v>
      </c>
      <c r="I5" s="56" t="s">
        <v>74</v>
      </c>
      <c r="J5" s="56"/>
      <c r="K5" s="56"/>
      <c r="L5" s="56"/>
      <c r="M5" s="56"/>
      <c r="N5" s="56" t="s">
        <v>16</v>
      </c>
      <c r="O5" s="86" t="s">
        <v>357</v>
      </c>
      <c r="P5" s="77" t="s">
        <v>71</v>
      </c>
      <c r="Q5" s="74">
        <v>10</v>
      </c>
      <c r="R5" s="76">
        <v>0.36121947695419737</v>
      </c>
      <c r="S5" s="76">
        <v>0.36121947695419737</v>
      </c>
      <c r="T5" s="76">
        <v>0.36121947695419737</v>
      </c>
      <c r="U5" s="76">
        <v>0.43346337234503685</v>
      </c>
      <c r="V5" s="76">
        <v>0.43346337234503685</v>
      </c>
      <c r="W5" s="76">
        <v>0.43346337234503685</v>
      </c>
      <c r="X5" s="76">
        <v>0.86692674469007369</v>
      </c>
      <c r="Y5" s="76">
        <v>2.0228290709435055</v>
      </c>
      <c r="Z5" s="76">
        <v>2.0228290709435055</v>
      </c>
      <c r="AA5" s="76">
        <v>0.79468284929923427</v>
      </c>
      <c r="AB5" s="76">
        <v>0.79468284929923427</v>
      </c>
      <c r="AC5" s="76">
        <v>1.1559023262534316</v>
      </c>
    </row>
    <row r="6" spans="1:29" ht="19.95" customHeight="1" x14ac:dyDescent="0.25">
      <c r="A6" s="88">
        <v>9993453630</v>
      </c>
      <c r="B6" s="56" t="s">
        <v>378</v>
      </c>
      <c r="C6" s="10" t="s">
        <v>379</v>
      </c>
      <c r="D6" s="56" t="s">
        <v>380</v>
      </c>
      <c r="E6" s="56" t="s">
        <v>234</v>
      </c>
      <c r="F6" s="56"/>
      <c r="G6" s="56" t="s">
        <v>367</v>
      </c>
      <c r="H6" s="56" t="s">
        <v>73</v>
      </c>
      <c r="I6" s="56" t="s">
        <v>74</v>
      </c>
      <c r="J6" s="56"/>
      <c r="K6" s="56"/>
      <c r="L6" s="56"/>
      <c r="M6" s="56"/>
      <c r="N6" s="56" t="s">
        <v>16</v>
      </c>
      <c r="O6" s="86" t="s">
        <v>358</v>
      </c>
      <c r="P6" s="77" t="s">
        <v>18</v>
      </c>
      <c r="Q6" s="74">
        <v>10</v>
      </c>
      <c r="R6" s="75">
        <v>1</v>
      </c>
      <c r="S6" s="75">
        <v>1</v>
      </c>
      <c r="T6" s="75">
        <v>1</v>
      </c>
      <c r="U6" s="20">
        <v>1</v>
      </c>
      <c r="V6" s="20">
        <v>1</v>
      </c>
      <c r="W6" s="20">
        <v>1</v>
      </c>
      <c r="X6" s="20">
        <v>1</v>
      </c>
      <c r="Y6" s="20">
        <v>0</v>
      </c>
      <c r="Z6" s="20">
        <v>1</v>
      </c>
      <c r="AA6" s="20">
        <v>1</v>
      </c>
      <c r="AB6" s="20">
        <v>1</v>
      </c>
      <c r="AC6" s="20">
        <v>0</v>
      </c>
    </row>
    <row r="7" spans="1:29" ht="19.95" customHeight="1" x14ac:dyDescent="0.25">
      <c r="A7" s="88">
        <v>9993453630</v>
      </c>
      <c r="B7" s="56" t="s">
        <v>378</v>
      </c>
      <c r="C7" s="10" t="s">
        <v>379</v>
      </c>
      <c r="D7" s="56" t="s">
        <v>380</v>
      </c>
      <c r="E7" s="56" t="s">
        <v>234</v>
      </c>
      <c r="F7" s="56"/>
      <c r="G7" s="56" t="s">
        <v>367</v>
      </c>
      <c r="H7" s="56" t="s">
        <v>73</v>
      </c>
      <c r="I7" s="56" t="s">
        <v>74</v>
      </c>
      <c r="J7" s="56"/>
      <c r="K7" s="56"/>
      <c r="L7" s="56"/>
      <c r="M7" s="56"/>
      <c r="N7" s="56" t="s">
        <v>16</v>
      </c>
      <c r="O7" s="86" t="s">
        <v>359</v>
      </c>
      <c r="P7" s="77" t="s">
        <v>18</v>
      </c>
      <c r="Q7" s="74">
        <v>10</v>
      </c>
      <c r="R7" s="75">
        <v>1</v>
      </c>
      <c r="S7" s="75">
        <v>1</v>
      </c>
      <c r="T7" s="75">
        <v>1</v>
      </c>
      <c r="U7" s="20">
        <v>1</v>
      </c>
      <c r="V7" s="20">
        <v>1</v>
      </c>
      <c r="W7" s="20">
        <v>1</v>
      </c>
      <c r="X7" s="20">
        <v>1</v>
      </c>
      <c r="Y7" s="20">
        <v>0</v>
      </c>
      <c r="Z7" s="20">
        <v>1</v>
      </c>
      <c r="AA7" s="20">
        <v>1</v>
      </c>
      <c r="AB7" s="20">
        <v>1</v>
      </c>
      <c r="AC7" s="20">
        <v>0</v>
      </c>
    </row>
    <row r="8" spans="1:29" ht="19.95" customHeight="1" x14ac:dyDescent="0.25">
      <c r="A8" s="88">
        <v>9993453630</v>
      </c>
      <c r="B8" s="56" t="s">
        <v>378</v>
      </c>
      <c r="C8" s="10" t="s">
        <v>379</v>
      </c>
      <c r="D8" s="56" t="s">
        <v>380</v>
      </c>
      <c r="E8" s="56" t="s">
        <v>234</v>
      </c>
      <c r="F8" s="56"/>
      <c r="G8" s="56" t="s">
        <v>367</v>
      </c>
      <c r="H8" s="56" t="s">
        <v>73</v>
      </c>
      <c r="I8" s="56" t="s">
        <v>74</v>
      </c>
      <c r="J8" s="56"/>
      <c r="K8" s="56"/>
      <c r="L8" s="56"/>
      <c r="M8" s="56"/>
      <c r="N8" s="56" t="s">
        <v>16</v>
      </c>
      <c r="O8" s="86" t="s">
        <v>360</v>
      </c>
      <c r="P8" s="77" t="s">
        <v>18</v>
      </c>
      <c r="Q8" s="74">
        <v>3</v>
      </c>
      <c r="R8" s="74">
        <v>3</v>
      </c>
      <c r="S8" s="74">
        <v>3</v>
      </c>
      <c r="T8" s="74">
        <v>3</v>
      </c>
      <c r="U8" s="74">
        <v>3</v>
      </c>
      <c r="V8" s="74">
        <v>3</v>
      </c>
      <c r="W8" s="74">
        <v>3</v>
      </c>
      <c r="X8" s="74">
        <v>3</v>
      </c>
      <c r="Y8" s="74">
        <v>3</v>
      </c>
      <c r="Z8" s="74">
        <v>3</v>
      </c>
      <c r="AA8" s="74">
        <v>3</v>
      </c>
      <c r="AB8" s="74">
        <v>3</v>
      </c>
      <c r="AC8" s="74">
        <v>3</v>
      </c>
    </row>
    <row r="9" spans="1:29" ht="19.95" customHeight="1" x14ac:dyDescent="0.25">
      <c r="A9" s="88">
        <v>9993453630</v>
      </c>
      <c r="B9" s="56" t="s">
        <v>378</v>
      </c>
      <c r="C9" s="10" t="s">
        <v>379</v>
      </c>
      <c r="D9" s="56" t="s">
        <v>380</v>
      </c>
      <c r="E9" s="56" t="s">
        <v>234</v>
      </c>
      <c r="F9" s="56"/>
      <c r="G9" s="56" t="s">
        <v>367</v>
      </c>
      <c r="H9" s="56" t="s">
        <v>73</v>
      </c>
      <c r="I9" s="56" t="s">
        <v>74</v>
      </c>
      <c r="J9" s="56"/>
      <c r="K9" s="56"/>
      <c r="L9" s="56"/>
      <c r="M9" s="56"/>
      <c r="N9" s="56" t="s">
        <v>16</v>
      </c>
      <c r="O9" s="86" t="s">
        <v>361</v>
      </c>
      <c r="P9" s="77" t="s">
        <v>18</v>
      </c>
      <c r="Q9" s="74">
        <v>6</v>
      </c>
      <c r="R9" s="75">
        <v>1</v>
      </c>
      <c r="S9" s="75">
        <v>1</v>
      </c>
      <c r="T9" s="75">
        <v>1</v>
      </c>
      <c r="U9" s="20">
        <v>0</v>
      </c>
      <c r="V9" s="20">
        <v>0</v>
      </c>
      <c r="W9" s="20">
        <v>0</v>
      </c>
      <c r="X9" s="20">
        <v>0</v>
      </c>
      <c r="Y9" s="20">
        <v>1</v>
      </c>
      <c r="Z9" s="20">
        <v>1</v>
      </c>
      <c r="AA9" s="20">
        <v>0</v>
      </c>
      <c r="AB9" s="20">
        <v>0</v>
      </c>
      <c r="AC9" s="20">
        <v>1</v>
      </c>
    </row>
    <row r="10" spans="1:29" ht="19.95" customHeight="1" x14ac:dyDescent="0.25">
      <c r="A10" s="88">
        <v>9993453630</v>
      </c>
      <c r="B10" s="56" t="s">
        <v>378</v>
      </c>
      <c r="C10" s="10" t="s">
        <v>379</v>
      </c>
      <c r="D10" s="56" t="s">
        <v>380</v>
      </c>
      <c r="E10" s="56" t="s">
        <v>234</v>
      </c>
      <c r="F10" s="56"/>
      <c r="G10" s="56" t="s">
        <v>367</v>
      </c>
      <c r="H10" s="56" t="s">
        <v>73</v>
      </c>
      <c r="I10" s="56" t="s">
        <v>74</v>
      </c>
      <c r="J10" s="56"/>
      <c r="K10" s="56"/>
      <c r="L10" s="56"/>
      <c r="M10" s="56"/>
      <c r="N10" s="56" t="s">
        <v>16</v>
      </c>
      <c r="O10" s="86" t="s">
        <v>362</v>
      </c>
      <c r="P10" s="77" t="s">
        <v>18</v>
      </c>
      <c r="Q10" s="74">
        <v>36</v>
      </c>
      <c r="R10" s="75">
        <v>3</v>
      </c>
      <c r="S10" s="75">
        <v>3</v>
      </c>
      <c r="T10" s="75">
        <v>3</v>
      </c>
      <c r="U10" s="20">
        <v>3</v>
      </c>
      <c r="V10" s="20">
        <v>3</v>
      </c>
      <c r="W10" s="20">
        <v>3</v>
      </c>
      <c r="X10" s="20">
        <v>3</v>
      </c>
      <c r="Y10" s="20">
        <v>3</v>
      </c>
      <c r="Z10" s="20">
        <v>3</v>
      </c>
      <c r="AA10" s="20">
        <v>3</v>
      </c>
      <c r="AB10" s="20">
        <v>3</v>
      </c>
      <c r="AC10" s="20">
        <v>3</v>
      </c>
    </row>
    <row r="11" spans="1:29" ht="19.95" customHeight="1" x14ac:dyDescent="0.25">
      <c r="A11" s="88">
        <v>9993453630</v>
      </c>
      <c r="B11" s="56" t="s">
        <v>378</v>
      </c>
      <c r="C11" s="10" t="s">
        <v>379</v>
      </c>
      <c r="D11" s="56" t="s">
        <v>380</v>
      </c>
      <c r="E11" s="56" t="s">
        <v>234</v>
      </c>
      <c r="F11" s="56"/>
      <c r="G11" s="56" t="s">
        <v>367</v>
      </c>
      <c r="H11" s="56" t="s">
        <v>73</v>
      </c>
      <c r="I11" s="56" t="s">
        <v>74</v>
      </c>
      <c r="J11" s="56"/>
      <c r="K11" s="56"/>
      <c r="L11" s="56"/>
      <c r="M11" s="56"/>
      <c r="N11" s="56" t="s">
        <v>16</v>
      </c>
      <c r="O11" s="86" t="s">
        <v>78</v>
      </c>
      <c r="P11" s="77" t="s">
        <v>18</v>
      </c>
      <c r="Q11" s="74">
        <v>12</v>
      </c>
      <c r="R11" s="75">
        <v>1</v>
      </c>
      <c r="S11" s="75">
        <v>1</v>
      </c>
      <c r="T11" s="75">
        <v>1</v>
      </c>
      <c r="U11" s="20">
        <v>1</v>
      </c>
      <c r="V11" s="20">
        <v>1</v>
      </c>
      <c r="W11" s="20">
        <v>1</v>
      </c>
      <c r="X11" s="20">
        <v>1</v>
      </c>
      <c r="Y11" s="20">
        <v>1</v>
      </c>
      <c r="Z11" s="20">
        <v>1</v>
      </c>
      <c r="AA11" s="20">
        <v>1</v>
      </c>
      <c r="AB11" s="20">
        <v>1</v>
      </c>
      <c r="AC11" s="20">
        <v>1</v>
      </c>
    </row>
    <row r="12" spans="1:29" ht="19.95" customHeight="1" x14ac:dyDescent="0.25">
      <c r="A12" s="88">
        <v>9993453630</v>
      </c>
      <c r="B12" s="56" t="s">
        <v>378</v>
      </c>
      <c r="C12" s="10" t="s">
        <v>379</v>
      </c>
      <c r="D12" s="56" t="s">
        <v>380</v>
      </c>
      <c r="E12" s="56" t="s">
        <v>234</v>
      </c>
      <c r="F12" s="56"/>
      <c r="G12" s="56" t="s">
        <v>367</v>
      </c>
      <c r="H12" s="56" t="s">
        <v>73</v>
      </c>
      <c r="I12" s="56" t="s">
        <v>74</v>
      </c>
      <c r="J12" s="56"/>
      <c r="K12" s="56"/>
      <c r="L12" s="56"/>
      <c r="M12" s="56"/>
      <c r="N12" s="56" t="s">
        <v>16</v>
      </c>
      <c r="O12" s="86" t="s">
        <v>79</v>
      </c>
      <c r="P12" s="77" t="s">
        <v>18</v>
      </c>
      <c r="Q12" s="74">
        <v>12</v>
      </c>
      <c r="R12" s="75">
        <v>1</v>
      </c>
      <c r="S12" s="75">
        <v>1</v>
      </c>
      <c r="T12" s="75">
        <v>1</v>
      </c>
      <c r="U12" s="75">
        <v>1</v>
      </c>
      <c r="V12" s="75">
        <v>1</v>
      </c>
      <c r="W12" s="75">
        <v>1</v>
      </c>
      <c r="X12" s="75">
        <v>1</v>
      </c>
      <c r="Y12" s="75">
        <v>1</v>
      </c>
      <c r="Z12" s="75">
        <v>1</v>
      </c>
      <c r="AA12" s="75">
        <v>1</v>
      </c>
      <c r="AB12" s="75">
        <v>1</v>
      </c>
      <c r="AC12" s="75">
        <v>1</v>
      </c>
    </row>
    <row r="13" spans="1:29" ht="19.95" customHeight="1" x14ac:dyDescent="0.25">
      <c r="A13" s="88">
        <v>9993453630</v>
      </c>
      <c r="B13" s="56" t="s">
        <v>378</v>
      </c>
      <c r="C13" s="10" t="s">
        <v>379</v>
      </c>
      <c r="D13" s="56" t="s">
        <v>380</v>
      </c>
      <c r="E13" s="56" t="s">
        <v>234</v>
      </c>
      <c r="F13" s="56"/>
      <c r="G13" s="56" t="s">
        <v>367</v>
      </c>
      <c r="H13" s="56" t="s">
        <v>73</v>
      </c>
      <c r="I13" s="56" t="s">
        <v>74</v>
      </c>
      <c r="J13" s="56"/>
      <c r="K13" s="56"/>
      <c r="L13" s="56"/>
      <c r="M13" s="56"/>
      <c r="N13" s="56" t="s">
        <v>16</v>
      </c>
      <c r="O13" s="86" t="s">
        <v>80</v>
      </c>
      <c r="P13" s="77" t="s">
        <v>18</v>
      </c>
      <c r="Q13" s="74">
        <v>7</v>
      </c>
      <c r="R13" s="75">
        <v>0</v>
      </c>
      <c r="S13" s="75">
        <v>0</v>
      </c>
      <c r="T13" s="75">
        <v>1</v>
      </c>
      <c r="U13" s="75">
        <v>1</v>
      </c>
      <c r="V13" s="75">
        <v>0</v>
      </c>
      <c r="W13" s="75">
        <v>1</v>
      </c>
      <c r="X13" s="75">
        <v>1</v>
      </c>
      <c r="Y13" s="75">
        <v>0</v>
      </c>
      <c r="Z13" s="75">
        <v>1</v>
      </c>
      <c r="AA13" s="75">
        <v>1</v>
      </c>
      <c r="AB13" s="75">
        <v>0</v>
      </c>
      <c r="AC13" s="75">
        <v>1</v>
      </c>
    </row>
    <row r="14" spans="1:29" ht="19.95" customHeight="1" x14ac:dyDescent="0.25">
      <c r="A14" s="88">
        <v>9993453630</v>
      </c>
      <c r="B14" s="56" t="s">
        <v>378</v>
      </c>
      <c r="C14" s="10" t="s">
        <v>379</v>
      </c>
      <c r="D14" s="56" t="s">
        <v>380</v>
      </c>
      <c r="E14" s="56" t="s">
        <v>234</v>
      </c>
      <c r="F14" s="56"/>
      <c r="G14" s="56" t="s">
        <v>367</v>
      </c>
      <c r="H14" s="56" t="s">
        <v>73</v>
      </c>
      <c r="I14" s="56" t="s">
        <v>74</v>
      </c>
      <c r="J14" s="56"/>
      <c r="K14" s="56"/>
      <c r="L14" s="56"/>
      <c r="M14" s="56"/>
      <c r="N14" s="56" t="s">
        <v>16</v>
      </c>
      <c r="O14" s="86" t="s">
        <v>81</v>
      </c>
      <c r="P14" s="77" t="s">
        <v>18</v>
      </c>
      <c r="Q14" s="74">
        <v>3</v>
      </c>
      <c r="R14" s="75">
        <v>0</v>
      </c>
      <c r="S14" s="75">
        <v>0</v>
      </c>
      <c r="T14" s="75">
        <v>0</v>
      </c>
      <c r="U14" s="20">
        <v>0</v>
      </c>
      <c r="V14" s="20">
        <v>0</v>
      </c>
      <c r="W14" s="20">
        <v>1</v>
      </c>
      <c r="X14" s="20">
        <v>1</v>
      </c>
      <c r="Y14" s="20">
        <v>0</v>
      </c>
      <c r="Z14" s="20">
        <v>0</v>
      </c>
      <c r="AA14" s="20">
        <v>0</v>
      </c>
      <c r="AB14" s="20">
        <v>0</v>
      </c>
      <c r="AC14" s="20">
        <v>1</v>
      </c>
    </row>
    <row r="15" spans="1:29" ht="19.95" customHeight="1" x14ac:dyDescent="0.25">
      <c r="A15" s="88">
        <v>9993453630</v>
      </c>
      <c r="B15" s="56" t="s">
        <v>378</v>
      </c>
      <c r="C15" s="10" t="s">
        <v>379</v>
      </c>
      <c r="D15" s="56" t="s">
        <v>380</v>
      </c>
      <c r="E15" s="56" t="s">
        <v>234</v>
      </c>
      <c r="F15" s="56"/>
      <c r="G15" s="56" t="s">
        <v>367</v>
      </c>
      <c r="H15" s="56" t="s">
        <v>73</v>
      </c>
      <c r="I15" s="56" t="s">
        <v>74</v>
      </c>
      <c r="J15" s="56"/>
      <c r="K15" s="56"/>
      <c r="L15" s="56"/>
      <c r="M15" s="56"/>
      <c r="N15" s="56" t="s">
        <v>16</v>
      </c>
      <c r="O15" s="86" t="s">
        <v>363</v>
      </c>
      <c r="P15" s="77" t="s">
        <v>18</v>
      </c>
      <c r="Q15" s="74">
        <v>3</v>
      </c>
      <c r="R15" s="75">
        <v>0</v>
      </c>
      <c r="S15" s="75">
        <v>0</v>
      </c>
      <c r="T15" s="75">
        <v>0</v>
      </c>
      <c r="U15" s="20">
        <v>1</v>
      </c>
      <c r="V15" s="20">
        <v>0</v>
      </c>
      <c r="W15" s="20">
        <v>0</v>
      </c>
      <c r="X15" s="20">
        <v>1</v>
      </c>
      <c r="Y15" s="20">
        <v>0</v>
      </c>
      <c r="Z15" s="20">
        <v>0</v>
      </c>
      <c r="AA15" s="20">
        <v>0</v>
      </c>
      <c r="AB15" s="20">
        <v>1</v>
      </c>
      <c r="AC15" s="20">
        <v>0</v>
      </c>
    </row>
    <row r="16" spans="1:29" ht="19.95" customHeight="1" x14ac:dyDescent="0.25">
      <c r="A16" s="88">
        <v>9993453630</v>
      </c>
      <c r="B16" s="56" t="s">
        <v>378</v>
      </c>
      <c r="C16" s="10" t="s">
        <v>379</v>
      </c>
      <c r="D16" s="56" t="s">
        <v>380</v>
      </c>
      <c r="E16" s="56" t="s">
        <v>234</v>
      </c>
      <c r="F16" s="56"/>
      <c r="G16" s="56" t="s">
        <v>367</v>
      </c>
      <c r="H16" s="56" t="s">
        <v>73</v>
      </c>
      <c r="I16" s="56" t="s">
        <v>74</v>
      </c>
      <c r="J16" s="56"/>
      <c r="K16" s="56"/>
      <c r="L16" s="56"/>
      <c r="M16" s="56"/>
      <c r="N16" s="56" t="s">
        <v>16</v>
      </c>
      <c r="O16" s="86" t="s">
        <v>364</v>
      </c>
      <c r="P16" s="77" t="s">
        <v>18</v>
      </c>
      <c r="Q16" s="74">
        <v>10</v>
      </c>
      <c r="R16" s="75">
        <v>0</v>
      </c>
      <c r="S16" s="75">
        <v>0</v>
      </c>
      <c r="T16" s="75">
        <v>0</v>
      </c>
      <c r="U16" s="20">
        <v>2</v>
      </c>
      <c r="V16" s="20">
        <v>0</v>
      </c>
      <c r="W16" s="20">
        <v>0</v>
      </c>
      <c r="X16" s="20">
        <v>2</v>
      </c>
      <c r="Y16" s="20">
        <v>2</v>
      </c>
      <c r="Z16" s="20">
        <v>2</v>
      </c>
      <c r="AA16" s="20">
        <v>0</v>
      </c>
      <c r="AB16" s="20">
        <v>2</v>
      </c>
      <c r="AC16" s="20">
        <v>0</v>
      </c>
    </row>
    <row r="17" spans="1:29" ht="19.95" customHeight="1" x14ac:dyDescent="0.25">
      <c r="A17" s="88">
        <v>9993453630</v>
      </c>
      <c r="B17" s="56" t="s">
        <v>378</v>
      </c>
      <c r="C17" s="10" t="s">
        <v>379</v>
      </c>
      <c r="D17" s="56" t="s">
        <v>380</v>
      </c>
      <c r="E17" s="56" t="s">
        <v>234</v>
      </c>
      <c r="F17" s="56"/>
      <c r="G17" s="56" t="s">
        <v>367</v>
      </c>
      <c r="H17" s="56" t="s">
        <v>73</v>
      </c>
      <c r="I17" s="56" t="s">
        <v>74</v>
      </c>
      <c r="J17" s="56"/>
      <c r="K17" s="56"/>
      <c r="L17" s="56"/>
      <c r="M17" s="56"/>
      <c r="N17" s="56" t="s">
        <v>16</v>
      </c>
      <c r="O17" s="86" t="s">
        <v>365</v>
      </c>
      <c r="P17" s="77" t="s">
        <v>18</v>
      </c>
      <c r="Q17" s="74">
        <v>12</v>
      </c>
      <c r="R17" s="75">
        <v>1</v>
      </c>
      <c r="S17" s="75">
        <v>1</v>
      </c>
      <c r="T17" s="75">
        <v>1</v>
      </c>
      <c r="U17" s="75">
        <v>1</v>
      </c>
      <c r="V17" s="75">
        <v>1</v>
      </c>
      <c r="W17" s="75">
        <v>1</v>
      </c>
      <c r="X17" s="75">
        <v>1</v>
      </c>
      <c r="Y17" s="75">
        <v>1</v>
      </c>
      <c r="Z17" s="75">
        <v>1</v>
      </c>
      <c r="AA17" s="75">
        <v>1</v>
      </c>
      <c r="AB17" s="75">
        <v>1</v>
      </c>
      <c r="AC17" s="75">
        <v>1</v>
      </c>
    </row>
    <row r="18" spans="1:29" ht="19.95" customHeight="1" x14ac:dyDescent="0.25">
      <c r="A18" s="88">
        <v>9993453630</v>
      </c>
      <c r="B18" s="56" t="s">
        <v>378</v>
      </c>
      <c r="C18" s="10" t="s">
        <v>379</v>
      </c>
      <c r="D18" s="56" t="s">
        <v>380</v>
      </c>
      <c r="E18" s="56" t="s">
        <v>234</v>
      </c>
      <c r="F18" s="56"/>
      <c r="G18" s="56" t="s">
        <v>367</v>
      </c>
      <c r="H18" s="56" t="s">
        <v>73</v>
      </c>
      <c r="I18" s="56" t="s">
        <v>74</v>
      </c>
      <c r="J18" s="56"/>
      <c r="K18" s="56"/>
      <c r="L18" s="56"/>
      <c r="M18" s="56"/>
      <c r="N18" s="56" t="s">
        <v>16</v>
      </c>
      <c r="O18" s="86" t="s">
        <v>366</v>
      </c>
      <c r="P18" s="77" t="s">
        <v>18</v>
      </c>
      <c r="Q18" s="74">
        <v>12</v>
      </c>
      <c r="R18" s="75">
        <v>1</v>
      </c>
      <c r="S18" s="75">
        <v>1</v>
      </c>
      <c r="T18" s="75">
        <v>1</v>
      </c>
      <c r="U18" s="75">
        <v>1</v>
      </c>
      <c r="V18" s="75">
        <v>1</v>
      </c>
      <c r="W18" s="75">
        <v>1</v>
      </c>
      <c r="X18" s="75">
        <v>1</v>
      </c>
      <c r="Y18" s="75">
        <v>1</v>
      </c>
      <c r="Z18" s="75">
        <v>1</v>
      </c>
      <c r="AA18" s="75">
        <v>1</v>
      </c>
      <c r="AB18" s="75">
        <v>1</v>
      </c>
      <c r="AC18" s="75">
        <v>1</v>
      </c>
    </row>
  </sheetData>
  <hyperlinks>
    <hyperlink ref="C2" r:id="rId1" xr:uid="{5B024AD8-0060-435F-9C96-6DADFFDC1DCB}"/>
    <hyperlink ref="C3" r:id="rId2" xr:uid="{ADC4EA9D-5944-4550-A4BC-819B75B6FA82}"/>
    <hyperlink ref="C4" r:id="rId3" xr:uid="{95511E0B-CC78-44B9-BDAF-FB7BC0F45271}"/>
    <hyperlink ref="C5" r:id="rId4" xr:uid="{EC65684E-8AAC-499F-A05C-B8361B01D550}"/>
    <hyperlink ref="C6" r:id="rId5" xr:uid="{38F2D6B2-BA56-40A7-BF58-75E16809B640}"/>
    <hyperlink ref="C7" r:id="rId6" xr:uid="{7BAE3CEE-E34A-4B24-A0F7-4B382CAAE956}"/>
    <hyperlink ref="C8" r:id="rId7" xr:uid="{5052449B-7C0D-434D-BDD4-41714A7BC59F}"/>
    <hyperlink ref="C9" r:id="rId8" xr:uid="{8759385C-7794-4E0C-93FE-037D442AF01D}"/>
    <hyperlink ref="C10" r:id="rId9" xr:uid="{A03BEACE-239D-41F2-B2A9-984755AD5C7A}"/>
    <hyperlink ref="C11" r:id="rId10" xr:uid="{2628DBD1-8A72-43A6-B49D-D624A1AB495C}"/>
    <hyperlink ref="C12" r:id="rId11" xr:uid="{AF63A875-1B9A-4C13-811C-078FFC142819}"/>
    <hyperlink ref="C13" r:id="rId12" xr:uid="{77E61CE9-1B0B-44B2-A83F-653CB8EC66F3}"/>
    <hyperlink ref="C14" r:id="rId13" xr:uid="{C6D03D21-CAE1-4442-A6F3-BF1C3892E471}"/>
    <hyperlink ref="C15" r:id="rId14" xr:uid="{29A86253-CB70-422F-A64F-71E8566B5D7C}"/>
    <hyperlink ref="C16" r:id="rId15" xr:uid="{2812C4D8-260F-4316-A513-8786E4F6269D}"/>
    <hyperlink ref="C17" r:id="rId16" xr:uid="{77A5A88C-ABC1-4C82-BF3D-631533D470B9}"/>
    <hyperlink ref="C18" r:id="rId17" xr:uid="{DF7CF4C9-6255-4442-8FDC-5414790558AB}"/>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B21E5-DE64-49AC-A032-C6C9ABB20B9E}">
  <dimension ref="A1:AC18"/>
  <sheetViews>
    <sheetView topLeftCell="I1" workbookViewId="0">
      <selection activeCell="O1" sqref="O1:AC1"/>
    </sheetView>
  </sheetViews>
  <sheetFormatPr defaultRowHeight="13.2" x14ac:dyDescent="0.25"/>
  <cols>
    <col min="1" max="1" width="12.109375" bestFit="1" customWidth="1"/>
    <col min="2" max="2" width="16.109375" bestFit="1" customWidth="1"/>
    <col min="3" max="3" width="36.5546875" bestFit="1" customWidth="1"/>
    <col min="5" max="5" width="8.5546875" bestFit="1" customWidth="1"/>
    <col min="6" max="6" width="9" bestFit="1" customWidth="1"/>
    <col min="7" max="7" width="17.77734375" bestFit="1" customWidth="1"/>
    <col min="9" max="9" width="17.21875" bestFit="1" customWidth="1"/>
    <col min="10" max="13" width="11.44140625" bestFit="1" customWidth="1"/>
    <col min="14" max="14" width="14.5546875" bestFit="1" customWidth="1"/>
    <col min="15" max="15" width="125.44140625" bestFit="1" customWidth="1"/>
  </cols>
  <sheetData>
    <row r="1" spans="1:29" ht="27.6" x14ac:dyDescent="0.25">
      <c r="A1" s="59" t="s">
        <v>0</v>
      </c>
      <c r="B1" s="59" t="s">
        <v>1</v>
      </c>
      <c r="C1" s="59" t="s">
        <v>2</v>
      </c>
      <c r="D1" s="60" t="s">
        <v>3</v>
      </c>
      <c r="E1" s="59" t="s">
        <v>4</v>
      </c>
      <c r="F1" s="59" t="s">
        <v>5</v>
      </c>
      <c r="G1" s="59" t="s">
        <v>6</v>
      </c>
      <c r="H1" s="59" t="s">
        <v>7</v>
      </c>
      <c r="I1" s="60" t="s">
        <v>8</v>
      </c>
      <c r="J1" s="59" t="s">
        <v>9</v>
      </c>
      <c r="K1" s="59" t="s">
        <v>10</v>
      </c>
      <c r="L1" s="59" t="s">
        <v>126</v>
      </c>
      <c r="M1" s="59" t="s">
        <v>127</v>
      </c>
      <c r="N1" s="59"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36" t="s">
        <v>384</v>
      </c>
      <c r="B2" s="56" t="s">
        <v>383</v>
      </c>
      <c r="C2" s="43" t="s">
        <v>382</v>
      </c>
      <c r="D2" s="56" t="s">
        <v>381</v>
      </c>
      <c r="E2" s="56" t="s">
        <v>234</v>
      </c>
      <c r="F2" s="56"/>
      <c r="G2" s="56" t="s">
        <v>367</v>
      </c>
      <c r="H2" s="56" t="s">
        <v>73</v>
      </c>
      <c r="I2" s="56" t="s">
        <v>74</v>
      </c>
      <c r="J2" s="56"/>
      <c r="K2" s="56"/>
      <c r="L2" s="56"/>
      <c r="M2" s="56"/>
      <c r="N2" s="56" t="s">
        <v>16</v>
      </c>
      <c r="O2" s="85" t="s">
        <v>76</v>
      </c>
      <c r="P2" s="90" t="s">
        <v>70</v>
      </c>
      <c r="Q2" s="91">
        <v>120</v>
      </c>
      <c r="R2" s="92">
        <v>30</v>
      </c>
      <c r="S2" s="92">
        <v>30</v>
      </c>
      <c r="T2" s="92">
        <v>30</v>
      </c>
      <c r="U2" s="92">
        <v>0</v>
      </c>
      <c r="V2" s="92">
        <v>0</v>
      </c>
      <c r="W2" s="92">
        <v>0</v>
      </c>
      <c r="X2" s="92">
        <v>0</v>
      </c>
      <c r="Y2" s="92">
        <v>0</v>
      </c>
      <c r="Z2" s="92">
        <v>0</v>
      </c>
      <c r="AA2" s="92">
        <v>0</v>
      </c>
      <c r="AB2" s="92">
        <v>0</v>
      </c>
      <c r="AC2" s="92">
        <v>30</v>
      </c>
    </row>
    <row r="3" spans="1:29" ht="19.95" customHeight="1" x14ac:dyDescent="0.25">
      <c r="A3" s="36" t="s">
        <v>384</v>
      </c>
      <c r="B3" s="56" t="s">
        <v>383</v>
      </c>
      <c r="C3" s="43" t="s">
        <v>382</v>
      </c>
      <c r="D3" s="56" t="s">
        <v>381</v>
      </c>
      <c r="E3" s="56" t="s">
        <v>234</v>
      </c>
      <c r="F3" s="56"/>
      <c r="G3" s="56" t="s">
        <v>367</v>
      </c>
      <c r="H3" s="56" t="s">
        <v>73</v>
      </c>
      <c r="I3" s="56" t="s">
        <v>74</v>
      </c>
      <c r="J3" s="56"/>
      <c r="K3" s="56"/>
      <c r="L3" s="56"/>
      <c r="M3" s="56"/>
      <c r="N3" s="56" t="s">
        <v>16</v>
      </c>
      <c r="O3" s="85" t="s">
        <v>357</v>
      </c>
      <c r="P3" s="90" t="s">
        <v>71</v>
      </c>
      <c r="Q3" s="91">
        <v>0.35</v>
      </c>
      <c r="R3" s="92">
        <f>+R23*R20</f>
        <v>0</v>
      </c>
      <c r="S3" s="92">
        <f t="shared" ref="S3:AC3" si="0">+S23*S20</f>
        <v>0</v>
      </c>
      <c r="T3" s="92">
        <f t="shared" si="0"/>
        <v>0</v>
      </c>
      <c r="U3" s="92">
        <f t="shared" si="0"/>
        <v>0</v>
      </c>
      <c r="V3" s="92">
        <f t="shared" si="0"/>
        <v>0</v>
      </c>
      <c r="W3" s="92">
        <f t="shared" si="0"/>
        <v>0</v>
      </c>
      <c r="X3" s="92">
        <f t="shared" si="0"/>
        <v>0</v>
      </c>
      <c r="Y3" s="92">
        <f t="shared" si="0"/>
        <v>0</v>
      </c>
      <c r="Z3" s="92">
        <f t="shared" si="0"/>
        <v>0</v>
      </c>
      <c r="AA3" s="92">
        <f t="shared" si="0"/>
        <v>0</v>
      </c>
      <c r="AB3" s="92">
        <f t="shared" si="0"/>
        <v>0</v>
      </c>
      <c r="AC3" s="92">
        <f t="shared" si="0"/>
        <v>0</v>
      </c>
    </row>
    <row r="4" spans="1:29" ht="19.95" customHeight="1" x14ac:dyDescent="0.25">
      <c r="A4" s="36" t="s">
        <v>384</v>
      </c>
      <c r="B4" s="56" t="s">
        <v>383</v>
      </c>
      <c r="C4" s="43" t="s">
        <v>382</v>
      </c>
      <c r="D4" s="56" t="s">
        <v>381</v>
      </c>
      <c r="E4" s="56" t="s">
        <v>234</v>
      </c>
      <c r="F4" s="56"/>
      <c r="G4" s="56" t="s">
        <v>367</v>
      </c>
      <c r="H4" s="56" t="s">
        <v>73</v>
      </c>
      <c r="I4" s="56" t="s">
        <v>74</v>
      </c>
      <c r="J4" s="56"/>
      <c r="K4" s="56"/>
      <c r="L4" s="56"/>
      <c r="M4" s="56"/>
      <c r="N4" s="56" t="s">
        <v>16</v>
      </c>
      <c r="O4" s="85" t="s">
        <v>77</v>
      </c>
      <c r="P4" s="90" t="s">
        <v>70</v>
      </c>
      <c r="Q4" s="94">
        <v>1395</v>
      </c>
      <c r="R4" s="92">
        <v>60</v>
      </c>
      <c r="S4" s="92">
        <v>60</v>
      </c>
      <c r="T4" s="92">
        <v>60</v>
      </c>
      <c r="U4" s="92">
        <v>35</v>
      </c>
      <c r="V4" s="92">
        <v>90</v>
      </c>
      <c r="W4" s="92">
        <v>90</v>
      </c>
      <c r="X4" s="92">
        <v>180</v>
      </c>
      <c r="Y4" s="92">
        <v>180</v>
      </c>
      <c r="Z4" s="92">
        <v>180</v>
      </c>
      <c r="AA4" s="92">
        <v>130</v>
      </c>
      <c r="AB4" s="92">
        <v>130</v>
      </c>
      <c r="AC4" s="92">
        <v>200</v>
      </c>
    </row>
    <row r="5" spans="1:29" ht="19.95" customHeight="1" x14ac:dyDescent="0.25">
      <c r="A5" s="36" t="s">
        <v>384</v>
      </c>
      <c r="B5" s="56" t="s">
        <v>383</v>
      </c>
      <c r="C5" s="43" t="s">
        <v>382</v>
      </c>
      <c r="D5" s="56" t="s">
        <v>381</v>
      </c>
      <c r="E5" s="56" t="s">
        <v>234</v>
      </c>
      <c r="F5" s="56"/>
      <c r="G5" s="56" t="s">
        <v>367</v>
      </c>
      <c r="H5" s="56" t="s">
        <v>73</v>
      </c>
      <c r="I5" s="56" t="s">
        <v>74</v>
      </c>
      <c r="J5" s="56"/>
      <c r="K5" s="56"/>
      <c r="L5" s="56"/>
      <c r="M5" s="56"/>
      <c r="N5" s="56" t="s">
        <v>16</v>
      </c>
      <c r="O5" s="85" t="s">
        <v>357</v>
      </c>
      <c r="P5" s="90" t="s">
        <v>71</v>
      </c>
      <c r="Q5" s="94">
        <v>4</v>
      </c>
      <c r="R5" s="92">
        <v>0.14448779078167895</v>
      </c>
      <c r="S5" s="92">
        <v>0.14448779078167895</v>
      </c>
      <c r="T5" s="92">
        <v>0.14448779078167895</v>
      </c>
      <c r="U5" s="92">
        <v>0.17338534893801474</v>
      </c>
      <c r="V5" s="92">
        <v>0.17338534893801474</v>
      </c>
      <c r="W5" s="92">
        <v>0.17338534893801474</v>
      </c>
      <c r="X5" s="92">
        <v>0.34677069787602949</v>
      </c>
      <c r="Y5" s="92">
        <v>0.80913162837740216</v>
      </c>
      <c r="Z5" s="92">
        <v>0.80913162837740216</v>
      </c>
      <c r="AA5" s="92">
        <v>0.31787313971969372</v>
      </c>
      <c r="AB5" s="92">
        <v>0.31787313971969372</v>
      </c>
      <c r="AC5" s="92">
        <v>0.46236093050137267</v>
      </c>
    </row>
    <row r="6" spans="1:29" ht="19.95" customHeight="1" x14ac:dyDescent="0.25">
      <c r="A6" s="36" t="s">
        <v>384</v>
      </c>
      <c r="B6" s="56" t="s">
        <v>383</v>
      </c>
      <c r="C6" s="43" t="s">
        <v>382</v>
      </c>
      <c r="D6" s="56" t="s">
        <v>381</v>
      </c>
      <c r="E6" s="56" t="s">
        <v>234</v>
      </c>
      <c r="F6" s="56"/>
      <c r="G6" s="56" t="s">
        <v>367</v>
      </c>
      <c r="H6" s="56" t="s">
        <v>73</v>
      </c>
      <c r="I6" s="56" t="s">
        <v>74</v>
      </c>
      <c r="J6" s="56"/>
      <c r="K6" s="56"/>
      <c r="L6" s="56"/>
      <c r="M6" s="56"/>
      <c r="N6" s="56" t="s">
        <v>16</v>
      </c>
      <c r="O6" s="85" t="s">
        <v>358</v>
      </c>
      <c r="P6" s="90" t="s">
        <v>18</v>
      </c>
      <c r="Q6" s="94">
        <v>10</v>
      </c>
      <c r="R6" s="93">
        <v>1</v>
      </c>
      <c r="S6" s="93">
        <v>1</v>
      </c>
      <c r="T6" s="93">
        <v>1</v>
      </c>
      <c r="U6" s="69">
        <v>1</v>
      </c>
      <c r="V6" s="69">
        <v>1</v>
      </c>
      <c r="W6" s="69">
        <v>1</v>
      </c>
      <c r="X6" s="69">
        <v>1</v>
      </c>
      <c r="Y6" s="69">
        <v>0</v>
      </c>
      <c r="Z6" s="69">
        <v>1</v>
      </c>
      <c r="AA6" s="69">
        <v>1</v>
      </c>
      <c r="AB6" s="69">
        <v>1</v>
      </c>
      <c r="AC6" s="69">
        <v>0</v>
      </c>
    </row>
    <row r="7" spans="1:29" ht="19.95" customHeight="1" x14ac:dyDescent="0.25">
      <c r="A7" s="36" t="s">
        <v>384</v>
      </c>
      <c r="B7" s="56" t="s">
        <v>383</v>
      </c>
      <c r="C7" s="43" t="s">
        <v>382</v>
      </c>
      <c r="D7" s="56" t="s">
        <v>381</v>
      </c>
      <c r="E7" s="56" t="s">
        <v>234</v>
      </c>
      <c r="F7" s="56"/>
      <c r="G7" s="56" t="s">
        <v>367</v>
      </c>
      <c r="H7" s="56" t="s">
        <v>73</v>
      </c>
      <c r="I7" s="56" t="s">
        <v>74</v>
      </c>
      <c r="J7" s="56"/>
      <c r="K7" s="56"/>
      <c r="L7" s="56"/>
      <c r="M7" s="56"/>
      <c r="N7" s="56" t="s">
        <v>16</v>
      </c>
      <c r="O7" s="85" t="s">
        <v>359</v>
      </c>
      <c r="P7" s="90" t="s">
        <v>18</v>
      </c>
      <c r="Q7" s="94">
        <v>10</v>
      </c>
      <c r="R7" s="93">
        <v>1</v>
      </c>
      <c r="S7" s="93">
        <v>1</v>
      </c>
      <c r="T7" s="93">
        <v>1</v>
      </c>
      <c r="U7" s="69">
        <v>1</v>
      </c>
      <c r="V7" s="69">
        <v>1</v>
      </c>
      <c r="W7" s="69">
        <v>1</v>
      </c>
      <c r="X7" s="69">
        <v>1</v>
      </c>
      <c r="Y7" s="69">
        <v>0</v>
      </c>
      <c r="Z7" s="69">
        <v>1</v>
      </c>
      <c r="AA7" s="69">
        <v>1</v>
      </c>
      <c r="AB7" s="69">
        <v>1</v>
      </c>
      <c r="AC7" s="69">
        <v>0</v>
      </c>
    </row>
    <row r="8" spans="1:29" ht="19.95" customHeight="1" x14ac:dyDescent="0.25">
      <c r="A8" s="36" t="s">
        <v>384</v>
      </c>
      <c r="B8" s="56" t="s">
        <v>383</v>
      </c>
      <c r="C8" s="43" t="s">
        <v>382</v>
      </c>
      <c r="D8" s="56" t="s">
        <v>381</v>
      </c>
      <c r="E8" s="56" t="s">
        <v>234</v>
      </c>
      <c r="F8" s="56"/>
      <c r="G8" s="56" t="s">
        <v>367</v>
      </c>
      <c r="H8" s="56" t="s">
        <v>73</v>
      </c>
      <c r="I8" s="56" t="s">
        <v>74</v>
      </c>
      <c r="J8" s="56"/>
      <c r="K8" s="56"/>
      <c r="L8" s="56"/>
      <c r="M8" s="56"/>
      <c r="N8" s="56" t="s">
        <v>16</v>
      </c>
      <c r="O8" s="85" t="s">
        <v>360</v>
      </c>
      <c r="P8" s="90" t="s">
        <v>18</v>
      </c>
      <c r="Q8" s="94">
        <v>5</v>
      </c>
      <c r="R8" s="94">
        <v>4</v>
      </c>
      <c r="S8" s="94">
        <v>4</v>
      </c>
      <c r="T8" s="94">
        <v>4</v>
      </c>
      <c r="U8" s="94">
        <v>4</v>
      </c>
      <c r="V8" s="94">
        <v>4</v>
      </c>
      <c r="W8" s="94">
        <v>4</v>
      </c>
      <c r="X8" s="94">
        <v>4</v>
      </c>
      <c r="Y8" s="94">
        <v>4</v>
      </c>
      <c r="Z8" s="94">
        <v>4</v>
      </c>
      <c r="AA8" s="94">
        <v>4</v>
      </c>
      <c r="AB8" s="94">
        <v>4</v>
      </c>
      <c r="AC8" s="94">
        <v>4</v>
      </c>
    </row>
    <row r="9" spans="1:29" ht="19.95" customHeight="1" x14ac:dyDescent="0.25">
      <c r="A9" s="36" t="s">
        <v>384</v>
      </c>
      <c r="B9" s="56" t="s">
        <v>383</v>
      </c>
      <c r="C9" s="43" t="s">
        <v>382</v>
      </c>
      <c r="D9" s="56" t="s">
        <v>381</v>
      </c>
      <c r="E9" s="56" t="s">
        <v>234</v>
      </c>
      <c r="F9" s="56"/>
      <c r="G9" s="56" t="s">
        <v>367</v>
      </c>
      <c r="H9" s="56" t="s">
        <v>73</v>
      </c>
      <c r="I9" s="56" t="s">
        <v>74</v>
      </c>
      <c r="J9" s="56"/>
      <c r="K9" s="56"/>
      <c r="L9" s="56"/>
      <c r="M9" s="56"/>
      <c r="N9" s="56" t="s">
        <v>16</v>
      </c>
      <c r="O9" s="85" t="s">
        <v>361</v>
      </c>
      <c r="P9" s="90" t="s">
        <v>18</v>
      </c>
      <c r="Q9" s="94">
        <v>6</v>
      </c>
      <c r="R9" s="93">
        <v>1</v>
      </c>
      <c r="S9" s="93">
        <v>1</v>
      </c>
      <c r="T9" s="93">
        <v>1</v>
      </c>
      <c r="U9" s="69">
        <v>0</v>
      </c>
      <c r="V9" s="69">
        <v>0</v>
      </c>
      <c r="W9" s="69">
        <v>0</v>
      </c>
      <c r="X9" s="69">
        <v>0</v>
      </c>
      <c r="Y9" s="69">
        <v>1</v>
      </c>
      <c r="Z9" s="69">
        <v>1</v>
      </c>
      <c r="AA9" s="69">
        <v>0</v>
      </c>
      <c r="AB9" s="69">
        <v>0</v>
      </c>
      <c r="AC9" s="69">
        <v>1</v>
      </c>
    </row>
    <row r="10" spans="1:29" ht="19.95" customHeight="1" x14ac:dyDescent="0.25">
      <c r="A10" s="36" t="s">
        <v>384</v>
      </c>
      <c r="B10" s="56" t="s">
        <v>383</v>
      </c>
      <c r="C10" s="43" t="s">
        <v>382</v>
      </c>
      <c r="D10" s="56" t="s">
        <v>381</v>
      </c>
      <c r="E10" s="56" t="s">
        <v>234</v>
      </c>
      <c r="F10" s="56"/>
      <c r="G10" s="56" t="s">
        <v>367</v>
      </c>
      <c r="H10" s="56" t="s">
        <v>73</v>
      </c>
      <c r="I10" s="56" t="s">
        <v>74</v>
      </c>
      <c r="J10" s="56"/>
      <c r="K10" s="56"/>
      <c r="L10" s="56"/>
      <c r="M10" s="56"/>
      <c r="N10" s="56" t="s">
        <v>16</v>
      </c>
      <c r="O10" s="85" t="s">
        <v>362</v>
      </c>
      <c r="P10" s="90" t="s">
        <v>18</v>
      </c>
      <c r="Q10" s="94">
        <v>36</v>
      </c>
      <c r="R10" s="93">
        <v>3</v>
      </c>
      <c r="S10" s="93">
        <v>3</v>
      </c>
      <c r="T10" s="93">
        <v>3</v>
      </c>
      <c r="U10" s="69">
        <v>3</v>
      </c>
      <c r="V10" s="69">
        <v>3</v>
      </c>
      <c r="W10" s="69">
        <v>3</v>
      </c>
      <c r="X10" s="69">
        <v>3</v>
      </c>
      <c r="Y10" s="69">
        <v>3</v>
      </c>
      <c r="Z10" s="69">
        <v>3</v>
      </c>
      <c r="AA10" s="69">
        <v>3</v>
      </c>
      <c r="AB10" s="69">
        <v>3</v>
      </c>
      <c r="AC10" s="69">
        <v>3</v>
      </c>
    </row>
    <row r="11" spans="1:29" ht="19.95" customHeight="1" x14ac:dyDescent="0.25">
      <c r="A11" s="36" t="s">
        <v>384</v>
      </c>
      <c r="B11" s="56" t="s">
        <v>383</v>
      </c>
      <c r="C11" s="43" t="s">
        <v>382</v>
      </c>
      <c r="D11" s="56" t="s">
        <v>381</v>
      </c>
      <c r="E11" s="56" t="s">
        <v>234</v>
      </c>
      <c r="F11" s="56"/>
      <c r="G11" s="56" t="s">
        <v>367</v>
      </c>
      <c r="H11" s="56" t="s">
        <v>73</v>
      </c>
      <c r="I11" s="56" t="s">
        <v>74</v>
      </c>
      <c r="J11" s="56"/>
      <c r="K11" s="56"/>
      <c r="L11" s="56"/>
      <c r="M11" s="56"/>
      <c r="N11" s="56" t="s">
        <v>16</v>
      </c>
      <c r="O11" s="85" t="s">
        <v>78</v>
      </c>
      <c r="P11" s="90" t="s">
        <v>18</v>
      </c>
      <c r="Q11" s="94">
        <v>12</v>
      </c>
      <c r="R11" s="93">
        <v>1</v>
      </c>
      <c r="S11" s="93">
        <v>1</v>
      </c>
      <c r="T11" s="93">
        <v>1</v>
      </c>
      <c r="U11" s="69">
        <v>1</v>
      </c>
      <c r="V11" s="69">
        <v>1</v>
      </c>
      <c r="W11" s="69">
        <v>1</v>
      </c>
      <c r="X11" s="69">
        <v>1</v>
      </c>
      <c r="Y11" s="69">
        <v>1</v>
      </c>
      <c r="Z11" s="69">
        <v>1</v>
      </c>
      <c r="AA11" s="69">
        <v>1</v>
      </c>
      <c r="AB11" s="69">
        <v>1</v>
      </c>
      <c r="AC11" s="69">
        <v>1</v>
      </c>
    </row>
    <row r="12" spans="1:29" ht="19.95" customHeight="1" x14ac:dyDescent="0.25">
      <c r="A12" s="36" t="s">
        <v>384</v>
      </c>
      <c r="B12" s="56" t="s">
        <v>383</v>
      </c>
      <c r="C12" s="43" t="s">
        <v>382</v>
      </c>
      <c r="D12" s="56" t="s">
        <v>381</v>
      </c>
      <c r="E12" s="56" t="s">
        <v>234</v>
      </c>
      <c r="F12" s="56"/>
      <c r="G12" s="56" t="s">
        <v>367</v>
      </c>
      <c r="H12" s="56" t="s">
        <v>73</v>
      </c>
      <c r="I12" s="56" t="s">
        <v>74</v>
      </c>
      <c r="J12" s="56"/>
      <c r="K12" s="56"/>
      <c r="L12" s="56"/>
      <c r="M12" s="56"/>
      <c r="N12" s="56" t="s">
        <v>16</v>
      </c>
      <c r="O12" s="85" t="s">
        <v>79</v>
      </c>
      <c r="P12" s="90" t="s">
        <v>18</v>
      </c>
      <c r="Q12" s="94">
        <v>12</v>
      </c>
      <c r="R12" s="93">
        <v>1</v>
      </c>
      <c r="S12" s="93">
        <v>1</v>
      </c>
      <c r="T12" s="93">
        <v>1</v>
      </c>
      <c r="U12" s="93">
        <v>1</v>
      </c>
      <c r="V12" s="93">
        <v>1</v>
      </c>
      <c r="W12" s="93">
        <v>1</v>
      </c>
      <c r="X12" s="93">
        <v>1</v>
      </c>
      <c r="Y12" s="93">
        <v>1</v>
      </c>
      <c r="Z12" s="93">
        <v>1</v>
      </c>
      <c r="AA12" s="93">
        <v>1</v>
      </c>
      <c r="AB12" s="93">
        <v>1</v>
      </c>
      <c r="AC12" s="93">
        <v>1</v>
      </c>
    </row>
    <row r="13" spans="1:29" ht="19.95" customHeight="1" x14ac:dyDescent="0.25">
      <c r="A13" s="36" t="s">
        <v>384</v>
      </c>
      <c r="B13" s="56" t="s">
        <v>383</v>
      </c>
      <c r="C13" s="43" t="s">
        <v>382</v>
      </c>
      <c r="D13" s="56" t="s">
        <v>381</v>
      </c>
      <c r="E13" s="56" t="s">
        <v>234</v>
      </c>
      <c r="F13" s="56"/>
      <c r="G13" s="56" t="s">
        <v>367</v>
      </c>
      <c r="H13" s="56" t="s">
        <v>73</v>
      </c>
      <c r="I13" s="56" t="s">
        <v>74</v>
      </c>
      <c r="J13" s="56"/>
      <c r="K13" s="56"/>
      <c r="L13" s="56"/>
      <c r="M13" s="56"/>
      <c r="N13" s="56" t="s">
        <v>16</v>
      </c>
      <c r="O13" s="85" t="s">
        <v>80</v>
      </c>
      <c r="P13" s="90" t="s">
        <v>18</v>
      </c>
      <c r="Q13" s="94">
        <v>7</v>
      </c>
      <c r="R13" s="93">
        <v>0</v>
      </c>
      <c r="S13" s="93">
        <v>0</v>
      </c>
      <c r="T13" s="93">
        <v>1</v>
      </c>
      <c r="U13" s="93">
        <v>1</v>
      </c>
      <c r="V13" s="93">
        <v>0</v>
      </c>
      <c r="W13" s="93">
        <v>1</v>
      </c>
      <c r="X13" s="93">
        <v>1</v>
      </c>
      <c r="Y13" s="93">
        <v>0</v>
      </c>
      <c r="Z13" s="93">
        <v>1</v>
      </c>
      <c r="AA13" s="93">
        <v>1</v>
      </c>
      <c r="AB13" s="93">
        <v>0</v>
      </c>
      <c r="AC13" s="93">
        <v>1</v>
      </c>
    </row>
    <row r="14" spans="1:29" ht="19.95" customHeight="1" x14ac:dyDescent="0.25">
      <c r="A14" s="36" t="s">
        <v>384</v>
      </c>
      <c r="B14" s="56" t="s">
        <v>383</v>
      </c>
      <c r="C14" s="43" t="s">
        <v>382</v>
      </c>
      <c r="D14" s="56" t="s">
        <v>381</v>
      </c>
      <c r="E14" s="56" t="s">
        <v>234</v>
      </c>
      <c r="F14" s="56"/>
      <c r="G14" s="56" t="s">
        <v>367</v>
      </c>
      <c r="H14" s="56" t="s">
        <v>73</v>
      </c>
      <c r="I14" s="56" t="s">
        <v>74</v>
      </c>
      <c r="J14" s="56"/>
      <c r="K14" s="56"/>
      <c r="L14" s="56"/>
      <c r="M14" s="56"/>
      <c r="N14" s="56" t="s">
        <v>16</v>
      </c>
      <c r="O14" s="85" t="s">
        <v>81</v>
      </c>
      <c r="P14" s="90" t="s">
        <v>18</v>
      </c>
      <c r="Q14" s="94">
        <v>3</v>
      </c>
      <c r="R14" s="93">
        <v>0</v>
      </c>
      <c r="S14" s="93">
        <v>0</v>
      </c>
      <c r="T14" s="93">
        <v>0</v>
      </c>
      <c r="U14" s="69">
        <v>0</v>
      </c>
      <c r="V14" s="69">
        <v>0</v>
      </c>
      <c r="W14" s="69">
        <v>1</v>
      </c>
      <c r="X14" s="69">
        <v>1</v>
      </c>
      <c r="Y14" s="69">
        <v>0</v>
      </c>
      <c r="Z14" s="69">
        <v>0</v>
      </c>
      <c r="AA14" s="69">
        <v>0</v>
      </c>
      <c r="AB14" s="69">
        <v>0</v>
      </c>
      <c r="AC14" s="69">
        <v>1</v>
      </c>
    </row>
    <row r="15" spans="1:29" ht="19.95" customHeight="1" x14ac:dyDescent="0.25">
      <c r="A15" s="36" t="s">
        <v>384</v>
      </c>
      <c r="B15" s="56" t="s">
        <v>383</v>
      </c>
      <c r="C15" s="43" t="s">
        <v>382</v>
      </c>
      <c r="D15" s="56" t="s">
        <v>381</v>
      </c>
      <c r="E15" s="56" t="s">
        <v>234</v>
      </c>
      <c r="F15" s="56"/>
      <c r="G15" s="56" t="s">
        <v>367</v>
      </c>
      <c r="H15" s="56" t="s">
        <v>73</v>
      </c>
      <c r="I15" s="56" t="s">
        <v>74</v>
      </c>
      <c r="J15" s="56"/>
      <c r="K15" s="56"/>
      <c r="L15" s="56"/>
      <c r="M15" s="56"/>
      <c r="N15" s="56" t="s">
        <v>16</v>
      </c>
      <c r="O15" s="85" t="s">
        <v>363</v>
      </c>
      <c r="P15" s="90" t="s">
        <v>18</v>
      </c>
      <c r="Q15" s="94">
        <v>3</v>
      </c>
      <c r="R15" s="93">
        <v>0</v>
      </c>
      <c r="S15" s="93">
        <v>0</v>
      </c>
      <c r="T15" s="93">
        <v>0</v>
      </c>
      <c r="U15" s="69">
        <v>1</v>
      </c>
      <c r="V15" s="69">
        <v>0</v>
      </c>
      <c r="W15" s="69">
        <v>0</v>
      </c>
      <c r="X15" s="69">
        <v>1</v>
      </c>
      <c r="Y15" s="69">
        <v>0</v>
      </c>
      <c r="Z15" s="69">
        <v>0</v>
      </c>
      <c r="AA15" s="69">
        <v>0</v>
      </c>
      <c r="AB15" s="69">
        <v>1</v>
      </c>
      <c r="AC15" s="69">
        <v>0</v>
      </c>
    </row>
    <row r="16" spans="1:29" ht="19.95" customHeight="1" x14ac:dyDescent="0.25">
      <c r="A16" s="36" t="s">
        <v>384</v>
      </c>
      <c r="B16" s="56" t="s">
        <v>383</v>
      </c>
      <c r="C16" s="43" t="s">
        <v>382</v>
      </c>
      <c r="D16" s="56" t="s">
        <v>381</v>
      </c>
      <c r="E16" s="56" t="s">
        <v>234</v>
      </c>
      <c r="F16" s="56"/>
      <c r="G16" s="56" t="s">
        <v>367</v>
      </c>
      <c r="H16" s="56" t="s">
        <v>73</v>
      </c>
      <c r="I16" s="56" t="s">
        <v>74</v>
      </c>
      <c r="J16" s="56"/>
      <c r="K16" s="56"/>
      <c r="L16" s="56"/>
      <c r="M16" s="56"/>
      <c r="N16" s="56" t="s">
        <v>16</v>
      </c>
      <c r="O16" s="85" t="s">
        <v>364</v>
      </c>
      <c r="P16" s="90" t="s">
        <v>18</v>
      </c>
      <c r="Q16" s="94">
        <v>10</v>
      </c>
      <c r="R16" s="93">
        <v>0</v>
      </c>
      <c r="S16" s="93">
        <v>0</v>
      </c>
      <c r="T16" s="93">
        <v>0</v>
      </c>
      <c r="U16" s="69">
        <v>2</v>
      </c>
      <c r="V16" s="69">
        <v>0</v>
      </c>
      <c r="W16" s="69">
        <v>0</v>
      </c>
      <c r="X16" s="69">
        <v>2</v>
      </c>
      <c r="Y16" s="69">
        <v>2</v>
      </c>
      <c r="Z16" s="69">
        <v>2</v>
      </c>
      <c r="AA16" s="69">
        <v>0</v>
      </c>
      <c r="AB16" s="69">
        <v>2</v>
      </c>
      <c r="AC16" s="69">
        <v>0</v>
      </c>
    </row>
    <row r="17" spans="1:29" ht="19.95" customHeight="1" x14ac:dyDescent="0.25">
      <c r="A17" s="36" t="s">
        <v>384</v>
      </c>
      <c r="B17" s="56" t="s">
        <v>383</v>
      </c>
      <c r="C17" s="43" t="s">
        <v>382</v>
      </c>
      <c r="D17" s="56" t="s">
        <v>381</v>
      </c>
      <c r="E17" s="56" t="s">
        <v>234</v>
      </c>
      <c r="F17" s="56"/>
      <c r="G17" s="56" t="s">
        <v>367</v>
      </c>
      <c r="H17" s="56" t="s">
        <v>73</v>
      </c>
      <c r="I17" s="56" t="s">
        <v>74</v>
      </c>
      <c r="J17" s="56"/>
      <c r="K17" s="56"/>
      <c r="L17" s="56"/>
      <c r="M17" s="56"/>
      <c r="N17" s="56" t="s">
        <v>16</v>
      </c>
      <c r="O17" s="85" t="s">
        <v>365</v>
      </c>
      <c r="P17" s="90" t="s">
        <v>18</v>
      </c>
      <c r="Q17" s="94">
        <v>12</v>
      </c>
      <c r="R17" s="93">
        <v>1</v>
      </c>
      <c r="S17" s="93">
        <v>1</v>
      </c>
      <c r="T17" s="93">
        <v>1</v>
      </c>
      <c r="U17" s="93">
        <v>1</v>
      </c>
      <c r="V17" s="93">
        <v>1</v>
      </c>
      <c r="W17" s="93">
        <v>1</v>
      </c>
      <c r="X17" s="93">
        <v>1</v>
      </c>
      <c r="Y17" s="93">
        <v>1</v>
      </c>
      <c r="Z17" s="93">
        <v>1</v>
      </c>
      <c r="AA17" s="93">
        <v>1</v>
      </c>
      <c r="AB17" s="93">
        <v>1</v>
      </c>
      <c r="AC17" s="93">
        <v>1</v>
      </c>
    </row>
    <row r="18" spans="1:29" ht="19.95" customHeight="1" x14ac:dyDescent="0.25">
      <c r="A18" s="36" t="s">
        <v>384</v>
      </c>
      <c r="B18" s="56" t="s">
        <v>383</v>
      </c>
      <c r="C18" s="43" t="s">
        <v>382</v>
      </c>
      <c r="D18" s="56" t="s">
        <v>381</v>
      </c>
      <c r="E18" s="56" t="s">
        <v>234</v>
      </c>
      <c r="F18" s="56"/>
      <c r="G18" s="56" t="s">
        <v>367</v>
      </c>
      <c r="H18" s="56" t="s">
        <v>73</v>
      </c>
      <c r="I18" s="56" t="s">
        <v>74</v>
      </c>
      <c r="J18" s="56"/>
      <c r="K18" s="56"/>
      <c r="L18" s="56"/>
      <c r="M18" s="56"/>
      <c r="N18" s="56" t="s">
        <v>16</v>
      </c>
      <c r="O18" s="85" t="s">
        <v>366</v>
      </c>
      <c r="P18" s="90" t="s">
        <v>18</v>
      </c>
      <c r="Q18" s="94">
        <v>12</v>
      </c>
      <c r="R18" s="93">
        <v>1</v>
      </c>
      <c r="S18" s="93">
        <v>1</v>
      </c>
      <c r="T18" s="93">
        <v>1</v>
      </c>
      <c r="U18" s="93">
        <v>1</v>
      </c>
      <c r="V18" s="93">
        <v>1</v>
      </c>
      <c r="W18" s="93">
        <v>1</v>
      </c>
      <c r="X18" s="93">
        <v>1</v>
      </c>
      <c r="Y18" s="93">
        <v>1</v>
      </c>
      <c r="Z18" s="93">
        <v>1</v>
      </c>
      <c r="AA18" s="93">
        <v>1</v>
      </c>
      <c r="AB18" s="93">
        <v>1</v>
      </c>
      <c r="AC18" s="93">
        <v>1</v>
      </c>
    </row>
  </sheetData>
  <hyperlinks>
    <hyperlink ref="C2" r:id="rId1" xr:uid="{74C5544F-C8E7-4311-8F6D-A21AC6B18E27}"/>
    <hyperlink ref="C3" r:id="rId2" xr:uid="{C0DC16F4-6092-4B50-B5AE-5E404E21A27E}"/>
    <hyperlink ref="C4" r:id="rId3" xr:uid="{E80809FF-76F9-4A88-9106-58CA024C0F85}"/>
    <hyperlink ref="C5" r:id="rId4" xr:uid="{5FBD1FD4-49E4-4EED-A7FD-01536692C961}"/>
    <hyperlink ref="C6" r:id="rId5" xr:uid="{3773C2D5-BF9C-4804-8597-FE806DC8019A}"/>
    <hyperlink ref="C7" r:id="rId6" xr:uid="{B8A95A1E-177E-4B24-8A98-6F0D12EF2667}"/>
    <hyperlink ref="C8" r:id="rId7" xr:uid="{15B92C83-39F0-419C-AF17-3BAFD5378ECD}"/>
    <hyperlink ref="C9" r:id="rId8" xr:uid="{A5B3EF2E-A07A-47D1-A962-09F0E61AAEBA}"/>
    <hyperlink ref="C10" r:id="rId9" xr:uid="{9170E324-CFFC-43B5-A59B-99344593172D}"/>
    <hyperlink ref="C11" r:id="rId10" xr:uid="{34FBDFF1-518E-4175-BA62-070A184833E9}"/>
    <hyperlink ref="C12" r:id="rId11" xr:uid="{EF85202F-EA20-45AC-8DAC-25BB19DC40D8}"/>
    <hyperlink ref="C13" r:id="rId12" xr:uid="{44465082-BEBC-4EED-98DE-5113C2F43D6B}"/>
    <hyperlink ref="C14" r:id="rId13" xr:uid="{7085271E-5A97-473A-98C1-7DF9D27DCC11}"/>
    <hyperlink ref="C15" r:id="rId14" xr:uid="{75EE3422-3411-4918-8793-34092103A3CC}"/>
    <hyperlink ref="C16" r:id="rId15" xr:uid="{97F70CAF-1ECF-46CA-A9C6-9BFBBE012C82}"/>
    <hyperlink ref="C17" r:id="rId16" xr:uid="{A64A592B-C4ED-4A8B-B623-3371C866C7BA}"/>
    <hyperlink ref="C18" r:id="rId17" xr:uid="{3FDEF822-DDA7-4359-ACAA-5EF05DA05FDD}"/>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C46A8-7681-46C0-A30B-59D665D55DF5}">
  <dimension ref="A1:AC14"/>
  <sheetViews>
    <sheetView topLeftCell="F1" workbookViewId="0">
      <selection activeCell="F2" sqref="F2"/>
    </sheetView>
  </sheetViews>
  <sheetFormatPr defaultRowHeight="13.2" x14ac:dyDescent="0.25"/>
  <cols>
    <col min="1" max="1" width="12.109375" bestFit="1" customWidth="1"/>
    <col min="2" max="2" width="16.109375" bestFit="1" customWidth="1"/>
    <col min="3" max="3" width="32" bestFit="1" customWidth="1"/>
    <col min="4" max="4" width="10.21875" customWidth="1"/>
    <col min="5" max="5" width="6.77734375" bestFit="1" customWidth="1"/>
    <col min="6" max="6" width="11.33203125" bestFit="1" customWidth="1"/>
    <col min="7" max="7" width="21.77734375" bestFit="1" customWidth="1"/>
    <col min="9" max="9" width="17.21875" bestFit="1" customWidth="1"/>
    <col min="10" max="13" width="11.44140625" bestFit="1" customWidth="1"/>
    <col min="14" max="14" width="14.5546875" bestFit="1" customWidth="1"/>
    <col min="15" max="15" width="68.5546875" bestFit="1" customWidth="1"/>
  </cols>
  <sheetData>
    <row r="1" spans="1:29" ht="27.6" x14ac:dyDescent="0.25">
      <c r="A1" s="35" t="s">
        <v>0</v>
      </c>
      <c r="B1" s="35" t="s">
        <v>1</v>
      </c>
      <c r="C1" s="35" t="s">
        <v>2</v>
      </c>
      <c r="D1" s="58" t="s">
        <v>3</v>
      </c>
      <c r="E1" s="35" t="s">
        <v>4</v>
      </c>
      <c r="F1" s="35" t="s">
        <v>5</v>
      </c>
      <c r="G1" s="35" t="s">
        <v>6</v>
      </c>
      <c r="H1" s="35" t="s">
        <v>7</v>
      </c>
      <c r="I1" s="58" t="s">
        <v>8</v>
      </c>
      <c r="J1" s="35" t="s">
        <v>9</v>
      </c>
      <c r="K1" s="35" t="s">
        <v>10</v>
      </c>
      <c r="L1" s="35" t="s">
        <v>126</v>
      </c>
      <c r="M1" s="35" t="s">
        <v>127</v>
      </c>
      <c r="N1" s="35"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12">
        <v>9770046666</v>
      </c>
      <c r="B2" s="12" t="s">
        <v>403</v>
      </c>
      <c r="C2" s="19" t="s">
        <v>401</v>
      </c>
      <c r="D2" s="12" t="s">
        <v>285</v>
      </c>
      <c r="E2" s="12" t="s">
        <v>402</v>
      </c>
      <c r="F2" s="56" t="s">
        <v>59</v>
      </c>
      <c r="G2" s="12" t="s">
        <v>72</v>
      </c>
      <c r="H2" s="12" t="s">
        <v>73</v>
      </c>
      <c r="I2" s="12" t="s">
        <v>74</v>
      </c>
      <c r="J2" s="12" t="s">
        <v>404</v>
      </c>
      <c r="K2" s="12"/>
      <c r="L2" s="12"/>
      <c r="M2" s="12"/>
      <c r="N2" s="12" t="s">
        <v>16</v>
      </c>
      <c r="O2" s="95" t="s">
        <v>388</v>
      </c>
      <c r="P2" s="38" t="s">
        <v>21</v>
      </c>
      <c r="Q2" s="11">
        <v>1</v>
      </c>
      <c r="R2" s="11">
        <v>1</v>
      </c>
      <c r="S2" s="11">
        <v>1</v>
      </c>
      <c r="T2" s="11">
        <v>1</v>
      </c>
      <c r="U2" s="11">
        <v>1</v>
      </c>
      <c r="V2" s="11">
        <v>1</v>
      </c>
      <c r="W2" s="11">
        <v>1</v>
      </c>
      <c r="X2" s="11">
        <v>1</v>
      </c>
      <c r="Y2" s="11">
        <v>1</v>
      </c>
      <c r="Z2" s="11">
        <v>1</v>
      </c>
      <c r="AA2" s="11">
        <v>1</v>
      </c>
      <c r="AB2" s="11">
        <v>1</v>
      </c>
      <c r="AC2" s="11">
        <v>1</v>
      </c>
    </row>
    <row r="3" spans="1:29" ht="19.95" customHeight="1" x14ac:dyDescent="0.25">
      <c r="A3" s="12">
        <v>9770046666</v>
      </c>
      <c r="B3" s="12" t="s">
        <v>403</v>
      </c>
      <c r="C3" s="19" t="s">
        <v>401</v>
      </c>
      <c r="D3" s="12" t="s">
        <v>285</v>
      </c>
      <c r="E3" s="12" t="s">
        <v>402</v>
      </c>
      <c r="F3" s="56" t="s">
        <v>59</v>
      </c>
      <c r="G3" s="12" t="s">
        <v>72</v>
      </c>
      <c r="H3" s="12" t="s">
        <v>73</v>
      </c>
      <c r="I3" s="12" t="s">
        <v>74</v>
      </c>
      <c r="J3" s="12" t="s">
        <v>404</v>
      </c>
      <c r="K3" s="12"/>
      <c r="L3" s="12"/>
      <c r="M3" s="12"/>
      <c r="N3" s="12" t="s">
        <v>16</v>
      </c>
      <c r="O3" s="95" t="s">
        <v>389</v>
      </c>
      <c r="P3" s="38" t="s">
        <v>21</v>
      </c>
      <c r="Q3" s="11">
        <v>1</v>
      </c>
      <c r="R3" s="11">
        <v>1</v>
      </c>
      <c r="S3" s="11">
        <v>1</v>
      </c>
      <c r="T3" s="11">
        <v>1</v>
      </c>
      <c r="U3" s="11">
        <v>1</v>
      </c>
      <c r="V3" s="11">
        <v>1</v>
      </c>
      <c r="W3" s="11">
        <v>1</v>
      </c>
      <c r="X3" s="11">
        <v>1</v>
      </c>
      <c r="Y3" s="11">
        <v>1</v>
      </c>
      <c r="Z3" s="11">
        <v>1</v>
      </c>
      <c r="AA3" s="11">
        <v>1</v>
      </c>
      <c r="AB3" s="11">
        <v>1</v>
      </c>
      <c r="AC3" s="11">
        <v>1</v>
      </c>
    </row>
    <row r="4" spans="1:29" ht="19.95" customHeight="1" x14ac:dyDescent="0.25">
      <c r="A4" s="12">
        <v>9770046666</v>
      </c>
      <c r="B4" s="12" t="s">
        <v>403</v>
      </c>
      <c r="C4" s="19" t="s">
        <v>401</v>
      </c>
      <c r="D4" s="12" t="s">
        <v>285</v>
      </c>
      <c r="E4" s="12" t="s">
        <v>402</v>
      </c>
      <c r="F4" s="56" t="s">
        <v>59</v>
      </c>
      <c r="G4" s="12" t="s">
        <v>72</v>
      </c>
      <c r="H4" s="12" t="s">
        <v>73</v>
      </c>
      <c r="I4" s="12" t="s">
        <v>74</v>
      </c>
      <c r="J4" s="12" t="s">
        <v>404</v>
      </c>
      <c r="K4" s="12"/>
      <c r="L4" s="12"/>
      <c r="M4" s="12"/>
      <c r="N4" s="12" t="s">
        <v>16</v>
      </c>
      <c r="O4" s="95" t="s">
        <v>390</v>
      </c>
      <c r="P4" s="38" t="s">
        <v>21</v>
      </c>
      <c r="Q4" s="11">
        <v>1</v>
      </c>
      <c r="R4" s="11">
        <v>1</v>
      </c>
      <c r="S4" s="11">
        <v>1</v>
      </c>
      <c r="T4" s="11">
        <v>1</v>
      </c>
      <c r="U4" s="11">
        <v>1</v>
      </c>
      <c r="V4" s="11">
        <v>1</v>
      </c>
      <c r="W4" s="11">
        <v>1</v>
      </c>
      <c r="X4" s="11">
        <v>1</v>
      </c>
      <c r="Y4" s="11">
        <v>1</v>
      </c>
      <c r="Z4" s="11">
        <v>1</v>
      </c>
      <c r="AA4" s="11">
        <v>1</v>
      </c>
      <c r="AB4" s="11">
        <v>1</v>
      </c>
      <c r="AC4" s="11">
        <v>1</v>
      </c>
    </row>
    <row r="5" spans="1:29" ht="19.95" customHeight="1" x14ac:dyDescent="0.25">
      <c r="A5" s="12">
        <v>9770046666</v>
      </c>
      <c r="B5" s="12" t="s">
        <v>403</v>
      </c>
      <c r="C5" s="19" t="s">
        <v>401</v>
      </c>
      <c r="D5" s="12" t="s">
        <v>285</v>
      </c>
      <c r="E5" s="12" t="s">
        <v>402</v>
      </c>
      <c r="F5" s="56" t="s">
        <v>59</v>
      </c>
      <c r="G5" s="12" t="s">
        <v>72</v>
      </c>
      <c r="H5" s="12" t="s">
        <v>73</v>
      </c>
      <c r="I5" s="12" t="s">
        <v>74</v>
      </c>
      <c r="J5" s="12" t="s">
        <v>404</v>
      </c>
      <c r="K5" s="12"/>
      <c r="L5" s="12"/>
      <c r="M5" s="12"/>
      <c r="N5" s="12" t="s">
        <v>16</v>
      </c>
      <c r="O5" s="95" t="s">
        <v>391</v>
      </c>
      <c r="P5" s="38" t="s">
        <v>21</v>
      </c>
      <c r="Q5" s="11">
        <v>1</v>
      </c>
      <c r="R5" s="11">
        <v>1</v>
      </c>
      <c r="S5" s="11">
        <v>1</v>
      </c>
      <c r="T5" s="11">
        <v>1</v>
      </c>
      <c r="U5" s="11">
        <v>1</v>
      </c>
      <c r="V5" s="11">
        <v>1</v>
      </c>
      <c r="W5" s="11">
        <v>1</v>
      </c>
      <c r="X5" s="11">
        <v>1</v>
      </c>
      <c r="Y5" s="11">
        <v>1</v>
      </c>
      <c r="Z5" s="11">
        <v>1</v>
      </c>
      <c r="AA5" s="11">
        <v>1</v>
      </c>
      <c r="AB5" s="11">
        <v>1</v>
      </c>
      <c r="AC5" s="11">
        <v>1</v>
      </c>
    </row>
    <row r="6" spans="1:29" ht="19.95" customHeight="1" x14ac:dyDescent="0.25">
      <c r="A6" s="12">
        <v>9770046666</v>
      </c>
      <c r="B6" s="12" t="s">
        <v>403</v>
      </c>
      <c r="C6" s="19" t="s">
        <v>401</v>
      </c>
      <c r="D6" s="12" t="s">
        <v>285</v>
      </c>
      <c r="E6" s="12" t="s">
        <v>402</v>
      </c>
      <c r="F6" s="56" t="s">
        <v>59</v>
      </c>
      <c r="G6" s="12" t="s">
        <v>72</v>
      </c>
      <c r="H6" s="12" t="s">
        <v>73</v>
      </c>
      <c r="I6" s="12" t="s">
        <v>74</v>
      </c>
      <c r="J6" s="12" t="s">
        <v>404</v>
      </c>
      <c r="K6" s="12"/>
      <c r="L6" s="12"/>
      <c r="M6" s="12"/>
      <c r="N6" s="12" t="s">
        <v>16</v>
      </c>
      <c r="O6" s="95" t="s">
        <v>392</v>
      </c>
      <c r="P6" s="38" t="s">
        <v>21</v>
      </c>
      <c r="Q6" s="11">
        <v>1</v>
      </c>
      <c r="R6" s="11">
        <v>1</v>
      </c>
      <c r="S6" s="11">
        <v>1</v>
      </c>
      <c r="T6" s="11">
        <v>1</v>
      </c>
      <c r="U6" s="11">
        <v>1</v>
      </c>
      <c r="V6" s="11">
        <v>1</v>
      </c>
      <c r="W6" s="11">
        <v>1</v>
      </c>
      <c r="X6" s="11">
        <v>1</v>
      </c>
      <c r="Y6" s="11">
        <v>1</v>
      </c>
      <c r="Z6" s="11">
        <v>1</v>
      </c>
      <c r="AA6" s="11">
        <v>1</v>
      </c>
      <c r="AB6" s="11">
        <v>1</v>
      </c>
      <c r="AC6" s="11">
        <v>1</v>
      </c>
    </row>
    <row r="7" spans="1:29" ht="19.95" customHeight="1" x14ac:dyDescent="0.25">
      <c r="A7" s="12">
        <v>9770046666</v>
      </c>
      <c r="B7" s="12" t="s">
        <v>403</v>
      </c>
      <c r="C7" s="19" t="s">
        <v>401</v>
      </c>
      <c r="D7" s="12" t="s">
        <v>285</v>
      </c>
      <c r="E7" s="12" t="s">
        <v>402</v>
      </c>
      <c r="F7" s="56" t="s">
        <v>59</v>
      </c>
      <c r="G7" s="12" t="s">
        <v>72</v>
      </c>
      <c r="H7" s="12" t="s">
        <v>73</v>
      </c>
      <c r="I7" s="12" t="s">
        <v>74</v>
      </c>
      <c r="J7" s="12" t="s">
        <v>404</v>
      </c>
      <c r="K7" s="12"/>
      <c r="L7" s="12"/>
      <c r="M7" s="12"/>
      <c r="N7" s="12" t="s">
        <v>16</v>
      </c>
      <c r="O7" s="95" t="s">
        <v>393</v>
      </c>
      <c r="P7" s="38" t="s">
        <v>21</v>
      </c>
      <c r="Q7" s="11">
        <v>1</v>
      </c>
      <c r="R7" s="11">
        <v>1</v>
      </c>
      <c r="S7" s="11">
        <v>1</v>
      </c>
      <c r="T7" s="11">
        <v>1</v>
      </c>
      <c r="U7" s="11">
        <v>1</v>
      </c>
      <c r="V7" s="11">
        <v>1</v>
      </c>
      <c r="W7" s="11">
        <v>1</v>
      </c>
      <c r="X7" s="11">
        <v>1</v>
      </c>
      <c r="Y7" s="11">
        <v>1</v>
      </c>
      <c r="Z7" s="11">
        <v>1</v>
      </c>
      <c r="AA7" s="11">
        <v>1</v>
      </c>
      <c r="AB7" s="11">
        <v>1</v>
      </c>
      <c r="AC7" s="11">
        <v>1</v>
      </c>
    </row>
    <row r="8" spans="1:29" ht="19.95" customHeight="1" x14ac:dyDescent="0.25">
      <c r="A8" s="12">
        <v>9770046666</v>
      </c>
      <c r="B8" s="12" t="s">
        <v>403</v>
      </c>
      <c r="C8" s="19" t="s">
        <v>401</v>
      </c>
      <c r="D8" s="12" t="s">
        <v>285</v>
      </c>
      <c r="E8" s="12" t="s">
        <v>402</v>
      </c>
      <c r="F8" s="56" t="s">
        <v>59</v>
      </c>
      <c r="G8" s="12" t="s">
        <v>72</v>
      </c>
      <c r="H8" s="12" t="s">
        <v>73</v>
      </c>
      <c r="I8" s="12" t="s">
        <v>74</v>
      </c>
      <c r="J8" s="12" t="s">
        <v>404</v>
      </c>
      <c r="K8" s="12"/>
      <c r="L8" s="12"/>
      <c r="M8" s="12"/>
      <c r="N8" s="12" t="s">
        <v>16</v>
      </c>
      <c r="O8" s="95" t="s">
        <v>394</v>
      </c>
      <c r="P8" s="38" t="s">
        <v>21</v>
      </c>
      <c r="Q8" s="11">
        <v>1</v>
      </c>
      <c r="R8" s="11">
        <v>1</v>
      </c>
      <c r="S8" s="11">
        <v>1</v>
      </c>
      <c r="T8" s="11">
        <v>1</v>
      </c>
      <c r="U8" s="11">
        <v>1</v>
      </c>
      <c r="V8" s="11">
        <v>1</v>
      </c>
      <c r="W8" s="11">
        <v>1</v>
      </c>
      <c r="X8" s="11">
        <v>1</v>
      </c>
      <c r="Y8" s="11">
        <v>1</v>
      </c>
      <c r="Z8" s="11">
        <v>1</v>
      </c>
      <c r="AA8" s="11">
        <v>1</v>
      </c>
      <c r="AB8" s="11">
        <v>1</v>
      </c>
      <c r="AC8" s="11">
        <v>1</v>
      </c>
    </row>
    <row r="9" spans="1:29" ht="19.95" customHeight="1" x14ac:dyDescent="0.25">
      <c r="A9" s="12">
        <v>9770046666</v>
      </c>
      <c r="B9" s="12" t="s">
        <v>403</v>
      </c>
      <c r="C9" s="19" t="s">
        <v>401</v>
      </c>
      <c r="D9" s="12" t="s">
        <v>285</v>
      </c>
      <c r="E9" s="12" t="s">
        <v>402</v>
      </c>
      <c r="F9" s="56" t="s">
        <v>59</v>
      </c>
      <c r="G9" s="12" t="s">
        <v>72</v>
      </c>
      <c r="H9" s="12" t="s">
        <v>73</v>
      </c>
      <c r="I9" s="12" t="s">
        <v>74</v>
      </c>
      <c r="J9" s="12" t="s">
        <v>404</v>
      </c>
      <c r="K9" s="12"/>
      <c r="L9" s="12"/>
      <c r="M9" s="12"/>
      <c r="N9" s="12" t="s">
        <v>16</v>
      </c>
      <c r="O9" s="95" t="s">
        <v>395</v>
      </c>
      <c r="P9" s="38" t="s">
        <v>21</v>
      </c>
      <c r="Q9" s="11">
        <v>1</v>
      </c>
      <c r="R9" s="11">
        <v>1</v>
      </c>
      <c r="S9" s="11">
        <v>1</v>
      </c>
      <c r="T9" s="11">
        <v>1</v>
      </c>
      <c r="U9" s="11">
        <v>1</v>
      </c>
      <c r="V9" s="11">
        <v>1</v>
      </c>
      <c r="W9" s="11">
        <v>1</v>
      </c>
      <c r="X9" s="11">
        <v>1</v>
      </c>
      <c r="Y9" s="11">
        <v>1</v>
      </c>
      <c r="Z9" s="11">
        <v>1</v>
      </c>
      <c r="AA9" s="11">
        <v>1</v>
      </c>
      <c r="AB9" s="11">
        <v>1</v>
      </c>
      <c r="AC9" s="11">
        <v>1</v>
      </c>
    </row>
    <row r="10" spans="1:29" ht="19.95" customHeight="1" x14ac:dyDescent="0.25">
      <c r="A10" s="12">
        <v>9770046666</v>
      </c>
      <c r="B10" s="12" t="s">
        <v>403</v>
      </c>
      <c r="C10" s="19" t="s">
        <v>401</v>
      </c>
      <c r="D10" s="12" t="s">
        <v>285</v>
      </c>
      <c r="E10" s="12" t="s">
        <v>402</v>
      </c>
      <c r="F10" s="56" t="s">
        <v>59</v>
      </c>
      <c r="G10" s="12" t="s">
        <v>72</v>
      </c>
      <c r="H10" s="12" t="s">
        <v>73</v>
      </c>
      <c r="I10" s="12" t="s">
        <v>74</v>
      </c>
      <c r="J10" s="12" t="s">
        <v>404</v>
      </c>
      <c r="K10" s="12"/>
      <c r="L10" s="12"/>
      <c r="M10" s="12"/>
      <c r="N10" s="12" t="s">
        <v>16</v>
      </c>
      <c r="O10" s="95" t="s">
        <v>396</v>
      </c>
      <c r="P10" s="38" t="s">
        <v>21</v>
      </c>
      <c r="Q10" s="11">
        <v>1</v>
      </c>
      <c r="R10" s="11">
        <v>1</v>
      </c>
      <c r="S10" s="11">
        <v>1</v>
      </c>
      <c r="T10" s="11">
        <v>1</v>
      </c>
      <c r="U10" s="11">
        <v>1</v>
      </c>
      <c r="V10" s="11">
        <v>1</v>
      </c>
      <c r="W10" s="11">
        <v>1</v>
      </c>
      <c r="X10" s="11">
        <v>1</v>
      </c>
      <c r="Y10" s="11">
        <v>1</v>
      </c>
      <c r="Z10" s="11">
        <v>1</v>
      </c>
      <c r="AA10" s="11">
        <v>1</v>
      </c>
      <c r="AB10" s="11">
        <v>1</v>
      </c>
      <c r="AC10" s="11">
        <v>1</v>
      </c>
    </row>
    <row r="11" spans="1:29" ht="19.95" customHeight="1" x14ac:dyDescent="0.25">
      <c r="A11" s="12">
        <v>9770046666</v>
      </c>
      <c r="B11" s="12" t="s">
        <v>403</v>
      </c>
      <c r="C11" s="19" t="s">
        <v>401</v>
      </c>
      <c r="D11" s="12" t="s">
        <v>285</v>
      </c>
      <c r="E11" s="12" t="s">
        <v>402</v>
      </c>
      <c r="F11" s="56" t="s">
        <v>59</v>
      </c>
      <c r="G11" s="12" t="s">
        <v>72</v>
      </c>
      <c r="H11" s="12" t="s">
        <v>73</v>
      </c>
      <c r="I11" s="12" t="s">
        <v>74</v>
      </c>
      <c r="J11" s="12" t="s">
        <v>404</v>
      </c>
      <c r="K11" s="12"/>
      <c r="L11" s="12"/>
      <c r="M11" s="12"/>
      <c r="N11" s="12" t="s">
        <v>16</v>
      </c>
      <c r="O11" s="95" t="s">
        <v>397</v>
      </c>
      <c r="P11" s="38" t="s">
        <v>21</v>
      </c>
      <c r="Q11" s="11">
        <v>1</v>
      </c>
      <c r="R11" s="11">
        <v>1</v>
      </c>
      <c r="S11" s="11">
        <v>1</v>
      </c>
      <c r="T11" s="11">
        <v>1</v>
      </c>
      <c r="U11" s="11">
        <v>1</v>
      </c>
      <c r="V11" s="11">
        <v>1</v>
      </c>
      <c r="W11" s="11">
        <v>1</v>
      </c>
      <c r="X11" s="11">
        <v>1</v>
      </c>
      <c r="Y11" s="11">
        <v>1</v>
      </c>
      <c r="Z11" s="11">
        <v>1</v>
      </c>
      <c r="AA11" s="11">
        <v>1</v>
      </c>
      <c r="AB11" s="11">
        <v>1</v>
      </c>
      <c r="AC11" s="11">
        <v>1</v>
      </c>
    </row>
    <row r="12" spans="1:29" ht="19.95" customHeight="1" x14ac:dyDescent="0.25">
      <c r="A12" s="12">
        <v>9770046666</v>
      </c>
      <c r="B12" s="12" t="s">
        <v>403</v>
      </c>
      <c r="C12" s="19" t="s">
        <v>401</v>
      </c>
      <c r="D12" s="12" t="s">
        <v>285</v>
      </c>
      <c r="E12" s="12" t="s">
        <v>402</v>
      </c>
      <c r="F12" s="56" t="s">
        <v>59</v>
      </c>
      <c r="G12" s="12" t="s">
        <v>72</v>
      </c>
      <c r="H12" s="12" t="s">
        <v>73</v>
      </c>
      <c r="I12" s="12" t="s">
        <v>74</v>
      </c>
      <c r="J12" s="12" t="s">
        <v>404</v>
      </c>
      <c r="K12" s="12"/>
      <c r="L12" s="12"/>
      <c r="M12" s="12"/>
      <c r="N12" s="12" t="s">
        <v>16</v>
      </c>
      <c r="O12" s="95" t="s">
        <v>398</v>
      </c>
      <c r="P12" s="38" t="s">
        <v>21</v>
      </c>
      <c r="Q12" s="11">
        <v>1</v>
      </c>
      <c r="R12" s="11">
        <v>1</v>
      </c>
      <c r="S12" s="11">
        <v>1</v>
      </c>
      <c r="T12" s="11">
        <v>1</v>
      </c>
      <c r="U12" s="11">
        <v>1</v>
      </c>
      <c r="V12" s="11">
        <v>1</v>
      </c>
      <c r="W12" s="11">
        <v>1</v>
      </c>
      <c r="X12" s="11">
        <v>1</v>
      </c>
      <c r="Y12" s="11">
        <v>1</v>
      </c>
      <c r="Z12" s="11">
        <v>1</v>
      </c>
      <c r="AA12" s="11">
        <v>1</v>
      </c>
      <c r="AB12" s="11">
        <v>1</v>
      </c>
      <c r="AC12" s="11">
        <v>1</v>
      </c>
    </row>
    <row r="13" spans="1:29" ht="19.95" customHeight="1" x14ac:dyDescent="0.25">
      <c r="A13" s="12">
        <v>9770046666</v>
      </c>
      <c r="B13" s="12" t="s">
        <v>403</v>
      </c>
      <c r="C13" s="19" t="s">
        <v>401</v>
      </c>
      <c r="D13" s="12" t="s">
        <v>285</v>
      </c>
      <c r="E13" s="12" t="s">
        <v>402</v>
      </c>
      <c r="F13" s="56" t="s">
        <v>59</v>
      </c>
      <c r="G13" s="12" t="s">
        <v>72</v>
      </c>
      <c r="H13" s="12" t="s">
        <v>73</v>
      </c>
      <c r="I13" s="12" t="s">
        <v>74</v>
      </c>
      <c r="J13" s="12" t="s">
        <v>404</v>
      </c>
      <c r="K13" s="12"/>
      <c r="L13" s="12"/>
      <c r="M13" s="12"/>
      <c r="N13" s="12" t="s">
        <v>16</v>
      </c>
      <c r="O13" s="95" t="s">
        <v>399</v>
      </c>
      <c r="P13" s="38" t="s">
        <v>21</v>
      </c>
      <c r="Q13" s="11">
        <v>1</v>
      </c>
      <c r="R13" s="11">
        <v>1</v>
      </c>
      <c r="S13" s="11">
        <v>1</v>
      </c>
      <c r="T13" s="11">
        <v>1</v>
      </c>
      <c r="U13" s="11">
        <v>1</v>
      </c>
      <c r="V13" s="11">
        <v>1</v>
      </c>
      <c r="W13" s="11">
        <v>1</v>
      </c>
      <c r="X13" s="11">
        <v>1</v>
      </c>
      <c r="Y13" s="11">
        <v>1</v>
      </c>
      <c r="Z13" s="11">
        <v>1</v>
      </c>
      <c r="AA13" s="11">
        <v>1</v>
      </c>
      <c r="AB13" s="11">
        <v>1</v>
      </c>
      <c r="AC13" s="11">
        <v>1</v>
      </c>
    </row>
    <row r="14" spans="1:29" ht="19.95" customHeight="1" x14ac:dyDescent="0.25">
      <c r="A14" s="12">
        <v>9770046666</v>
      </c>
      <c r="B14" s="12" t="s">
        <v>403</v>
      </c>
      <c r="C14" s="19" t="s">
        <v>401</v>
      </c>
      <c r="D14" s="12" t="s">
        <v>285</v>
      </c>
      <c r="E14" s="12" t="s">
        <v>402</v>
      </c>
      <c r="F14" s="56" t="s">
        <v>59</v>
      </c>
      <c r="G14" s="12" t="s">
        <v>72</v>
      </c>
      <c r="H14" s="12" t="s">
        <v>73</v>
      </c>
      <c r="I14" s="12" t="s">
        <v>74</v>
      </c>
      <c r="J14" s="12" t="s">
        <v>404</v>
      </c>
      <c r="K14" s="12"/>
      <c r="L14" s="12"/>
      <c r="M14" s="12"/>
      <c r="N14" s="12" t="s">
        <v>16</v>
      </c>
      <c r="O14" s="95" t="s">
        <v>400</v>
      </c>
      <c r="P14" s="38" t="s">
        <v>21</v>
      </c>
      <c r="Q14" s="11">
        <v>1</v>
      </c>
      <c r="R14" s="11">
        <v>1</v>
      </c>
      <c r="S14" s="11">
        <v>1</v>
      </c>
      <c r="T14" s="11">
        <v>1</v>
      </c>
      <c r="U14" s="11">
        <v>1</v>
      </c>
      <c r="V14" s="11">
        <v>1</v>
      </c>
      <c r="W14" s="11">
        <v>1</v>
      </c>
      <c r="X14" s="11">
        <v>1</v>
      </c>
      <c r="Y14" s="11">
        <v>1</v>
      </c>
      <c r="Z14" s="11">
        <v>1</v>
      </c>
      <c r="AA14" s="11">
        <v>1</v>
      </c>
      <c r="AB14" s="11">
        <v>1</v>
      </c>
      <c r="AC14" s="11">
        <v>1</v>
      </c>
    </row>
  </sheetData>
  <hyperlinks>
    <hyperlink ref="C2" r:id="rId1" xr:uid="{FD01045C-642A-449F-89FE-4660A42B36C5}"/>
    <hyperlink ref="C3" r:id="rId2" xr:uid="{268AB033-AC6E-4DE2-B3A0-7A1E6AE5F072}"/>
    <hyperlink ref="C4" r:id="rId3" xr:uid="{4D2B347F-938D-42B3-8DB6-9E06FF5B4A5C}"/>
    <hyperlink ref="C5" r:id="rId4" xr:uid="{7DAD36C4-47EC-449A-9350-326C02D862BC}"/>
    <hyperlink ref="C6" r:id="rId5" xr:uid="{DF9F0699-542E-44D5-BCBB-AF0E4AE21F8E}"/>
    <hyperlink ref="C7" r:id="rId6" xr:uid="{0DBDC728-4BF3-448B-8B49-23EA1F7AEF88}"/>
    <hyperlink ref="C8" r:id="rId7" xr:uid="{D7D165F8-95DD-4DFC-965C-B050C65F4A97}"/>
    <hyperlink ref="C9" r:id="rId8" xr:uid="{E115640E-4B1E-49D2-9591-B193D4F41056}"/>
    <hyperlink ref="C10" r:id="rId9" xr:uid="{46C7B369-CC58-44AC-B193-3CD9EA3EE32C}"/>
    <hyperlink ref="C11" r:id="rId10" xr:uid="{3B4A83D9-8139-4380-BAAB-8CB546EDA2A2}"/>
    <hyperlink ref="C12" r:id="rId11" xr:uid="{D9C850AB-C330-40D1-A3D0-ABB2BC4F7CE1}"/>
    <hyperlink ref="C13" r:id="rId12" xr:uid="{C5D0F262-BD37-4C4D-A8A4-109743483BF6}"/>
    <hyperlink ref="C14" r:id="rId13" xr:uid="{CC4032D5-E343-4004-B6AC-E58833ED5F95}"/>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00861-3285-4D54-A6A7-92DAD82E8D43}">
  <dimension ref="A1:AC18"/>
  <sheetViews>
    <sheetView topLeftCell="Q1" workbookViewId="0">
      <selection activeCell="AA12" sqref="AA12"/>
    </sheetView>
  </sheetViews>
  <sheetFormatPr defaultRowHeight="13.2" x14ac:dyDescent="0.25"/>
  <cols>
    <col min="1" max="1" width="12.109375" bestFit="1" customWidth="1"/>
    <col min="2" max="2" width="16.109375" bestFit="1" customWidth="1"/>
    <col min="3" max="3" width="31.77734375" bestFit="1" customWidth="1"/>
    <col min="5" max="5" width="8.5546875" bestFit="1" customWidth="1"/>
    <col min="6" max="6" width="9" bestFit="1" customWidth="1"/>
    <col min="7" max="7" width="17.77734375" bestFit="1" customWidth="1"/>
    <col min="9" max="9" width="17.21875" bestFit="1" customWidth="1"/>
    <col min="10" max="13" width="11.44140625" bestFit="1" customWidth="1"/>
    <col min="14" max="14" width="14.5546875" bestFit="1" customWidth="1"/>
    <col min="15" max="15" width="125.44140625" bestFit="1" customWidth="1"/>
  </cols>
  <sheetData>
    <row r="1" spans="1:29" ht="27.6" x14ac:dyDescent="0.25">
      <c r="A1" s="59" t="s">
        <v>0</v>
      </c>
      <c r="B1" s="59" t="s">
        <v>1</v>
      </c>
      <c r="C1" s="59" t="s">
        <v>2</v>
      </c>
      <c r="D1" s="60" t="s">
        <v>3</v>
      </c>
      <c r="E1" s="59" t="s">
        <v>4</v>
      </c>
      <c r="F1" s="59" t="s">
        <v>5</v>
      </c>
      <c r="G1" s="59" t="s">
        <v>6</v>
      </c>
      <c r="H1" s="59" t="s">
        <v>7</v>
      </c>
      <c r="I1" s="60" t="s">
        <v>8</v>
      </c>
      <c r="J1" s="59" t="s">
        <v>9</v>
      </c>
      <c r="K1" s="59" t="s">
        <v>10</v>
      </c>
      <c r="L1" s="59" t="s">
        <v>126</v>
      </c>
      <c r="M1" s="59" t="s">
        <v>127</v>
      </c>
      <c r="N1" s="59"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38">
        <v>7987423683</v>
      </c>
      <c r="B2" s="56" t="s">
        <v>386</v>
      </c>
      <c r="C2" s="10" t="s">
        <v>387</v>
      </c>
      <c r="D2" s="56" t="s">
        <v>310</v>
      </c>
      <c r="E2" s="56" t="s">
        <v>234</v>
      </c>
      <c r="F2" s="56" t="s">
        <v>385</v>
      </c>
      <c r="G2" s="56" t="s">
        <v>367</v>
      </c>
      <c r="H2" s="56" t="s">
        <v>73</v>
      </c>
      <c r="I2" s="56" t="s">
        <v>74</v>
      </c>
      <c r="J2" s="56"/>
      <c r="K2" s="56"/>
      <c r="L2" s="56"/>
      <c r="M2" s="56"/>
      <c r="N2" s="56" t="s">
        <v>16</v>
      </c>
      <c r="O2" s="85" t="s">
        <v>76</v>
      </c>
      <c r="P2" s="77" t="s">
        <v>70</v>
      </c>
      <c r="Q2" s="74">
        <v>300</v>
      </c>
      <c r="R2" s="76">
        <v>0</v>
      </c>
      <c r="S2" s="76">
        <v>0</v>
      </c>
      <c r="T2" s="76">
        <v>0</v>
      </c>
      <c r="U2" s="76">
        <v>0</v>
      </c>
      <c r="V2" s="76">
        <v>0</v>
      </c>
      <c r="W2" s="76">
        <v>0</v>
      </c>
      <c r="X2" s="76">
        <v>0</v>
      </c>
      <c r="Y2" s="76">
        <v>150</v>
      </c>
      <c r="Z2" s="76">
        <v>150</v>
      </c>
      <c r="AA2" s="76">
        <v>0</v>
      </c>
      <c r="AB2" s="76">
        <v>0</v>
      </c>
      <c r="AC2" s="76">
        <v>0</v>
      </c>
    </row>
    <row r="3" spans="1:29" ht="19.95" customHeight="1" x14ac:dyDescent="0.25">
      <c r="A3" s="38">
        <v>7987423683</v>
      </c>
      <c r="B3" s="56" t="s">
        <v>386</v>
      </c>
      <c r="C3" s="10" t="s">
        <v>387</v>
      </c>
      <c r="D3" s="56" t="s">
        <v>310</v>
      </c>
      <c r="E3" s="56" t="s">
        <v>234</v>
      </c>
      <c r="F3" s="56" t="s">
        <v>385</v>
      </c>
      <c r="G3" s="56" t="s">
        <v>367</v>
      </c>
      <c r="H3" s="56" t="s">
        <v>73</v>
      </c>
      <c r="I3" s="56" t="s">
        <v>74</v>
      </c>
      <c r="J3" s="56"/>
      <c r="K3" s="56"/>
      <c r="L3" s="56"/>
      <c r="M3" s="56"/>
      <c r="N3" s="56" t="s">
        <v>16</v>
      </c>
      <c r="O3" s="85" t="s">
        <v>357</v>
      </c>
      <c r="P3" s="77" t="s">
        <v>71</v>
      </c>
      <c r="Q3" s="74">
        <v>1.2</v>
      </c>
      <c r="R3" s="76">
        <v>0</v>
      </c>
      <c r="S3" s="76">
        <v>0</v>
      </c>
      <c r="T3" s="76">
        <v>0</v>
      </c>
      <c r="U3" s="76">
        <v>0</v>
      </c>
      <c r="V3" s="76">
        <v>0</v>
      </c>
      <c r="W3" s="76">
        <v>0</v>
      </c>
      <c r="X3" s="76">
        <v>0</v>
      </c>
      <c r="Y3" s="76">
        <v>0.6</v>
      </c>
      <c r="Z3" s="76">
        <v>0.6</v>
      </c>
      <c r="AA3" s="76">
        <v>4.7142857142857146E-2</v>
      </c>
      <c r="AB3" s="76">
        <v>0</v>
      </c>
      <c r="AC3" s="76">
        <v>0</v>
      </c>
    </row>
    <row r="4" spans="1:29" ht="19.95" customHeight="1" x14ac:dyDescent="0.25">
      <c r="A4" s="38">
        <v>7987423683</v>
      </c>
      <c r="B4" s="56" t="s">
        <v>386</v>
      </c>
      <c r="C4" s="10" t="s">
        <v>387</v>
      </c>
      <c r="D4" s="56" t="s">
        <v>310</v>
      </c>
      <c r="E4" s="56" t="s">
        <v>234</v>
      </c>
      <c r="F4" s="56" t="s">
        <v>385</v>
      </c>
      <c r="G4" s="56" t="s">
        <v>367</v>
      </c>
      <c r="H4" s="56" t="s">
        <v>73</v>
      </c>
      <c r="I4" s="56" t="s">
        <v>74</v>
      </c>
      <c r="J4" s="56"/>
      <c r="K4" s="56"/>
      <c r="L4" s="56"/>
      <c r="M4" s="56"/>
      <c r="N4" s="56" t="s">
        <v>16</v>
      </c>
      <c r="O4" s="85" t="s">
        <v>77</v>
      </c>
      <c r="P4" s="77" t="s">
        <v>70</v>
      </c>
      <c r="Q4" s="74">
        <v>1345</v>
      </c>
      <c r="R4" s="74">
        <v>0</v>
      </c>
      <c r="S4" s="74">
        <v>0</v>
      </c>
      <c r="T4" s="74">
        <v>100</v>
      </c>
      <c r="U4" s="74">
        <v>100</v>
      </c>
      <c r="V4" s="74">
        <v>100</v>
      </c>
      <c r="W4" s="74">
        <v>100</v>
      </c>
      <c r="X4" s="74">
        <v>175</v>
      </c>
      <c r="Y4" s="74">
        <v>175</v>
      </c>
      <c r="Z4" s="74">
        <v>175</v>
      </c>
      <c r="AA4" s="74">
        <v>120</v>
      </c>
      <c r="AB4" s="74">
        <v>120</v>
      </c>
      <c r="AC4" s="74">
        <v>180</v>
      </c>
    </row>
    <row r="5" spans="1:29" ht="19.95" customHeight="1" x14ac:dyDescent="0.25">
      <c r="A5" s="38">
        <v>7987423683</v>
      </c>
      <c r="B5" s="56" t="s">
        <v>386</v>
      </c>
      <c r="C5" s="10" t="s">
        <v>387</v>
      </c>
      <c r="D5" s="56" t="s">
        <v>310</v>
      </c>
      <c r="E5" s="56" t="s">
        <v>234</v>
      </c>
      <c r="F5" s="56" t="s">
        <v>385</v>
      </c>
      <c r="G5" s="56" t="s">
        <v>367</v>
      </c>
      <c r="H5" s="56" t="s">
        <v>73</v>
      </c>
      <c r="I5" s="56" t="s">
        <v>74</v>
      </c>
      <c r="J5" s="56"/>
      <c r="K5" s="56"/>
      <c r="L5" s="56"/>
      <c r="M5" s="56"/>
      <c r="N5" s="56" t="s">
        <v>16</v>
      </c>
      <c r="O5" s="85" t="s">
        <v>357</v>
      </c>
      <c r="P5" s="77" t="s">
        <v>71</v>
      </c>
      <c r="Q5" s="74">
        <v>4</v>
      </c>
      <c r="R5" s="76">
        <v>0.14448779078167895</v>
      </c>
      <c r="S5" s="76">
        <v>0.14448779078167895</v>
      </c>
      <c r="T5" s="76">
        <v>0.25</v>
      </c>
      <c r="U5" s="76">
        <v>0.25</v>
      </c>
      <c r="V5" s="76">
        <v>0.25</v>
      </c>
      <c r="W5" s="76">
        <v>0.25</v>
      </c>
      <c r="X5" s="76">
        <v>0.4</v>
      </c>
      <c r="Y5" s="76">
        <v>0.4</v>
      </c>
      <c r="Z5" s="76">
        <v>0.4</v>
      </c>
      <c r="AA5" s="76">
        <v>0.32</v>
      </c>
      <c r="AB5" s="76">
        <v>0.32</v>
      </c>
      <c r="AC5" s="76">
        <v>0.32</v>
      </c>
    </row>
    <row r="6" spans="1:29" ht="19.95" customHeight="1" x14ac:dyDescent="0.25">
      <c r="A6" s="38">
        <v>7987423683</v>
      </c>
      <c r="B6" s="56" t="s">
        <v>386</v>
      </c>
      <c r="C6" s="10" t="s">
        <v>387</v>
      </c>
      <c r="D6" s="56" t="s">
        <v>310</v>
      </c>
      <c r="E6" s="56" t="s">
        <v>234</v>
      </c>
      <c r="F6" s="56" t="s">
        <v>385</v>
      </c>
      <c r="G6" s="56" t="s">
        <v>367</v>
      </c>
      <c r="H6" s="56" t="s">
        <v>73</v>
      </c>
      <c r="I6" s="56" t="s">
        <v>74</v>
      </c>
      <c r="J6" s="56"/>
      <c r="K6" s="56"/>
      <c r="L6" s="56"/>
      <c r="M6" s="56"/>
      <c r="N6" s="56" t="s">
        <v>16</v>
      </c>
      <c r="O6" s="85" t="s">
        <v>358</v>
      </c>
      <c r="P6" s="77" t="s">
        <v>18</v>
      </c>
      <c r="Q6" s="74">
        <v>10</v>
      </c>
      <c r="R6" s="75">
        <v>1</v>
      </c>
      <c r="S6" s="75">
        <v>1</v>
      </c>
      <c r="T6" s="75">
        <v>1</v>
      </c>
      <c r="U6" s="20">
        <v>1</v>
      </c>
      <c r="V6" s="20">
        <v>1</v>
      </c>
      <c r="W6" s="20">
        <v>1</v>
      </c>
      <c r="X6" s="20">
        <v>1</v>
      </c>
      <c r="Y6" s="20">
        <v>0</v>
      </c>
      <c r="Z6" s="20">
        <v>1</v>
      </c>
      <c r="AA6" s="20">
        <v>1</v>
      </c>
      <c r="AB6" s="20">
        <v>1</v>
      </c>
      <c r="AC6" s="20">
        <v>0</v>
      </c>
    </row>
    <row r="7" spans="1:29" ht="19.95" customHeight="1" x14ac:dyDescent="0.25">
      <c r="A7" s="38">
        <v>7987423683</v>
      </c>
      <c r="B7" s="56" t="s">
        <v>386</v>
      </c>
      <c r="C7" s="10" t="s">
        <v>387</v>
      </c>
      <c r="D7" s="56" t="s">
        <v>310</v>
      </c>
      <c r="E7" s="56" t="s">
        <v>234</v>
      </c>
      <c r="F7" s="56" t="s">
        <v>385</v>
      </c>
      <c r="G7" s="56" t="s">
        <v>367</v>
      </c>
      <c r="H7" s="56" t="s">
        <v>73</v>
      </c>
      <c r="I7" s="56" t="s">
        <v>74</v>
      </c>
      <c r="J7" s="56"/>
      <c r="K7" s="56"/>
      <c r="L7" s="56"/>
      <c r="M7" s="56"/>
      <c r="N7" s="56" t="s">
        <v>16</v>
      </c>
      <c r="O7" s="85" t="s">
        <v>359</v>
      </c>
      <c r="P7" s="77" t="s">
        <v>18</v>
      </c>
      <c r="Q7" s="74">
        <v>10</v>
      </c>
      <c r="R7" s="75">
        <v>1</v>
      </c>
      <c r="S7" s="75">
        <v>1</v>
      </c>
      <c r="T7" s="75">
        <v>1</v>
      </c>
      <c r="U7" s="20">
        <v>1</v>
      </c>
      <c r="V7" s="20">
        <v>1</v>
      </c>
      <c r="W7" s="20">
        <v>1</v>
      </c>
      <c r="X7" s="20">
        <v>1</v>
      </c>
      <c r="Y7" s="20">
        <v>0</v>
      </c>
      <c r="Z7" s="20">
        <v>1</v>
      </c>
      <c r="AA7" s="20">
        <v>1</v>
      </c>
      <c r="AB7" s="20">
        <v>1</v>
      </c>
      <c r="AC7" s="20">
        <v>0</v>
      </c>
    </row>
    <row r="8" spans="1:29" ht="19.95" customHeight="1" x14ac:dyDescent="0.25">
      <c r="A8" s="38">
        <v>7987423683</v>
      </c>
      <c r="B8" s="56" t="s">
        <v>386</v>
      </c>
      <c r="C8" s="10" t="s">
        <v>387</v>
      </c>
      <c r="D8" s="56" t="s">
        <v>310</v>
      </c>
      <c r="E8" s="56" t="s">
        <v>234</v>
      </c>
      <c r="F8" s="56" t="s">
        <v>385</v>
      </c>
      <c r="G8" s="56" t="s">
        <v>367</v>
      </c>
      <c r="H8" s="56" t="s">
        <v>73</v>
      </c>
      <c r="I8" s="56" t="s">
        <v>74</v>
      </c>
      <c r="J8" s="56"/>
      <c r="K8" s="56"/>
      <c r="L8" s="56"/>
      <c r="M8" s="56"/>
      <c r="N8" s="56" t="s">
        <v>16</v>
      </c>
      <c r="O8" s="85" t="s">
        <v>360</v>
      </c>
      <c r="P8" s="77" t="s">
        <v>18</v>
      </c>
      <c r="Q8" s="74">
        <v>5</v>
      </c>
      <c r="R8" s="74">
        <v>4</v>
      </c>
      <c r="S8" s="74">
        <v>4</v>
      </c>
      <c r="T8" s="74">
        <v>4</v>
      </c>
      <c r="U8" s="74">
        <v>4</v>
      </c>
      <c r="V8" s="74">
        <v>4</v>
      </c>
      <c r="W8" s="74">
        <v>4</v>
      </c>
      <c r="X8" s="74">
        <v>4</v>
      </c>
      <c r="Y8" s="74">
        <v>4</v>
      </c>
      <c r="Z8" s="74">
        <v>4</v>
      </c>
      <c r="AA8" s="74">
        <v>4</v>
      </c>
      <c r="AB8" s="74">
        <v>4</v>
      </c>
      <c r="AC8" s="74">
        <v>4</v>
      </c>
    </row>
    <row r="9" spans="1:29" ht="19.95" customHeight="1" x14ac:dyDescent="0.25">
      <c r="A9" s="38">
        <v>7987423683</v>
      </c>
      <c r="B9" s="56" t="s">
        <v>386</v>
      </c>
      <c r="C9" s="10" t="s">
        <v>387</v>
      </c>
      <c r="D9" s="56" t="s">
        <v>310</v>
      </c>
      <c r="E9" s="56" t="s">
        <v>234</v>
      </c>
      <c r="F9" s="56" t="s">
        <v>385</v>
      </c>
      <c r="G9" s="56" t="s">
        <v>367</v>
      </c>
      <c r="H9" s="56" t="s">
        <v>73</v>
      </c>
      <c r="I9" s="56" t="s">
        <v>74</v>
      </c>
      <c r="J9" s="56"/>
      <c r="K9" s="56"/>
      <c r="L9" s="56"/>
      <c r="M9" s="56"/>
      <c r="N9" s="56" t="s">
        <v>16</v>
      </c>
      <c r="O9" s="85" t="s">
        <v>361</v>
      </c>
      <c r="P9" s="77" t="s">
        <v>18</v>
      </c>
      <c r="Q9" s="74">
        <v>6</v>
      </c>
      <c r="R9" s="75">
        <v>1</v>
      </c>
      <c r="S9" s="75">
        <v>1</v>
      </c>
      <c r="T9" s="75">
        <v>1</v>
      </c>
      <c r="U9" s="20">
        <v>0</v>
      </c>
      <c r="V9" s="20">
        <v>0</v>
      </c>
      <c r="W9" s="20">
        <v>0</v>
      </c>
      <c r="X9" s="20">
        <v>0</v>
      </c>
      <c r="Y9" s="20">
        <v>1</v>
      </c>
      <c r="Z9" s="20">
        <v>1</v>
      </c>
      <c r="AA9" s="20">
        <v>0</v>
      </c>
      <c r="AB9" s="20">
        <v>0</v>
      </c>
      <c r="AC9" s="20">
        <v>1</v>
      </c>
    </row>
    <row r="10" spans="1:29" ht="19.95" customHeight="1" x14ac:dyDescent="0.25">
      <c r="A10" s="38">
        <v>7987423683</v>
      </c>
      <c r="B10" s="56" t="s">
        <v>386</v>
      </c>
      <c r="C10" s="10" t="s">
        <v>387</v>
      </c>
      <c r="D10" s="56" t="s">
        <v>310</v>
      </c>
      <c r="E10" s="56" t="s">
        <v>234</v>
      </c>
      <c r="F10" s="56" t="s">
        <v>385</v>
      </c>
      <c r="G10" s="56" t="s">
        <v>367</v>
      </c>
      <c r="H10" s="56" t="s">
        <v>73</v>
      </c>
      <c r="I10" s="56" t="s">
        <v>74</v>
      </c>
      <c r="J10" s="56"/>
      <c r="K10" s="56"/>
      <c r="L10" s="56"/>
      <c r="M10" s="56"/>
      <c r="N10" s="56" t="s">
        <v>16</v>
      </c>
      <c r="O10" s="85" t="s">
        <v>362</v>
      </c>
      <c r="P10" s="77" t="s">
        <v>18</v>
      </c>
      <c r="Q10" s="74">
        <v>36</v>
      </c>
      <c r="R10" s="75">
        <v>3</v>
      </c>
      <c r="S10" s="75">
        <v>3</v>
      </c>
      <c r="T10" s="75">
        <v>3</v>
      </c>
      <c r="U10" s="20">
        <v>3</v>
      </c>
      <c r="V10" s="20">
        <v>3</v>
      </c>
      <c r="W10" s="20">
        <v>3</v>
      </c>
      <c r="X10" s="20">
        <v>3</v>
      </c>
      <c r="Y10" s="20">
        <v>3</v>
      </c>
      <c r="Z10" s="20">
        <v>3</v>
      </c>
      <c r="AA10" s="20">
        <v>3</v>
      </c>
      <c r="AB10" s="20">
        <v>3</v>
      </c>
      <c r="AC10" s="20">
        <v>3</v>
      </c>
    </row>
    <row r="11" spans="1:29" ht="19.95" customHeight="1" x14ac:dyDescent="0.25">
      <c r="A11" s="38">
        <v>7987423683</v>
      </c>
      <c r="B11" s="56" t="s">
        <v>386</v>
      </c>
      <c r="C11" s="10" t="s">
        <v>387</v>
      </c>
      <c r="D11" s="56" t="s">
        <v>310</v>
      </c>
      <c r="E11" s="56" t="s">
        <v>234</v>
      </c>
      <c r="F11" s="56" t="s">
        <v>385</v>
      </c>
      <c r="G11" s="56" t="s">
        <v>367</v>
      </c>
      <c r="H11" s="56" t="s">
        <v>73</v>
      </c>
      <c r="I11" s="56" t="s">
        <v>74</v>
      </c>
      <c r="J11" s="56"/>
      <c r="K11" s="56"/>
      <c r="L11" s="56"/>
      <c r="M11" s="56"/>
      <c r="N11" s="56" t="s">
        <v>16</v>
      </c>
      <c r="O11" s="85" t="s">
        <v>78</v>
      </c>
      <c r="P11" s="77" t="s">
        <v>18</v>
      </c>
      <c r="Q11" s="74">
        <v>12</v>
      </c>
      <c r="R11" s="75">
        <v>1</v>
      </c>
      <c r="S11" s="75">
        <v>1</v>
      </c>
      <c r="T11" s="75">
        <v>1</v>
      </c>
      <c r="U11" s="20">
        <v>1</v>
      </c>
      <c r="V11" s="20">
        <v>1</v>
      </c>
      <c r="W11" s="20">
        <v>1</v>
      </c>
      <c r="X11" s="20">
        <v>1</v>
      </c>
      <c r="Y11" s="20">
        <v>1</v>
      </c>
      <c r="Z11" s="20">
        <v>1</v>
      </c>
      <c r="AA11" s="20">
        <v>1</v>
      </c>
      <c r="AB11" s="20">
        <v>1</v>
      </c>
      <c r="AC11" s="20">
        <v>1</v>
      </c>
    </row>
    <row r="12" spans="1:29" ht="19.95" customHeight="1" x14ac:dyDescent="0.25">
      <c r="A12" s="38">
        <v>7987423683</v>
      </c>
      <c r="B12" s="56" t="s">
        <v>386</v>
      </c>
      <c r="C12" s="10" t="s">
        <v>387</v>
      </c>
      <c r="D12" s="56" t="s">
        <v>310</v>
      </c>
      <c r="E12" s="56" t="s">
        <v>234</v>
      </c>
      <c r="F12" s="56" t="s">
        <v>385</v>
      </c>
      <c r="G12" s="56" t="s">
        <v>367</v>
      </c>
      <c r="H12" s="56" t="s">
        <v>73</v>
      </c>
      <c r="I12" s="56" t="s">
        <v>74</v>
      </c>
      <c r="J12" s="56"/>
      <c r="K12" s="56"/>
      <c r="L12" s="56"/>
      <c r="M12" s="56"/>
      <c r="N12" s="56" t="s">
        <v>16</v>
      </c>
      <c r="O12" s="85" t="s">
        <v>79</v>
      </c>
      <c r="P12" s="77" t="s">
        <v>18</v>
      </c>
      <c r="Q12" s="74">
        <v>12</v>
      </c>
      <c r="R12" s="75">
        <v>1</v>
      </c>
      <c r="S12" s="75">
        <v>1</v>
      </c>
      <c r="T12" s="75">
        <v>1</v>
      </c>
      <c r="U12" s="75">
        <v>1</v>
      </c>
      <c r="V12" s="75">
        <v>1</v>
      </c>
      <c r="W12" s="75">
        <v>1</v>
      </c>
      <c r="X12" s="75">
        <v>1</v>
      </c>
      <c r="Y12" s="75">
        <v>1</v>
      </c>
      <c r="Z12" s="75">
        <v>1</v>
      </c>
      <c r="AA12" s="75">
        <v>1</v>
      </c>
      <c r="AB12" s="75">
        <v>1</v>
      </c>
      <c r="AC12" s="75">
        <v>1</v>
      </c>
    </row>
    <row r="13" spans="1:29" ht="19.95" customHeight="1" x14ac:dyDescent="0.25">
      <c r="A13" s="38">
        <v>7987423683</v>
      </c>
      <c r="B13" s="56" t="s">
        <v>386</v>
      </c>
      <c r="C13" s="10" t="s">
        <v>387</v>
      </c>
      <c r="D13" s="56" t="s">
        <v>310</v>
      </c>
      <c r="E13" s="56" t="s">
        <v>234</v>
      </c>
      <c r="F13" s="56" t="s">
        <v>385</v>
      </c>
      <c r="G13" s="56" t="s">
        <v>367</v>
      </c>
      <c r="H13" s="56" t="s">
        <v>73</v>
      </c>
      <c r="I13" s="56" t="s">
        <v>74</v>
      </c>
      <c r="J13" s="56"/>
      <c r="K13" s="56"/>
      <c r="L13" s="56"/>
      <c r="M13" s="56"/>
      <c r="N13" s="56" t="s">
        <v>16</v>
      </c>
      <c r="O13" s="85" t="s">
        <v>80</v>
      </c>
      <c r="P13" s="77" t="s">
        <v>18</v>
      </c>
      <c r="Q13" s="74">
        <v>7</v>
      </c>
      <c r="R13" s="75">
        <v>0</v>
      </c>
      <c r="S13" s="75">
        <v>0</v>
      </c>
      <c r="T13" s="75">
        <v>1</v>
      </c>
      <c r="U13" s="75">
        <v>1</v>
      </c>
      <c r="V13" s="75">
        <v>0</v>
      </c>
      <c r="W13" s="75">
        <v>1</v>
      </c>
      <c r="X13" s="75">
        <v>1</v>
      </c>
      <c r="Y13" s="75">
        <v>0</v>
      </c>
      <c r="Z13" s="75">
        <v>1</v>
      </c>
      <c r="AA13" s="75">
        <v>1</v>
      </c>
      <c r="AB13" s="75">
        <v>0</v>
      </c>
      <c r="AC13" s="75">
        <v>1</v>
      </c>
    </row>
    <row r="14" spans="1:29" ht="19.95" customHeight="1" x14ac:dyDescent="0.25">
      <c r="A14" s="38">
        <v>7987423683</v>
      </c>
      <c r="B14" s="56" t="s">
        <v>386</v>
      </c>
      <c r="C14" s="10" t="s">
        <v>387</v>
      </c>
      <c r="D14" s="56" t="s">
        <v>310</v>
      </c>
      <c r="E14" s="56" t="s">
        <v>234</v>
      </c>
      <c r="F14" s="56" t="s">
        <v>385</v>
      </c>
      <c r="G14" s="56" t="s">
        <v>367</v>
      </c>
      <c r="H14" s="56" t="s">
        <v>73</v>
      </c>
      <c r="I14" s="56" t="s">
        <v>74</v>
      </c>
      <c r="J14" s="56"/>
      <c r="K14" s="56"/>
      <c r="L14" s="56"/>
      <c r="M14" s="56"/>
      <c r="N14" s="56" t="s">
        <v>16</v>
      </c>
      <c r="O14" s="85" t="s">
        <v>81</v>
      </c>
      <c r="P14" s="77" t="s">
        <v>18</v>
      </c>
      <c r="Q14" s="74">
        <v>3</v>
      </c>
      <c r="R14" s="75">
        <v>0</v>
      </c>
      <c r="S14" s="75">
        <v>0</v>
      </c>
      <c r="T14" s="75">
        <v>0</v>
      </c>
      <c r="U14" s="20">
        <v>0</v>
      </c>
      <c r="V14" s="20">
        <v>0</v>
      </c>
      <c r="W14" s="20">
        <v>1</v>
      </c>
      <c r="X14" s="20">
        <v>1</v>
      </c>
      <c r="Y14" s="20">
        <v>0</v>
      </c>
      <c r="Z14" s="20">
        <v>0</v>
      </c>
      <c r="AA14" s="20">
        <v>0</v>
      </c>
      <c r="AB14" s="20">
        <v>0</v>
      </c>
      <c r="AC14" s="20">
        <v>1</v>
      </c>
    </row>
    <row r="15" spans="1:29" ht="19.95" customHeight="1" x14ac:dyDescent="0.25">
      <c r="A15" s="38">
        <v>7987423683</v>
      </c>
      <c r="B15" s="56" t="s">
        <v>386</v>
      </c>
      <c r="C15" s="10" t="s">
        <v>387</v>
      </c>
      <c r="D15" s="56" t="s">
        <v>310</v>
      </c>
      <c r="E15" s="56" t="s">
        <v>234</v>
      </c>
      <c r="F15" s="56" t="s">
        <v>385</v>
      </c>
      <c r="G15" s="56" t="s">
        <v>367</v>
      </c>
      <c r="H15" s="56" t="s">
        <v>73</v>
      </c>
      <c r="I15" s="56" t="s">
        <v>74</v>
      </c>
      <c r="J15" s="56"/>
      <c r="K15" s="56"/>
      <c r="L15" s="56"/>
      <c r="M15" s="56"/>
      <c r="N15" s="56" t="s">
        <v>16</v>
      </c>
      <c r="O15" s="85" t="s">
        <v>363</v>
      </c>
      <c r="P15" s="77" t="s">
        <v>18</v>
      </c>
      <c r="Q15" s="74">
        <v>3</v>
      </c>
      <c r="R15" s="75">
        <v>0</v>
      </c>
      <c r="S15" s="75">
        <v>0</v>
      </c>
      <c r="T15" s="75">
        <v>0</v>
      </c>
      <c r="U15" s="20">
        <v>1</v>
      </c>
      <c r="V15" s="20">
        <v>0</v>
      </c>
      <c r="W15" s="20">
        <v>0</v>
      </c>
      <c r="X15" s="20">
        <v>1</v>
      </c>
      <c r="Y15" s="20">
        <v>0</v>
      </c>
      <c r="Z15" s="20">
        <v>0</v>
      </c>
      <c r="AA15" s="20">
        <v>0</v>
      </c>
      <c r="AB15" s="20">
        <v>1</v>
      </c>
      <c r="AC15" s="20">
        <v>0</v>
      </c>
    </row>
    <row r="16" spans="1:29" ht="19.95" customHeight="1" x14ac:dyDescent="0.25">
      <c r="A16" s="38">
        <v>7987423683</v>
      </c>
      <c r="B16" s="56" t="s">
        <v>386</v>
      </c>
      <c r="C16" s="10" t="s">
        <v>387</v>
      </c>
      <c r="D16" s="56" t="s">
        <v>310</v>
      </c>
      <c r="E16" s="56" t="s">
        <v>234</v>
      </c>
      <c r="F16" s="56" t="s">
        <v>385</v>
      </c>
      <c r="G16" s="56" t="s">
        <v>367</v>
      </c>
      <c r="H16" s="56" t="s">
        <v>73</v>
      </c>
      <c r="I16" s="56" t="s">
        <v>74</v>
      </c>
      <c r="J16" s="56"/>
      <c r="K16" s="56"/>
      <c r="L16" s="56"/>
      <c r="M16" s="56"/>
      <c r="N16" s="56" t="s">
        <v>16</v>
      </c>
      <c r="O16" s="85" t="s">
        <v>364</v>
      </c>
      <c r="P16" s="77" t="s">
        <v>18</v>
      </c>
      <c r="Q16" s="74">
        <v>10</v>
      </c>
      <c r="R16" s="75">
        <v>0</v>
      </c>
      <c r="S16" s="75">
        <v>0</v>
      </c>
      <c r="T16" s="75">
        <v>0</v>
      </c>
      <c r="U16" s="20">
        <v>2</v>
      </c>
      <c r="V16" s="20">
        <v>0</v>
      </c>
      <c r="W16" s="20">
        <v>0</v>
      </c>
      <c r="X16" s="20">
        <v>2</v>
      </c>
      <c r="Y16" s="20">
        <v>2</v>
      </c>
      <c r="Z16" s="20">
        <v>2</v>
      </c>
      <c r="AA16" s="20">
        <v>0</v>
      </c>
      <c r="AB16" s="20">
        <v>2</v>
      </c>
      <c r="AC16" s="20">
        <v>0</v>
      </c>
    </row>
    <row r="17" spans="1:29" ht="19.95" customHeight="1" x14ac:dyDescent="0.25">
      <c r="A17" s="38">
        <v>7987423683</v>
      </c>
      <c r="B17" s="56" t="s">
        <v>386</v>
      </c>
      <c r="C17" s="10" t="s">
        <v>387</v>
      </c>
      <c r="D17" s="56" t="s">
        <v>310</v>
      </c>
      <c r="E17" s="56" t="s">
        <v>234</v>
      </c>
      <c r="F17" s="56" t="s">
        <v>385</v>
      </c>
      <c r="G17" s="56" t="s">
        <v>367</v>
      </c>
      <c r="H17" s="56" t="s">
        <v>73</v>
      </c>
      <c r="I17" s="56" t="s">
        <v>74</v>
      </c>
      <c r="J17" s="56"/>
      <c r="K17" s="56"/>
      <c r="L17" s="56"/>
      <c r="M17" s="56"/>
      <c r="N17" s="56" t="s">
        <v>16</v>
      </c>
      <c r="O17" s="85" t="s">
        <v>365</v>
      </c>
      <c r="P17" s="77" t="s">
        <v>18</v>
      </c>
      <c r="Q17" s="74">
        <v>12</v>
      </c>
      <c r="R17" s="75">
        <v>1</v>
      </c>
      <c r="S17" s="75">
        <v>1</v>
      </c>
      <c r="T17" s="75">
        <v>1</v>
      </c>
      <c r="U17" s="75">
        <v>1</v>
      </c>
      <c r="V17" s="75">
        <v>1</v>
      </c>
      <c r="W17" s="75">
        <v>1</v>
      </c>
      <c r="X17" s="75">
        <v>1</v>
      </c>
      <c r="Y17" s="75">
        <v>1</v>
      </c>
      <c r="Z17" s="75">
        <v>1</v>
      </c>
      <c r="AA17" s="75">
        <v>1</v>
      </c>
      <c r="AB17" s="75">
        <v>1</v>
      </c>
      <c r="AC17" s="75">
        <v>1</v>
      </c>
    </row>
    <row r="18" spans="1:29" ht="19.95" customHeight="1" x14ac:dyDescent="0.25">
      <c r="A18" s="38">
        <v>7987423683</v>
      </c>
      <c r="B18" s="56" t="s">
        <v>386</v>
      </c>
      <c r="C18" s="10" t="s">
        <v>387</v>
      </c>
      <c r="D18" s="56" t="s">
        <v>310</v>
      </c>
      <c r="E18" s="56" t="s">
        <v>234</v>
      </c>
      <c r="F18" s="56" t="s">
        <v>385</v>
      </c>
      <c r="G18" s="56" t="s">
        <v>367</v>
      </c>
      <c r="H18" s="56" t="s">
        <v>73</v>
      </c>
      <c r="I18" s="56" t="s">
        <v>74</v>
      </c>
      <c r="J18" s="56"/>
      <c r="K18" s="56"/>
      <c r="L18" s="56"/>
      <c r="M18" s="56"/>
      <c r="N18" s="56" t="s">
        <v>16</v>
      </c>
      <c r="O18" s="85" t="s">
        <v>366</v>
      </c>
      <c r="P18" s="77" t="s">
        <v>18</v>
      </c>
      <c r="Q18" s="74">
        <v>12</v>
      </c>
      <c r="R18" s="75">
        <v>1</v>
      </c>
      <c r="S18" s="75">
        <v>1</v>
      </c>
      <c r="T18" s="75">
        <v>1</v>
      </c>
      <c r="U18" s="75">
        <v>1</v>
      </c>
      <c r="V18" s="75">
        <v>1</v>
      </c>
      <c r="W18" s="75">
        <v>1</v>
      </c>
      <c r="X18" s="75">
        <v>1</v>
      </c>
      <c r="Y18" s="75">
        <v>1</v>
      </c>
      <c r="Z18" s="75">
        <v>1</v>
      </c>
      <c r="AA18" s="75">
        <v>1</v>
      </c>
      <c r="AB18" s="75">
        <v>1</v>
      </c>
      <c r="AC18" s="75">
        <v>1</v>
      </c>
    </row>
  </sheetData>
  <hyperlinks>
    <hyperlink ref="C2" r:id="rId1" xr:uid="{9310212B-153E-48DB-83EC-66D632FD8C32}"/>
    <hyperlink ref="C3" r:id="rId2" xr:uid="{61E44562-7689-4F76-A207-BA90F099AC3B}"/>
    <hyperlink ref="C4" r:id="rId3" xr:uid="{5FE724D9-0B4B-43E7-9C36-5D7615E6F629}"/>
    <hyperlink ref="C5" r:id="rId4" xr:uid="{CE22BF38-5078-4C51-B618-17672938DAC8}"/>
    <hyperlink ref="C6" r:id="rId5" xr:uid="{C3909E69-1E3F-4F78-A587-1748C15F2EEA}"/>
    <hyperlink ref="C7" r:id="rId6" xr:uid="{15DF3BB4-EA4E-47A1-90E3-91FDCF55FA56}"/>
    <hyperlink ref="C8" r:id="rId7" xr:uid="{96A8FB46-E637-4A7E-9B7A-7AA21BEBF849}"/>
    <hyperlink ref="C9" r:id="rId8" xr:uid="{3A956D66-E37E-4923-9943-1EFFDC5D33D9}"/>
    <hyperlink ref="C10" r:id="rId9" xr:uid="{AD13FA85-5ADC-4E36-8867-3D9207116592}"/>
    <hyperlink ref="C11" r:id="rId10" xr:uid="{818310D7-87A9-45E6-ABE6-B437705AF73F}"/>
    <hyperlink ref="C12" r:id="rId11" xr:uid="{6CFDCB5A-44FF-45AC-A024-CDF247386DE7}"/>
    <hyperlink ref="C13" r:id="rId12" xr:uid="{92641721-4D4E-4349-B631-1172082C5396}"/>
    <hyperlink ref="C14" r:id="rId13" xr:uid="{4B9B6653-B81C-46FA-9008-BD2EC4066C73}"/>
    <hyperlink ref="C15" r:id="rId14" xr:uid="{764A5926-A015-4917-AD83-2654E033216B}"/>
    <hyperlink ref="C16" r:id="rId15" xr:uid="{AFEB8019-E3EB-4306-9360-BF82B898E4BF}"/>
    <hyperlink ref="C17" r:id="rId16" xr:uid="{24446E9D-7850-4D86-A930-7A4439A133CC}"/>
    <hyperlink ref="C18" r:id="rId17" xr:uid="{146A5518-FAF4-4892-9A8E-994185B430DD}"/>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4AB2C-EEDE-41A5-A267-B40FE52FD147}">
  <dimension ref="A1:AC15"/>
  <sheetViews>
    <sheetView topLeftCell="P1" workbookViewId="0">
      <selection sqref="A1:AC1"/>
    </sheetView>
  </sheetViews>
  <sheetFormatPr defaultRowHeight="13.2" x14ac:dyDescent="0.25"/>
  <cols>
    <col min="1" max="1" width="12.109375" bestFit="1" customWidth="1"/>
    <col min="2" max="2" width="10.21875" bestFit="1" customWidth="1"/>
    <col min="3" max="3" width="28.77734375" bestFit="1" customWidth="1"/>
    <col min="4" max="4" width="10.44140625" customWidth="1"/>
    <col min="5" max="5" width="12" customWidth="1"/>
    <col min="6" max="6" width="11.33203125" bestFit="1" customWidth="1"/>
    <col min="7" max="7" width="12.44140625" bestFit="1" customWidth="1"/>
    <col min="8" max="8" width="9.88671875" customWidth="1"/>
    <col min="9" max="9" width="13.5546875" bestFit="1" customWidth="1"/>
    <col min="10" max="13" width="11.44140625" bestFit="1" customWidth="1"/>
    <col min="14" max="14" width="12.88671875" customWidth="1"/>
    <col min="15" max="15" width="85" customWidth="1"/>
    <col min="17" max="17" width="13.6640625" bestFit="1" customWidth="1"/>
    <col min="18" max="29" width="11" customWidth="1"/>
  </cols>
  <sheetData>
    <row r="1" spans="1:29" ht="36.6" customHeight="1" x14ac:dyDescent="0.25">
      <c r="A1" s="35" t="s">
        <v>0</v>
      </c>
      <c r="B1" s="58" t="s">
        <v>1</v>
      </c>
      <c r="C1" s="35" t="s">
        <v>2</v>
      </c>
      <c r="D1" s="58" t="s">
        <v>3</v>
      </c>
      <c r="E1" s="35" t="s">
        <v>4</v>
      </c>
      <c r="F1" s="35" t="s">
        <v>5</v>
      </c>
      <c r="G1" s="35" t="s">
        <v>6</v>
      </c>
      <c r="H1" s="35" t="s">
        <v>7</v>
      </c>
      <c r="I1" s="58" t="s">
        <v>8</v>
      </c>
      <c r="J1" s="35" t="s">
        <v>9</v>
      </c>
      <c r="K1" s="35" t="s">
        <v>10</v>
      </c>
      <c r="L1" s="35" t="s">
        <v>126</v>
      </c>
      <c r="M1" s="35" t="s">
        <v>127</v>
      </c>
      <c r="N1" s="58"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38">
        <v>9670616366</v>
      </c>
      <c r="B2" s="12" t="s">
        <v>423</v>
      </c>
      <c r="C2" s="19" t="s">
        <v>421</v>
      </c>
      <c r="D2" s="12" t="s">
        <v>404</v>
      </c>
      <c r="E2" s="12" t="s">
        <v>104</v>
      </c>
      <c r="F2" s="56" t="s">
        <v>59</v>
      </c>
      <c r="G2" s="12" t="s">
        <v>422</v>
      </c>
      <c r="H2" s="12" t="s">
        <v>15</v>
      </c>
      <c r="I2" s="12" t="s">
        <v>19</v>
      </c>
      <c r="J2" s="12"/>
      <c r="K2" s="12"/>
      <c r="L2" s="12"/>
      <c r="M2" s="12"/>
      <c r="N2" s="12" t="s">
        <v>16</v>
      </c>
      <c r="O2" s="97" t="s">
        <v>405</v>
      </c>
      <c r="P2" s="38" t="s">
        <v>21</v>
      </c>
      <c r="Q2" s="38" t="s">
        <v>419</v>
      </c>
      <c r="R2" s="96">
        <v>0</v>
      </c>
      <c r="S2" s="96">
        <v>0</v>
      </c>
      <c r="T2" s="96">
        <v>1</v>
      </c>
      <c r="U2" s="96">
        <v>0</v>
      </c>
      <c r="V2" s="96">
        <v>0</v>
      </c>
      <c r="W2" s="96">
        <v>1</v>
      </c>
      <c r="X2" s="96">
        <v>1</v>
      </c>
      <c r="Y2" s="96">
        <v>0</v>
      </c>
      <c r="Z2" s="96">
        <v>0</v>
      </c>
      <c r="AA2" s="96">
        <v>0</v>
      </c>
      <c r="AB2" s="96">
        <v>0</v>
      </c>
      <c r="AC2" s="96">
        <v>0</v>
      </c>
    </row>
    <row r="3" spans="1:29" ht="19.95" customHeight="1" x14ac:dyDescent="0.25">
      <c r="A3" s="38">
        <v>9670616366</v>
      </c>
      <c r="B3" s="12" t="s">
        <v>423</v>
      </c>
      <c r="C3" s="19" t="s">
        <v>421</v>
      </c>
      <c r="D3" s="12" t="s">
        <v>404</v>
      </c>
      <c r="E3" s="12" t="s">
        <v>104</v>
      </c>
      <c r="F3" s="56" t="s">
        <v>59</v>
      </c>
      <c r="G3" s="12" t="s">
        <v>422</v>
      </c>
      <c r="H3" s="12" t="s">
        <v>15</v>
      </c>
      <c r="I3" s="12" t="s">
        <v>19</v>
      </c>
      <c r="J3" s="12"/>
      <c r="K3" s="12"/>
      <c r="L3" s="12"/>
      <c r="M3" s="12"/>
      <c r="N3" s="12" t="s">
        <v>16</v>
      </c>
      <c r="O3" s="97" t="s">
        <v>406</v>
      </c>
      <c r="P3" s="38" t="s">
        <v>21</v>
      </c>
      <c r="Q3" s="38" t="s">
        <v>419</v>
      </c>
      <c r="R3" s="96">
        <v>0</v>
      </c>
      <c r="S3" s="96">
        <v>0</v>
      </c>
      <c r="T3" s="96">
        <v>1</v>
      </c>
      <c r="U3" s="96">
        <v>0</v>
      </c>
      <c r="V3" s="96">
        <v>0</v>
      </c>
      <c r="W3" s="96">
        <v>1</v>
      </c>
      <c r="X3" s="96">
        <v>1</v>
      </c>
      <c r="Y3" s="96">
        <v>0</v>
      </c>
      <c r="Z3" s="96">
        <v>0</v>
      </c>
      <c r="AA3" s="96">
        <v>0</v>
      </c>
      <c r="AB3" s="96">
        <v>0</v>
      </c>
      <c r="AC3" s="96">
        <v>0</v>
      </c>
    </row>
    <row r="4" spans="1:29" ht="19.95" customHeight="1" x14ac:dyDescent="0.25">
      <c r="A4" s="38">
        <v>9670616366</v>
      </c>
      <c r="B4" s="12" t="s">
        <v>423</v>
      </c>
      <c r="C4" s="19" t="s">
        <v>421</v>
      </c>
      <c r="D4" s="12" t="s">
        <v>404</v>
      </c>
      <c r="E4" s="12" t="s">
        <v>104</v>
      </c>
      <c r="F4" s="56" t="s">
        <v>59</v>
      </c>
      <c r="G4" s="12" t="s">
        <v>422</v>
      </c>
      <c r="H4" s="12" t="s">
        <v>15</v>
      </c>
      <c r="I4" s="12" t="s">
        <v>19</v>
      </c>
      <c r="J4" s="12"/>
      <c r="K4" s="12"/>
      <c r="L4" s="12"/>
      <c r="M4" s="12"/>
      <c r="N4" s="12" t="s">
        <v>16</v>
      </c>
      <c r="O4" s="97" t="s">
        <v>407</v>
      </c>
      <c r="P4" s="38" t="s">
        <v>21</v>
      </c>
      <c r="Q4" s="38" t="s">
        <v>419</v>
      </c>
      <c r="R4" s="96">
        <v>0</v>
      </c>
      <c r="S4" s="96">
        <v>1</v>
      </c>
      <c r="T4" s="96">
        <v>1</v>
      </c>
      <c r="U4" s="96">
        <v>0</v>
      </c>
      <c r="V4" s="96">
        <v>0</v>
      </c>
      <c r="W4" s="96">
        <v>1</v>
      </c>
      <c r="X4" s="96">
        <v>0</v>
      </c>
      <c r="Y4" s="96">
        <v>0</v>
      </c>
      <c r="Z4" s="96">
        <v>0</v>
      </c>
      <c r="AA4" s="96">
        <v>0</v>
      </c>
      <c r="AB4" s="96">
        <v>0</v>
      </c>
      <c r="AC4" s="96">
        <v>0</v>
      </c>
    </row>
    <row r="5" spans="1:29" ht="19.95" customHeight="1" x14ac:dyDescent="0.25">
      <c r="A5" s="38">
        <v>9670616366</v>
      </c>
      <c r="B5" s="12" t="s">
        <v>423</v>
      </c>
      <c r="C5" s="19" t="s">
        <v>421</v>
      </c>
      <c r="D5" s="12" t="s">
        <v>404</v>
      </c>
      <c r="E5" s="12" t="s">
        <v>104</v>
      </c>
      <c r="F5" s="56" t="s">
        <v>59</v>
      </c>
      <c r="G5" s="12" t="s">
        <v>422</v>
      </c>
      <c r="H5" s="12" t="s">
        <v>15</v>
      </c>
      <c r="I5" s="12" t="s">
        <v>19</v>
      </c>
      <c r="J5" s="12"/>
      <c r="K5" s="12"/>
      <c r="L5" s="12"/>
      <c r="M5" s="12"/>
      <c r="N5" s="12" t="s">
        <v>16</v>
      </c>
      <c r="O5" s="97" t="s">
        <v>408</v>
      </c>
      <c r="P5" s="55" t="s">
        <v>21</v>
      </c>
      <c r="Q5" s="38" t="s">
        <v>419</v>
      </c>
      <c r="R5" s="96">
        <v>0</v>
      </c>
      <c r="S5" s="96">
        <v>0</v>
      </c>
      <c r="T5" s="96">
        <v>1</v>
      </c>
      <c r="U5" s="96">
        <v>0</v>
      </c>
      <c r="V5" s="96">
        <v>0</v>
      </c>
      <c r="W5" s="96">
        <v>1</v>
      </c>
      <c r="X5" s="96">
        <v>1</v>
      </c>
      <c r="Y5" s="96">
        <v>0</v>
      </c>
      <c r="Z5" s="96">
        <v>0</v>
      </c>
      <c r="AA5" s="96">
        <v>0</v>
      </c>
      <c r="AB5" s="96">
        <v>0</v>
      </c>
      <c r="AC5" s="96">
        <v>0</v>
      </c>
    </row>
    <row r="6" spans="1:29" ht="19.95" customHeight="1" x14ac:dyDescent="0.25">
      <c r="A6" s="38">
        <v>9670616366</v>
      </c>
      <c r="B6" s="12" t="s">
        <v>423</v>
      </c>
      <c r="C6" s="19" t="s">
        <v>421</v>
      </c>
      <c r="D6" s="12" t="s">
        <v>404</v>
      </c>
      <c r="E6" s="12" t="s">
        <v>104</v>
      </c>
      <c r="F6" s="56" t="s">
        <v>59</v>
      </c>
      <c r="G6" s="12" t="s">
        <v>422</v>
      </c>
      <c r="H6" s="12" t="s">
        <v>15</v>
      </c>
      <c r="I6" s="12" t="s">
        <v>19</v>
      </c>
      <c r="J6" s="12"/>
      <c r="K6" s="12"/>
      <c r="L6" s="12"/>
      <c r="M6" s="12"/>
      <c r="N6" s="12" t="s">
        <v>16</v>
      </c>
      <c r="O6" s="97" t="s">
        <v>409</v>
      </c>
      <c r="P6" s="55" t="s">
        <v>420</v>
      </c>
      <c r="Q6" s="38">
        <v>1600</v>
      </c>
      <c r="R6" s="96">
        <v>0</v>
      </c>
      <c r="S6" s="96">
        <v>0</v>
      </c>
      <c r="T6" s="96">
        <v>0</v>
      </c>
      <c r="U6" s="96">
        <v>0</v>
      </c>
      <c r="V6" s="96">
        <v>0</v>
      </c>
      <c r="W6" s="96">
        <v>1</v>
      </c>
      <c r="X6" s="96">
        <v>0</v>
      </c>
      <c r="Y6" s="12">
        <v>600</v>
      </c>
      <c r="Z6" s="12">
        <v>1000</v>
      </c>
      <c r="AA6" s="96">
        <v>0</v>
      </c>
      <c r="AB6" s="96">
        <v>0</v>
      </c>
      <c r="AC6" s="96">
        <v>0</v>
      </c>
    </row>
    <row r="7" spans="1:29" ht="19.95" customHeight="1" x14ac:dyDescent="0.25">
      <c r="A7" s="38">
        <v>9670616366</v>
      </c>
      <c r="B7" s="12" t="s">
        <v>423</v>
      </c>
      <c r="C7" s="19" t="s">
        <v>421</v>
      </c>
      <c r="D7" s="12" t="s">
        <v>404</v>
      </c>
      <c r="E7" s="12" t="s">
        <v>104</v>
      </c>
      <c r="F7" s="56" t="s">
        <v>59</v>
      </c>
      <c r="G7" s="12" t="s">
        <v>422</v>
      </c>
      <c r="H7" s="12" t="s">
        <v>15</v>
      </c>
      <c r="I7" s="12" t="s">
        <v>19</v>
      </c>
      <c r="J7" s="12"/>
      <c r="K7" s="12"/>
      <c r="L7" s="12"/>
      <c r="M7" s="12"/>
      <c r="N7" s="12" t="s">
        <v>16</v>
      </c>
      <c r="O7" s="97" t="s">
        <v>410</v>
      </c>
      <c r="P7" s="55" t="s">
        <v>420</v>
      </c>
      <c r="Q7" s="38">
        <v>4300</v>
      </c>
      <c r="R7" s="96">
        <v>0</v>
      </c>
      <c r="S7" s="96">
        <v>0</v>
      </c>
      <c r="T7" s="96">
        <v>0</v>
      </c>
      <c r="U7" s="96">
        <v>0</v>
      </c>
      <c r="V7" s="96">
        <v>0</v>
      </c>
      <c r="W7" s="96">
        <v>0</v>
      </c>
      <c r="X7" s="12">
        <v>0</v>
      </c>
      <c r="Y7" s="12">
        <v>0</v>
      </c>
      <c r="Z7" s="12">
        <v>1000</v>
      </c>
      <c r="AA7" s="12">
        <v>2000</v>
      </c>
      <c r="AB7" s="12">
        <v>600</v>
      </c>
      <c r="AC7" s="12">
        <v>700</v>
      </c>
    </row>
    <row r="8" spans="1:29" ht="19.95" customHeight="1" x14ac:dyDescent="0.25">
      <c r="A8" s="38">
        <v>9670616366</v>
      </c>
      <c r="B8" s="12" t="s">
        <v>423</v>
      </c>
      <c r="C8" s="19" t="s">
        <v>421</v>
      </c>
      <c r="D8" s="12" t="s">
        <v>404</v>
      </c>
      <c r="E8" s="12" t="s">
        <v>104</v>
      </c>
      <c r="F8" s="56" t="s">
        <v>59</v>
      </c>
      <c r="G8" s="12" t="s">
        <v>422</v>
      </c>
      <c r="H8" s="12" t="s">
        <v>15</v>
      </c>
      <c r="I8" s="12" t="s">
        <v>19</v>
      </c>
      <c r="J8" s="12"/>
      <c r="K8" s="12"/>
      <c r="L8" s="12"/>
      <c r="M8" s="12"/>
      <c r="N8" s="12" t="s">
        <v>16</v>
      </c>
      <c r="O8" s="97" t="s">
        <v>411</v>
      </c>
      <c r="P8" s="55" t="s">
        <v>420</v>
      </c>
      <c r="Q8" s="38">
        <v>5000</v>
      </c>
      <c r="R8" s="12">
        <v>1200</v>
      </c>
      <c r="S8" s="12">
        <v>0</v>
      </c>
      <c r="T8" s="12">
        <v>0</v>
      </c>
      <c r="U8" s="12">
        <v>0</v>
      </c>
      <c r="V8" s="12">
        <v>0</v>
      </c>
      <c r="W8" s="12">
        <v>0</v>
      </c>
      <c r="X8" s="12">
        <v>0</v>
      </c>
      <c r="Y8" s="12">
        <v>0</v>
      </c>
      <c r="Z8" s="12">
        <v>0</v>
      </c>
      <c r="AA8" s="12">
        <v>0</v>
      </c>
      <c r="AB8" s="12">
        <v>0</v>
      </c>
      <c r="AC8" s="12">
        <v>2000</v>
      </c>
    </row>
    <row r="9" spans="1:29" ht="19.95" customHeight="1" x14ac:dyDescent="0.25">
      <c r="A9" s="38">
        <v>9670616366</v>
      </c>
      <c r="B9" s="12" t="s">
        <v>423</v>
      </c>
      <c r="C9" s="19" t="s">
        <v>421</v>
      </c>
      <c r="D9" s="12" t="s">
        <v>404</v>
      </c>
      <c r="E9" s="12" t="s">
        <v>104</v>
      </c>
      <c r="F9" s="56" t="s">
        <v>59</v>
      </c>
      <c r="G9" s="12" t="s">
        <v>422</v>
      </c>
      <c r="H9" s="12" t="s">
        <v>15</v>
      </c>
      <c r="I9" s="12" t="s">
        <v>19</v>
      </c>
      <c r="J9" s="12"/>
      <c r="K9" s="12"/>
      <c r="L9" s="12"/>
      <c r="M9" s="12"/>
      <c r="N9" s="12" t="s">
        <v>16</v>
      </c>
      <c r="O9" s="97" t="s">
        <v>412</v>
      </c>
      <c r="P9" s="55" t="s">
        <v>420</v>
      </c>
      <c r="Q9" s="38">
        <v>1000</v>
      </c>
      <c r="R9" s="12">
        <v>0</v>
      </c>
      <c r="S9" s="12">
        <v>0</v>
      </c>
      <c r="T9" s="12">
        <v>1000</v>
      </c>
      <c r="U9" s="12">
        <v>0</v>
      </c>
      <c r="V9" s="12">
        <v>0</v>
      </c>
      <c r="W9" s="12">
        <v>0</v>
      </c>
      <c r="X9" s="12">
        <v>0</v>
      </c>
      <c r="Y9" s="12">
        <v>0</v>
      </c>
      <c r="Z9" s="12">
        <v>0</v>
      </c>
      <c r="AA9" s="12">
        <v>0</v>
      </c>
      <c r="AB9" s="12">
        <v>0</v>
      </c>
      <c r="AC9" s="12">
        <v>0</v>
      </c>
    </row>
    <row r="10" spans="1:29" ht="19.95" customHeight="1" x14ac:dyDescent="0.25">
      <c r="A10" s="38">
        <v>9670616366</v>
      </c>
      <c r="B10" s="12" t="s">
        <v>423</v>
      </c>
      <c r="C10" s="19" t="s">
        <v>421</v>
      </c>
      <c r="D10" s="12" t="s">
        <v>404</v>
      </c>
      <c r="E10" s="12" t="s">
        <v>104</v>
      </c>
      <c r="F10" s="56" t="s">
        <v>59</v>
      </c>
      <c r="G10" s="12" t="s">
        <v>422</v>
      </c>
      <c r="H10" s="12" t="s">
        <v>15</v>
      </c>
      <c r="I10" s="12" t="s">
        <v>19</v>
      </c>
      <c r="J10" s="12"/>
      <c r="K10" s="12"/>
      <c r="L10" s="12"/>
      <c r="M10" s="12"/>
      <c r="N10" s="12" t="s">
        <v>16</v>
      </c>
      <c r="O10" s="97" t="s">
        <v>413</v>
      </c>
      <c r="P10" s="55" t="s">
        <v>420</v>
      </c>
      <c r="Q10" s="38">
        <v>500</v>
      </c>
      <c r="R10" s="12">
        <v>0</v>
      </c>
      <c r="S10" s="12">
        <v>0</v>
      </c>
      <c r="T10" s="12">
        <v>500</v>
      </c>
      <c r="U10" s="12">
        <v>0</v>
      </c>
      <c r="V10" s="12">
        <v>0</v>
      </c>
      <c r="W10" s="12">
        <v>0</v>
      </c>
      <c r="X10" s="12">
        <v>0</v>
      </c>
      <c r="Y10" s="12">
        <v>0</v>
      </c>
      <c r="Z10" s="12">
        <v>0</v>
      </c>
      <c r="AA10" s="12">
        <v>0</v>
      </c>
      <c r="AB10" s="12">
        <v>0</v>
      </c>
      <c r="AC10" s="12">
        <v>0</v>
      </c>
    </row>
    <row r="11" spans="1:29" ht="19.95" customHeight="1" x14ac:dyDescent="0.25">
      <c r="A11" s="38">
        <v>9670616366</v>
      </c>
      <c r="B11" s="12" t="s">
        <v>423</v>
      </c>
      <c r="C11" s="19" t="s">
        <v>421</v>
      </c>
      <c r="D11" s="12" t="s">
        <v>404</v>
      </c>
      <c r="E11" s="12" t="s">
        <v>104</v>
      </c>
      <c r="F11" s="56" t="s">
        <v>59</v>
      </c>
      <c r="G11" s="12" t="s">
        <v>422</v>
      </c>
      <c r="H11" s="12" t="s">
        <v>15</v>
      </c>
      <c r="I11" s="12" t="s">
        <v>19</v>
      </c>
      <c r="J11" s="12"/>
      <c r="K11" s="12"/>
      <c r="L11" s="12"/>
      <c r="M11" s="12"/>
      <c r="N11" s="12" t="s">
        <v>16</v>
      </c>
      <c r="O11" s="97" t="s">
        <v>414</v>
      </c>
      <c r="P11" s="55" t="s">
        <v>420</v>
      </c>
      <c r="Q11" s="38">
        <v>4000</v>
      </c>
      <c r="R11" s="12">
        <v>0</v>
      </c>
      <c r="S11" s="12">
        <v>0</v>
      </c>
      <c r="T11" s="12">
        <v>0</v>
      </c>
      <c r="U11" s="12">
        <v>0</v>
      </c>
      <c r="V11" s="12">
        <v>0</v>
      </c>
      <c r="W11" s="12">
        <v>500</v>
      </c>
      <c r="X11" s="12">
        <v>2500</v>
      </c>
      <c r="Y11" s="12">
        <v>1000</v>
      </c>
      <c r="Z11" s="12">
        <v>0</v>
      </c>
      <c r="AA11" s="12">
        <v>0</v>
      </c>
      <c r="AB11" s="12">
        <v>0</v>
      </c>
      <c r="AC11" s="12">
        <v>0</v>
      </c>
    </row>
    <row r="12" spans="1:29" ht="19.95" customHeight="1" x14ac:dyDescent="0.25">
      <c r="A12" s="38">
        <v>9670616366</v>
      </c>
      <c r="B12" s="12" t="s">
        <v>423</v>
      </c>
      <c r="C12" s="19" t="s">
        <v>421</v>
      </c>
      <c r="D12" s="12" t="s">
        <v>404</v>
      </c>
      <c r="E12" s="12" t="s">
        <v>104</v>
      </c>
      <c r="F12" s="56" t="s">
        <v>59</v>
      </c>
      <c r="G12" s="12" t="s">
        <v>422</v>
      </c>
      <c r="H12" s="12" t="s">
        <v>15</v>
      </c>
      <c r="I12" s="12" t="s">
        <v>19</v>
      </c>
      <c r="J12" s="12"/>
      <c r="K12" s="12"/>
      <c r="L12" s="12"/>
      <c r="M12" s="12"/>
      <c r="N12" s="12" t="s">
        <v>16</v>
      </c>
      <c r="O12" s="97" t="s">
        <v>415</v>
      </c>
      <c r="P12" s="55" t="s">
        <v>21</v>
      </c>
      <c r="Q12" s="38" t="s">
        <v>419</v>
      </c>
      <c r="R12" s="96">
        <v>1</v>
      </c>
      <c r="S12" s="96">
        <v>1</v>
      </c>
      <c r="T12" s="96">
        <v>1</v>
      </c>
      <c r="U12" s="96">
        <v>1</v>
      </c>
      <c r="V12" s="96">
        <v>1</v>
      </c>
      <c r="W12" s="96">
        <v>1</v>
      </c>
      <c r="X12" s="96">
        <v>1</v>
      </c>
      <c r="Y12" s="96">
        <v>1</v>
      </c>
      <c r="Z12" s="96">
        <v>1</v>
      </c>
      <c r="AA12" s="96">
        <v>1</v>
      </c>
      <c r="AB12" s="96">
        <v>1</v>
      </c>
      <c r="AC12" s="96">
        <v>1</v>
      </c>
    </row>
    <row r="13" spans="1:29" ht="19.95" customHeight="1" x14ac:dyDescent="0.25">
      <c r="A13" s="38">
        <v>9670616366</v>
      </c>
      <c r="B13" s="12" t="s">
        <v>423</v>
      </c>
      <c r="C13" s="19" t="s">
        <v>421</v>
      </c>
      <c r="D13" s="12" t="s">
        <v>404</v>
      </c>
      <c r="E13" s="12" t="s">
        <v>104</v>
      </c>
      <c r="F13" s="56" t="s">
        <v>59</v>
      </c>
      <c r="G13" s="12" t="s">
        <v>422</v>
      </c>
      <c r="H13" s="12" t="s">
        <v>15</v>
      </c>
      <c r="I13" s="12" t="s">
        <v>19</v>
      </c>
      <c r="J13" s="12"/>
      <c r="K13" s="12"/>
      <c r="L13" s="12"/>
      <c r="M13" s="12"/>
      <c r="N13" s="12" t="s">
        <v>16</v>
      </c>
      <c r="O13" s="97" t="s">
        <v>416</v>
      </c>
      <c r="P13" s="55" t="s">
        <v>21</v>
      </c>
      <c r="Q13" s="38" t="s">
        <v>419</v>
      </c>
      <c r="R13" s="96">
        <v>1</v>
      </c>
      <c r="S13" s="96">
        <v>1</v>
      </c>
      <c r="T13" s="96">
        <v>1</v>
      </c>
      <c r="U13" s="96">
        <v>1</v>
      </c>
      <c r="V13" s="96">
        <v>1</v>
      </c>
      <c r="W13" s="96">
        <v>1</v>
      </c>
      <c r="X13" s="96">
        <v>1</v>
      </c>
      <c r="Y13" s="96">
        <v>1</v>
      </c>
      <c r="Z13" s="96">
        <v>1</v>
      </c>
      <c r="AA13" s="96">
        <v>1</v>
      </c>
      <c r="AB13" s="96">
        <v>1</v>
      </c>
      <c r="AC13" s="96">
        <v>1</v>
      </c>
    </row>
    <row r="14" spans="1:29" ht="19.95" customHeight="1" x14ac:dyDescent="0.25">
      <c r="A14" s="38">
        <v>9670616366</v>
      </c>
      <c r="B14" s="12" t="s">
        <v>423</v>
      </c>
      <c r="C14" s="19" t="s">
        <v>421</v>
      </c>
      <c r="D14" s="12" t="s">
        <v>404</v>
      </c>
      <c r="E14" s="12" t="s">
        <v>104</v>
      </c>
      <c r="F14" s="56" t="s">
        <v>59</v>
      </c>
      <c r="G14" s="12" t="s">
        <v>422</v>
      </c>
      <c r="H14" s="12" t="s">
        <v>15</v>
      </c>
      <c r="I14" s="12" t="s">
        <v>19</v>
      </c>
      <c r="J14" s="12"/>
      <c r="K14" s="12"/>
      <c r="L14" s="12"/>
      <c r="M14" s="12"/>
      <c r="N14" s="12" t="s">
        <v>16</v>
      </c>
      <c r="O14" s="97" t="s">
        <v>417</v>
      </c>
      <c r="P14" s="38" t="s">
        <v>21</v>
      </c>
      <c r="Q14" s="38" t="s">
        <v>419</v>
      </c>
      <c r="R14" s="96">
        <v>1</v>
      </c>
      <c r="S14" s="96">
        <v>1</v>
      </c>
      <c r="T14" s="96">
        <v>1</v>
      </c>
      <c r="U14" s="96">
        <v>1</v>
      </c>
      <c r="V14" s="96">
        <v>1</v>
      </c>
      <c r="W14" s="96">
        <v>1</v>
      </c>
      <c r="X14" s="96">
        <v>1</v>
      </c>
      <c r="Y14" s="96">
        <v>1</v>
      </c>
      <c r="Z14" s="96">
        <v>1</v>
      </c>
      <c r="AA14" s="96">
        <v>1</v>
      </c>
      <c r="AB14" s="96">
        <v>1</v>
      </c>
      <c r="AC14" s="96">
        <v>1</v>
      </c>
    </row>
    <row r="15" spans="1:29" ht="19.95" customHeight="1" x14ac:dyDescent="0.25">
      <c r="A15" s="38">
        <v>9670616366</v>
      </c>
      <c r="B15" s="12" t="s">
        <v>423</v>
      </c>
      <c r="C15" s="19" t="s">
        <v>421</v>
      </c>
      <c r="D15" s="12" t="s">
        <v>404</v>
      </c>
      <c r="E15" s="12" t="s">
        <v>104</v>
      </c>
      <c r="F15" s="56" t="s">
        <v>59</v>
      </c>
      <c r="G15" s="12" t="s">
        <v>422</v>
      </c>
      <c r="H15" s="12" t="s">
        <v>15</v>
      </c>
      <c r="I15" s="12" t="s">
        <v>19</v>
      </c>
      <c r="J15" s="12"/>
      <c r="K15" s="12"/>
      <c r="L15" s="12"/>
      <c r="M15" s="12"/>
      <c r="N15" s="12" t="s">
        <v>16</v>
      </c>
      <c r="O15" s="97" t="s">
        <v>418</v>
      </c>
      <c r="P15" s="38" t="s">
        <v>21</v>
      </c>
      <c r="Q15" s="38" t="s">
        <v>419</v>
      </c>
      <c r="R15" s="96">
        <v>1</v>
      </c>
      <c r="S15" s="96">
        <v>1</v>
      </c>
      <c r="T15" s="96">
        <v>1</v>
      </c>
      <c r="U15" s="96">
        <v>1</v>
      </c>
      <c r="V15" s="96">
        <v>1</v>
      </c>
      <c r="W15" s="96">
        <v>1</v>
      </c>
      <c r="X15" s="96">
        <v>1</v>
      </c>
      <c r="Y15" s="96">
        <v>1</v>
      </c>
      <c r="Z15" s="96">
        <v>1</v>
      </c>
      <c r="AA15" s="96">
        <v>1</v>
      </c>
      <c r="AB15" s="96">
        <v>1</v>
      </c>
      <c r="AC15" s="96">
        <v>1</v>
      </c>
    </row>
  </sheetData>
  <phoneticPr fontId="23" type="noConversion"/>
  <hyperlinks>
    <hyperlink ref="C2" r:id="rId1" xr:uid="{1A02B3B1-DF3C-4DB5-8AF0-513576EBCF28}"/>
    <hyperlink ref="C3" r:id="rId2" xr:uid="{4CE4952C-237A-4AC4-AB9E-D26A345CCF2F}"/>
    <hyperlink ref="C4" r:id="rId3" xr:uid="{39D0D28D-D39B-4945-923B-3E93D5EBA38D}"/>
    <hyperlink ref="C5" r:id="rId4" xr:uid="{BF8FF194-019D-4EA3-B002-02DCBD97348C}"/>
    <hyperlink ref="C6" r:id="rId5" xr:uid="{EDB09B50-51CD-4625-BE1A-9BBEF5F55C4D}"/>
    <hyperlink ref="C7" r:id="rId6" xr:uid="{1E7225D5-4C48-4B6F-9192-2A07C74FF19F}"/>
    <hyperlink ref="C8" r:id="rId7" xr:uid="{F591D2B9-E362-4530-B653-55086EB63663}"/>
    <hyperlink ref="C9" r:id="rId8" xr:uid="{FBD235E2-F4DF-44E3-BBBB-DB001B9DEA2D}"/>
    <hyperlink ref="C10" r:id="rId9" xr:uid="{AAC8DC44-DEB5-429B-95A6-8BC8170D7C7F}"/>
    <hyperlink ref="C11" r:id="rId10" xr:uid="{60F21C66-FD50-4685-965D-D3CFC934BC00}"/>
    <hyperlink ref="C12" r:id="rId11" xr:uid="{F715B3C3-6D7A-461C-AD43-4A5AD88652B5}"/>
    <hyperlink ref="C13" r:id="rId12" xr:uid="{4C8B7BF3-6002-4D3A-AD71-8CB37C85D04D}"/>
    <hyperlink ref="C14" r:id="rId13" xr:uid="{23E5CD78-36E7-49B8-A054-B99475C724EE}"/>
    <hyperlink ref="C15" r:id="rId14" xr:uid="{F14BC8F8-058F-49DE-9323-F7002FFCE741}"/>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2D4A1-5B6E-424F-ABC5-55372156A096}">
  <dimension ref="A1:AC16"/>
  <sheetViews>
    <sheetView workbookViewId="0">
      <selection activeCell="AG7" sqref="AG7"/>
    </sheetView>
  </sheetViews>
  <sheetFormatPr defaultRowHeight="13.2" x14ac:dyDescent="0.25"/>
  <cols>
    <col min="1" max="1" width="12.109375" style="117" bestFit="1" customWidth="1"/>
    <col min="2" max="2" width="17.6640625" style="117" bestFit="1" customWidth="1"/>
    <col min="3" max="3" width="23.5546875" style="117" customWidth="1"/>
    <col min="4" max="4" width="10.21875" style="117" bestFit="1" customWidth="1"/>
    <col min="5" max="5" width="18.44140625" style="117" customWidth="1"/>
    <col min="6" max="6" width="9" style="117" bestFit="1" customWidth="1"/>
    <col min="7" max="7" width="12.44140625" style="117" bestFit="1" customWidth="1"/>
    <col min="8" max="8" width="10.77734375" style="117" customWidth="1"/>
    <col min="9" max="9" width="14.6640625" style="117" customWidth="1"/>
    <col min="10" max="10" width="11.88671875" style="117" customWidth="1"/>
    <col min="11" max="13" width="11.44140625" style="117" bestFit="1" customWidth="1"/>
    <col min="14" max="14" width="10.77734375" style="117" customWidth="1"/>
    <col min="15" max="15" width="55.5546875" style="117" customWidth="1"/>
    <col min="16" max="16" width="21.77734375" style="117" bestFit="1" customWidth="1"/>
    <col min="17" max="17" width="14.109375" style="117" bestFit="1" customWidth="1"/>
    <col min="18" max="16384" width="8.88671875" style="117"/>
  </cols>
  <sheetData>
    <row r="1" spans="1:29" ht="46.8" customHeight="1" x14ac:dyDescent="0.25">
      <c r="A1" s="59" t="s">
        <v>0</v>
      </c>
      <c r="B1" s="60" t="s">
        <v>1</v>
      </c>
      <c r="C1" s="59" t="s">
        <v>2</v>
      </c>
      <c r="D1" s="60" t="s">
        <v>3</v>
      </c>
      <c r="E1" s="59" t="s">
        <v>4</v>
      </c>
      <c r="F1" s="59" t="s">
        <v>5</v>
      </c>
      <c r="G1" s="59" t="s">
        <v>6</v>
      </c>
      <c r="H1" s="59" t="s">
        <v>7</v>
      </c>
      <c r="I1" s="60" t="s">
        <v>8</v>
      </c>
      <c r="J1" s="59" t="s">
        <v>9</v>
      </c>
      <c r="K1" s="59" t="s">
        <v>10</v>
      </c>
      <c r="L1" s="59" t="s">
        <v>126</v>
      </c>
      <c r="M1" s="59" t="s">
        <v>127</v>
      </c>
      <c r="N1" s="60"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88">
        <v>7067033011</v>
      </c>
      <c r="B2" s="56" t="s">
        <v>1056</v>
      </c>
      <c r="C2" s="43" t="s">
        <v>1054</v>
      </c>
      <c r="D2" s="56" t="s">
        <v>1055</v>
      </c>
      <c r="E2" s="56" t="s">
        <v>1057</v>
      </c>
      <c r="F2" s="56" t="s">
        <v>1059</v>
      </c>
      <c r="G2" s="56" t="s">
        <v>1058</v>
      </c>
      <c r="H2" s="56" t="s">
        <v>185</v>
      </c>
      <c r="I2" s="56" t="s">
        <v>184</v>
      </c>
      <c r="J2" s="56" t="s">
        <v>73</v>
      </c>
      <c r="K2" s="56"/>
      <c r="L2" s="56"/>
      <c r="M2" s="56"/>
      <c r="N2" s="56" t="s">
        <v>16</v>
      </c>
      <c r="O2" s="141" t="s">
        <v>1060</v>
      </c>
      <c r="P2" s="81" t="s">
        <v>70</v>
      </c>
      <c r="Q2" s="82">
        <v>2300</v>
      </c>
      <c r="R2" s="82">
        <v>450</v>
      </c>
      <c r="S2" s="82">
        <v>440</v>
      </c>
      <c r="T2" s="82">
        <v>440</v>
      </c>
      <c r="U2" s="82">
        <v>300</v>
      </c>
      <c r="V2" s="82">
        <v>0</v>
      </c>
      <c r="W2" s="82">
        <v>0</v>
      </c>
      <c r="X2" s="82">
        <v>0</v>
      </c>
      <c r="Y2" s="82">
        <v>150</v>
      </c>
      <c r="Z2" s="82">
        <v>150</v>
      </c>
      <c r="AA2" s="82">
        <v>90</v>
      </c>
      <c r="AB2" s="82">
        <v>150</v>
      </c>
      <c r="AC2" s="82">
        <v>150</v>
      </c>
    </row>
    <row r="3" spans="1:29" ht="19.95" customHeight="1" x14ac:dyDescent="0.25">
      <c r="A3" s="88">
        <v>7067033011</v>
      </c>
      <c r="B3" s="56" t="s">
        <v>1056</v>
      </c>
      <c r="C3" s="43" t="s">
        <v>1054</v>
      </c>
      <c r="D3" s="56" t="s">
        <v>1055</v>
      </c>
      <c r="E3" s="56" t="s">
        <v>1057</v>
      </c>
      <c r="F3" s="56" t="s">
        <v>1059</v>
      </c>
      <c r="G3" s="56" t="s">
        <v>1058</v>
      </c>
      <c r="H3" s="56" t="s">
        <v>185</v>
      </c>
      <c r="I3" s="56" t="s">
        <v>184</v>
      </c>
      <c r="J3" s="56" t="s">
        <v>73</v>
      </c>
      <c r="K3" s="56"/>
      <c r="L3" s="56"/>
      <c r="M3" s="56"/>
      <c r="N3" s="56" t="s">
        <v>16</v>
      </c>
      <c r="O3" s="141" t="s">
        <v>357</v>
      </c>
      <c r="P3" s="81" t="s">
        <v>71</v>
      </c>
      <c r="Q3" s="82">
        <v>7.5</v>
      </c>
      <c r="R3" s="84">
        <v>1.205357142857143</v>
      </c>
      <c r="S3" s="84">
        <v>1.205357142857143</v>
      </c>
      <c r="T3" s="84">
        <v>1.205357142857143</v>
      </c>
      <c r="U3" s="84">
        <v>0.80357142857142849</v>
      </c>
      <c r="V3" s="84">
        <v>0</v>
      </c>
      <c r="W3" s="84">
        <v>0</v>
      </c>
      <c r="X3" s="84">
        <v>0</v>
      </c>
      <c r="Y3" s="84">
        <v>0.5357142857142857</v>
      </c>
      <c r="Z3" s="84">
        <v>0.5357142857142857</v>
      </c>
      <c r="AA3" s="84">
        <v>0.29464285714285721</v>
      </c>
      <c r="AB3" s="84">
        <v>1.0714285714285714</v>
      </c>
      <c r="AC3" s="84">
        <v>0.80357142857142849</v>
      </c>
    </row>
    <row r="4" spans="1:29" ht="19.95" customHeight="1" x14ac:dyDescent="0.25">
      <c r="A4" s="88">
        <v>7067033011</v>
      </c>
      <c r="B4" s="56" t="s">
        <v>1056</v>
      </c>
      <c r="C4" s="43" t="s">
        <v>1054</v>
      </c>
      <c r="D4" s="56" t="s">
        <v>1055</v>
      </c>
      <c r="E4" s="56" t="s">
        <v>1057</v>
      </c>
      <c r="F4" s="56" t="s">
        <v>1059</v>
      </c>
      <c r="G4" s="56" t="s">
        <v>1058</v>
      </c>
      <c r="H4" s="56" t="s">
        <v>185</v>
      </c>
      <c r="I4" s="56" t="s">
        <v>184</v>
      </c>
      <c r="J4" s="56" t="s">
        <v>73</v>
      </c>
      <c r="K4" s="56"/>
      <c r="L4" s="56"/>
      <c r="M4" s="56"/>
      <c r="N4" s="56" t="s">
        <v>16</v>
      </c>
      <c r="O4" s="141" t="s">
        <v>1061</v>
      </c>
      <c r="P4" s="81" t="s">
        <v>70</v>
      </c>
      <c r="Q4" s="82">
        <v>900</v>
      </c>
      <c r="R4" s="82">
        <v>38.793103448275865</v>
      </c>
      <c r="S4" s="82">
        <v>38.793103448275865</v>
      </c>
      <c r="T4" s="82">
        <v>38.793103448275865</v>
      </c>
      <c r="U4" s="82">
        <v>46.551724137931032</v>
      </c>
      <c r="V4" s="82">
        <v>46.551724137931032</v>
      </c>
      <c r="W4" s="82">
        <v>46.551724137931032</v>
      </c>
      <c r="X4" s="82">
        <v>116.37931034482759</v>
      </c>
      <c r="Y4" s="82">
        <v>116.37931034482759</v>
      </c>
      <c r="Z4" s="82">
        <v>116.37931034482759</v>
      </c>
      <c r="AA4" s="82">
        <v>85.34482758620689</v>
      </c>
      <c r="AB4" s="82">
        <v>85.34482758620689</v>
      </c>
      <c r="AC4" s="82">
        <v>124.13793103448276</v>
      </c>
    </row>
    <row r="5" spans="1:29" ht="19.95" customHeight="1" x14ac:dyDescent="0.25">
      <c r="A5" s="88">
        <v>7067033011</v>
      </c>
      <c r="B5" s="56" t="s">
        <v>1056</v>
      </c>
      <c r="C5" s="43" t="s">
        <v>1054</v>
      </c>
      <c r="D5" s="56" t="s">
        <v>1055</v>
      </c>
      <c r="E5" s="56" t="s">
        <v>1057</v>
      </c>
      <c r="F5" s="56" t="s">
        <v>1059</v>
      </c>
      <c r="G5" s="56" t="s">
        <v>1058</v>
      </c>
      <c r="H5" s="56" t="s">
        <v>185</v>
      </c>
      <c r="I5" s="56" t="s">
        <v>184</v>
      </c>
      <c r="J5" s="56" t="s">
        <v>73</v>
      </c>
      <c r="K5" s="56"/>
      <c r="L5" s="56"/>
      <c r="M5" s="56"/>
      <c r="N5" s="56" t="s">
        <v>16</v>
      </c>
      <c r="O5" s="141" t="s">
        <v>357</v>
      </c>
      <c r="P5" s="81" t="s">
        <v>71</v>
      </c>
      <c r="Q5" s="82">
        <v>2</v>
      </c>
      <c r="R5" s="84">
        <v>7.2243895390839474E-2</v>
      </c>
      <c r="S5" s="84">
        <v>7.2243895390839474E-2</v>
      </c>
      <c r="T5" s="84">
        <v>7.2243895390839474E-2</v>
      </c>
      <c r="U5" s="84">
        <v>8.6692674469007372E-2</v>
      </c>
      <c r="V5" s="84">
        <v>8.6692674469007372E-2</v>
      </c>
      <c r="W5" s="84">
        <v>8.6692674469007372E-2</v>
      </c>
      <c r="X5" s="84">
        <v>0.17338534893801474</v>
      </c>
      <c r="Y5" s="84">
        <v>0.40456581418870108</v>
      </c>
      <c r="Z5" s="84">
        <v>0.40456581418870108</v>
      </c>
      <c r="AA5" s="84">
        <v>0.15893656985984686</v>
      </c>
      <c r="AB5" s="84">
        <v>0.15893656985984686</v>
      </c>
      <c r="AC5" s="84">
        <v>0.23118046525068633</v>
      </c>
    </row>
    <row r="6" spans="1:29" ht="19.95" customHeight="1" x14ac:dyDescent="0.25">
      <c r="A6" s="88">
        <v>7067033011</v>
      </c>
      <c r="B6" s="56" t="s">
        <v>1056</v>
      </c>
      <c r="C6" s="43" t="s">
        <v>1054</v>
      </c>
      <c r="D6" s="56" t="s">
        <v>1055</v>
      </c>
      <c r="E6" s="56" t="s">
        <v>1057</v>
      </c>
      <c r="F6" s="56" t="s">
        <v>1059</v>
      </c>
      <c r="G6" s="56" t="s">
        <v>1058</v>
      </c>
      <c r="H6" s="56" t="s">
        <v>185</v>
      </c>
      <c r="I6" s="56" t="s">
        <v>184</v>
      </c>
      <c r="J6" s="56" t="s">
        <v>73</v>
      </c>
      <c r="K6" s="56"/>
      <c r="L6" s="56"/>
      <c r="M6" s="56"/>
      <c r="N6" s="56" t="s">
        <v>16</v>
      </c>
      <c r="O6" s="141" t="s">
        <v>1062</v>
      </c>
      <c r="P6" s="81" t="s">
        <v>70</v>
      </c>
      <c r="Q6" s="158">
        <v>5000</v>
      </c>
      <c r="R6" s="159">
        <v>0</v>
      </c>
      <c r="S6" s="159">
        <v>0</v>
      </c>
      <c r="T6" s="159">
        <v>0</v>
      </c>
      <c r="U6" s="159">
        <v>0</v>
      </c>
      <c r="V6" s="159">
        <v>0</v>
      </c>
      <c r="W6" s="159">
        <v>0</v>
      </c>
      <c r="X6" s="159">
        <v>300</v>
      </c>
      <c r="Y6" s="159">
        <v>1200</v>
      </c>
      <c r="Z6" s="159">
        <v>1500</v>
      </c>
      <c r="AA6" s="159">
        <v>1500</v>
      </c>
      <c r="AB6" s="159">
        <v>500</v>
      </c>
      <c r="AC6" s="159">
        <v>0</v>
      </c>
    </row>
    <row r="7" spans="1:29" ht="19.95" customHeight="1" x14ac:dyDescent="0.25">
      <c r="A7" s="88">
        <v>7067033011</v>
      </c>
      <c r="B7" s="56" t="s">
        <v>1056</v>
      </c>
      <c r="C7" s="43" t="s">
        <v>1054</v>
      </c>
      <c r="D7" s="56" t="s">
        <v>1055</v>
      </c>
      <c r="E7" s="56" t="s">
        <v>1057</v>
      </c>
      <c r="F7" s="56" t="s">
        <v>1059</v>
      </c>
      <c r="G7" s="56" t="s">
        <v>1058</v>
      </c>
      <c r="H7" s="56" t="s">
        <v>185</v>
      </c>
      <c r="I7" s="56" t="s">
        <v>184</v>
      </c>
      <c r="J7" s="56" t="s">
        <v>73</v>
      </c>
      <c r="K7" s="56"/>
      <c r="L7" s="56"/>
      <c r="M7" s="56"/>
      <c r="N7" s="56" t="s">
        <v>16</v>
      </c>
      <c r="O7" s="141" t="s">
        <v>358</v>
      </c>
      <c r="P7" s="81" t="s">
        <v>18</v>
      </c>
      <c r="Q7" s="82">
        <v>10</v>
      </c>
      <c r="R7" s="38">
        <v>1</v>
      </c>
      <c r="S7" s="38">
        <v>1</v>
      </c>
      <c r="T7" s="38">
        <v>1</v>
      </c>
      <c r="U7" s="12">
        <v>1</v>
      </c>
      <c r="V7" s="12">
        <v>1</v>
      </c>
      <c r="W7" s="12">
        <v>1</v>
      </c>
      <c r="X7" s="12">
        <v>1</v>
      </c>
      <c r="Y7" s="12">
        <v>0</v>
      </c>
      <c r="Z7" s="12">
        <v>1</v>
      </c>
      <c r="AA7" s="12">
        <v>1</v>
      </c>
      <c r="AB7" s="12">
        <v>1</v>
      </c>
      <c r="AC7" s="12">
        <v>0</v>
      </c>
    </row>
    <row r="8" spans="1:29" ht="19.95" customHeight="1" x14ac:dyDescent="0.25">
      <c r="A8" s="88">
        <v>7067033011</v>
      </c>
      <c r="B8" s="56" t="s">
        <v>1056</v>
      </c>
      <c r="C8" s="43" t="s">
        <v>1054</v>
      </c>
      <c r="D8" s="56" t="s">
        <v>1055</v>
      </c>
      <c r="E8" s="56" t="s">
        <v>1057</v>
      </c>
      <c r="F8" s="56" t="s">
        <v>1059</v>
      </c>
      <c r="G8" s="56" t="s">
        <v>1058</v>
      </c>
      <c r="H8" s="56" t="s">
        <v>185</v>
      </c>
      <c r="I8" s="56" t="s">
        <v>184</v>
      </c>
      <c r="J8" s="56" t="s">
        <v>73</v>
      </c>
      <c r="K8" s="56"/>
      <c r="L8" s="56"/>
      <c r="M8" s="56"/>
      <c r="N8" s="56" t="s">
        <v>16</v>
      </c>
      <c r="O8" s="141" t="s">
        <v>359</v>
      </c>
      <c r="P8" s="81" t="s">
        <v>18</v>
      </c>
      <c r="Q8" s="82">
        <v>10</v>
      </c>
      <c r="R8" s="38">
        <v>1</v>
      </c>
      <c r="S8" s="38">
        <v>1</v>
      </c>
      <c r="T8" s="38">
        <v>1</v>
      </c>
      <c r="U8" s="12">
        <v>1</v>
      </c>
      <c r="V8" s="12">
        <v>1</v>
      </c>
      <c r="W8" s="12">
        <v>1</v>
      </c>
      <c r="X8" s="12">
        <v>1</v>
      </c>
      <c r="Y8" s="12">
        <v>0</v>
      </c>
      <c r="Z8" s="12">
        <v>1</v>
      </c>
      <c r="AA8" s="12">
        <v>1</v>
      </c>
      <c r="AB8" s="12">
        <v>1</v>
      </c>
      <c r="AC8" s="12">
        <v>0</v>
      </c>
    </row>
    <row r="9" spans="1:29" ht="19.95" customHeight="1" x14ac:dyDescent="0.25">
      <c r="A9" s="88">
        <v>7067033011</v>
      </c>
      <c r="B9" s="56" t="s">
        <v>1056</v>
      </c>
      <c r="C9" s="43" t="s">
        <v>1054</v>
      </c>
      <c r="D9" s="56" t="s">
        <v>1055</v>
      </c>
      <c r="E9" s="56" t="s">
        <v>1057</v>
      </c>
      <c r="F9" s="56" t="s">
        <v>1059</v>
      </c>
      <c r="G9" s="56" t="s">
        <v>1058</v>
      </c>
      <c r="H9" s="56" t="s">
        <v>185</v>
      </c>
      <c r="I9" s="56" t="s">
        <v>184</v>
      </c>
      <c r="J9" s="56" t="s">
        <v>73</v>
      </c>
      <c r="K9" s="56"/>
      <c r="L9" s="56"/>
      <c r="M9" s="56"/>
      <c r="N9" s="56" t="s">
        <v>16</v>
      </c>
      <c r="O9" s="141" t="s">
        <v>360</v>
      </c>
      <c r="P9" s="81" t="s">
        <v>18</v>
      </c>
      <c r="Q9" s="82">
        <v>5</v>
      </c>
      <c r="R9" s="82">
        <v>4</v>
      </c>
      <c r="S9" s="82">
        <v>4</v>
      </c>
      <c r="T9" s="82">
        <v>4</v>
      </c>
      <c r="U9" s="82">
        <v>4</v>
      </c>
      <c r="V9" s="82">
        <v>4</v>
      </c>
      <c r="W9" s="82">
        <v>4</v>
      </c>
      <c r="X9" s="82">
        <v>4</v>
      </c>
      <c r="Y9" s="82">
        <v>4</v>
      </c>
      <c r="Z9" s="82">
        <v>4</v>
      </c>
      <c r="AA9" s="82">
        <v>4</v>
      </c>
      <c r="AB9" s="82">
        <v>4</v>
      </c>
      <c r="AC9" s="82">
        <v>4</v>
      </c>
    </row>
    <row r="10" spans="1:29" ht="19.95" customHeight="1" x14ac:dyDescent="0.25">
      <c r="A10" s="88">
        <v>7067033011</v>
      </c>
      <c r="B10" s="56" t="s">
        <v>1056</v>
      </c>
      <c r="C10" s="43" t="s">
        <v>1054</v>
      </c>
      <c r="D10" s="56" t="s">
        <v>1055</v>
      </c>
      <c r="E10" s="56" t="s">
        <v>1057</v>
      </c>
      <c r="F10" s="56" t="s">
        <v>1059</v>
      </c>
      <c r="G10" s="56" t="s">
        <v>1058</v>
      </c>
      <c r="H10" s="56" t="s">
        <v>185</v>
      </c>
      <c r="I10" s="56" t="s">
        <v>184</v>
      </c>
      <c r="J10" s="56" t="s">
        <v>73</v>
      </c>
      <c r="K10" s="56"/>
      <c r="L10" s="56"/>
      <c r="M10" s="56"/>
      <c r="N10" s="56" t="s">
        <v>16</v>
      </c>
      <c r="O10" s="141" t="s">
        <v>361</v>
      </c>
      <c r="P10" s="81" t="s">
        <v>18</v>
      </c>
      <c r="Q10" s="82">
        <v>6</v>
      </c>
      <c r="R10" s="38">
        <v>1</v>
      </c>
      <c r="S10" s="38">
        <v>1</v>
      </c>
      <c r="T10" s="38">
        <v>1</v>
      </c>
      <c r="U10" s="12">
        <v>0</v>
      </c>
      <c r="V10" s="12">
        <v>0</v>
      </c>
      <c r="W10" s="12">
        <v>0</v>
      </c>
      <c r="X10" s="12">
        <v>0</v>
      </c>
      <c r="Y10" s="12">
        <v>1</v>
      </c>
      <c r="Z10" s="12">
        <v>1</v>
      </c>
      <c r="AA10" s="12">
        <v>0</v>
      </c>
      <c r="AB10" s="12">
        <v>0</v>
      </c>
      <c r="AC10" s="12">
        <v>1</v>
      </c>
    </row>
    <row r="11" spans="1:29" ht="19.95" customHeight="1" x14ac:dyDescent="0.25">
      <c r="A11" s="88">
        <v>7067033011</v>
      </c>
      <c r="B11" s="56" t="s">
        <v>1056</v>
      </c>
      <c r="C11" s="43" t="s">
        <v>1054</v>
      </c>
      <c r="D11" s="56" t="s">
        <v>1055</v>
      </c>
      <c r="E11" s="56" t="s">
        <v>1057</v>
      </c>
      <c r="F11" s="56" t="s">
        <v>1059</v>
      </c>
      <c r="G11" s="56" t="s">
        <v>1058</v>
      </c>
      <c r="H11" s="56" t="s">
        <v>185</v>
      </c>
      <c r="I11" s="56" t="s">
        <v>184</v>
      </c>
      <c r="J11" s="56" t="s">
        <v>73</v>
      </c>
      <c r="K11" s="56"/>
      <c r="L11" s="56"/>
      <c r="M11" s="56"/>
      <c r="N11" s="56" t="s">
        <v>16</v>
      </c>
      <c r="O11" s="141" t="s">
        <v>1063</v>
      </c>
      <c r="P11" s="81" t="s">
        <v>18</v>
      </c>
      <c r="Q11" s="82">
        <v>45</v>
      </c>
      <c r="R11" s="38">
        <v>0</v>
      </c>
      <c r="S11" s="38">
        <v>0</v>
      </c>
      <c r="T11" s="38">
        <v>0</v>
      </c>
      <c r="U11" s="12">
        <v>0</v>
      </c>
      <c r="V11" s="12">
        <v>0</v>
      </c>
      <c r="W11" s="12">
        <v>45</v>
      </c>
      <c r="X11" s="12">
        <v>0</v>
      </c>
      <c r="Y11" s="12">
        <v>0</v>
      </c>
      <c r="Z11" s="12">
        <v>0</v>
      </c>
      <c r="AA11" s="12">
        <v>0</v>
      </c>
      <c r="AB11" s="12">
        <v>0</v>
      </c>
      <c r="AC11" s="12">
        <v>0</v>
      </c>
    </row>
    <row r="12" spans="1:29" ht="19.95" customHeight="1" x14ac:dyDescent="0.25">
      <c r="A12" s="88">
        <v>7067033011</v>
      </c>
      <c r="B12" s="56" t="s">
        <v>1056</v>
      </c>
      <c r="C12" s="43" t="s">
        <v>1054</v>
      </c>
      <c r="D12" s="56" t="s">
        <v>1055</v>
      </c>
      <c r="E12" s="56" t="s">
        <v>1057</v>
      </c>
      <c r="F12" s="56" t="s">
        <v>1059</v>
      </c>
      <c r="G12" s="56" t="s">
        <v>1058</v>
      </c>
      <c r="H12" s="56" t="s">
        <v>185</v>
      </c>
      <c r="I12" s="56" t="s">
        <v>184</v>
      </c>
      <c r="J12" s="56" t="s">
        <v>73</v>
      </c>
      <c r="K12" s="56"/>
      <c r="L12" s="56"/>
      <c r="M12" s="56"/>
      <c r="N12" s="56" t="s">
        <v>16</v>
      </c>
      <c r="O12" s="141" t="s">
        <v>1064</v>
      </c>
      <c r="P12" s="81" t="s">
        <v>18</v>
      </c>
      <c r="Q12" s="82">
        <v>6</v>
      </c>
      <c r="R12" s="38">
        <v>0</v>
      </c>
      <c r="S12" s="38">
        <v>0</v>
      </c>
      <c r="T12" s="38">
        <v>0</v>
      </c>
      <c r="U12" s="12">
        <v>0</v>
      </c>
      <c r="V12" s="12">
        <v>0</v>
      </c>
      <c r="W12" s="12">
        <v>3</v>
      </c>
      <c r="X12" s="12">
        <v>0</v>
      </c>
      <c r="Y12" s="12">
        <v>0</v>
      </c>
      <c r="Z12" s="12">
        <v>0</v>
      </c>
      <c r="AA12" s="12">
        <v>3</v>
      </c>
      <c r="AB12" s="12">
        <v>0</v>
      </c>
      <c r="AC12" s="12">
        <v>0</v>
      </c>
    </row>
    <row r="13" spans="1:29" ht="19.95" customHeight="1" x14ac:dyDescent="0.25">
      <c r="A13" s="88">
        <v>7067033011</v>
      </c>
      <c r="B13" s="56" t="s">
        <v>1056</v>
      </c>
      <c r="C13" s="43" t="s">
        <v>1054</v>
      </c>
      <c r="D13" s="56" t="s">
        <v>1055</v>
      </c>
      <c r="E13" s="56" t="s">
        <v>1057</v>
      </c>
      <c r="F13" s="56" t="s">
        <v>1059</v>
      </c>
      <c r="G13" s="56" t="s">
        <v>1058</v>
      </c>
      <c r="H13" s="56" t="s">
        <v>185</v>
      </c>
      <c r="I13" s="56" t="s">
        <v>184</v>
      </c>
      <c r="J13" s="56" t="s">
        <v>73</v>
      </c>
      <c r="K13" s="56"/>
      <c r="L13" s="56"/>
      <c r="M13" s="56"/>
      <c r="N13" s="56" t="s">
        <v>16</v>
      </c>
      <c r="O13" s="141" t="s">
        <v>1065</v>
      </c>
      <c r="P13" s="81" t="s">
        <v>18</v>
      </c>
      <c r="Q13" s="82">
        <v>6</v>
      </c>
      <c r="R13" s="38">
        <v>0</v>
      </c>
      <c r="S13" s="38">
        <v>0</v>
      </c>
      <c r="T13" s="38">
        <v>0</v>
      </c>
      <c r="U13" s="12">
        <v>0</v>
      </c>
      <c r="V13" s="12">
        <v>0</v>
      </c>
      <c r="W13" s="12">
        <v>3</v>
      </c>
      <c r="X13" s="12">
        <v>0</v>
      </c>
      <c r="Y13" s="12">
        <v>0</v>
      </c>
      <c r="Z13" s="12">
        <v>0</v>
      </c>
      <c r="AA13" s="12">
        <v>3</v>
      </c>
      <c r="AB13" s="12">
        <v>0</v>
      </c>
      <c r="AC13" s="12">
        <v>0</v>
      </c>
    </row>
    <row r="14" spans="1:29" ht="19.95" customHeight="1" x14ac:dyDescent="0.25">
      <c r="A14" s="88">
        <v>7067033011</v>
      </c>
      <c r="B14" s="56" t="s">
        <v>1056</v>
      </c>
      <c r="C14" s="43" t="s">
        <v>1054</v>
      </c>
      <c r="D14" s="56" t="s">
        <v>1055</v>
      </c>
      <c r="E14" s="56" t="s">
        <v>1057</v>
      </c>
      <c r="F14" s="56" t="s">
        <v>1059</v>
      </c>
      <c r="G14" s="56" t="s">
        <v>1058</v>
      </c>
      <c r="H14" s="56" t="s">
        <v>185</v>
      </c>
      <c r="I14" s="56" t="s">
        <v>184</v>
      </c>
      <c r="J14" s="56" t="s">
        <v>73</v>
      </c>
      <c r="K14" s="56"/>
      <c r="L14" s="56"/>
      <c r="M14" s="56"/>
      <c r="N14" s="56" t="s">
        <v>16</v>
      </c>
      <c r="O14" s="141" t="s">
        <v>1066</v>
      </c>
      <c r="P14" s="81" t="s">
        <v>18</v>
      </c>
      <c r="Q14" s="82">
        <v>12</v>
      </c>
      <c r="R14" s="38">
        <v>1</v>
      </c>
      <c r="S14" s="38">
        <v>1</v>
      </c>
      <c r="T14" s="38">
        <v>1</v>
      </c>
      <c r="U14" s="38">
        <v>1</v>
      </c>
      <c r="V14" s="38">
        <v>1</v>
      </c>
      <c r="W14" s="38">
        <v>1</v>
      </c>
      <c r="X14" s="38">
        <v>1</v>
      </c>
      <c r="Y14" s="38">
        <v>1</v>
      </c>
      <c r="Z14" s="38">
        <v>1</v>
      </c>
      <c r="AA14" s="38">
        <v>1</v>
      </c>
      <c r="AB14" s="38">
        <v>1</v>
      </c>
      <c r="AC14" s="38">
        <v>1</v>
      </c>
    </row>
    <row r="15" spans="1:29" ht="19.95" customHeight="1" x14ac:dyDescent="0.25">
      <c r="A15" s="88">
        <v>7067033011</v>
      </c>
      <c r="B15" s="56" t="s">
        <v>1056</v>
      </c>
      <c r="C15" s="43" t="s">
        <v>1054</v>
      </c>
      <c r="D15" s="56" t="s">
        <v>1055</v>
      </c>
      <c r="E15" s="56" t="s">
        <v>1057</v>
      </c>
      <c r="F15" s="56" t="s">
        <v>1059</v>
      </c>
      <c r="G15" s="56" t="s">
        <v>1058</v>
      </c>
      <c r="H15" s="56" t="s">
        <v>185</v>
      </c>
      <c r="I15" s="56" t="s">
        <v>184</v>
      </c>
      <c r="J15" s="56" t="s">
        <v>73</v>
      </c>
      <c r="K15" s="56"/>
      <c r="L15" s="56"/>
      <c r="M15" s="56"/>
      <c r="N15" s="56" t="s">
        <v>16</v>
      </c>
      <c r="O15" s="141" t="s">
        <v>1067</v>
      </c>
      <c r="P15" s="81" t="s">
        <v>18</v>
      </c>
      <c r="Q15" s="82">
        <v>4</v>
      </c>
      <c r="R15" s="38">
        <v>1</v>
      </c>
      <c r="S15" s="38">
        <v>0</v>
      </c>
      <c r="T15" s="38">
        <v>0</v>
      </c>
      <c r="U15" s="38">
        <v>1</v>
      </c>
      <c r="V15" s="38">
        <v>0</v>
      </c>
      <c r="W15" s="38">
        <v>0</v>
      </c>
      <c r="X15" s="38">
        <v>1</v>
      </c>
      <c r="Y15" s="38">
        <v>0</v>
      </c>
      <c r="Z15" s="38">
        <v>0</v>
      </c>
      <c r="AA15" s="38">
        <v>1</v>
      </c>
      <c r="AB15" s="38">
        <v>0</v>
      </c>
      <c r="AC15" s="38">
        <v>0</v>
      </c>
    </row>
    <row r="16" spans="1:29" ht="19.95" customHeight="1" x14ac:dyDescent="0.25">
      <c r="A16" s="88">
        <v>7067033011</v>
      </c>
      <c r="B16" s="56" t="s">
        <v>1056</v>
      </c>
      <c r="C16" s="43" t="s">
        <v>1054</v>
      </c>
      <c r="D16" s="56" t="s">
        <v>1055</v>
      </c>
      <c r="E16" s="56" t="s">
        <v>1057</v>
      </c>
      <c r="F16" s="56" t="s">
        <v>1059</v>
      </c>
      <c r="G16" s="56" t="s">
        <v>1058</v>
      </c>
      <c r="H16" s="56" t="s">
        <v>185</v>
      </c>
      <c r="I16" s="56" t="s">
        <v>184</v>
      </c>
      <c r="J16" s="56" t="s">
        <v>73</v>
      </c>
      <c r="K16" s="56"/>
      <c r="L16" s="56"/>
      <c r="M16" s="56"/>
      <c r="N16" s="56" t="s">
        <v>16</v>
      </c>
      <c r="O16" s="141" t="s">
        <v>1068</v>
      </c>
      <c r="P16" s="81" t="s">
        <v>18</v>
      </c>
      <c r="Q16" s="82">
        <v>2</v>
      </c>
      <c r="R16" s="38">
        <v>1</v>
      </c>
      <c r="S16" s="38">
        <v>0</v>
      </c>
      <c r="T16" s="38">
        <v>0</v>
      </c>
      <c r="U16" s="12">
        <v>0</v>
      </c>
      <c r="V16" s="12">
        <v>0</v>
      </c>
      <c r="W16" s="12">
        <v>0</v>
      </c>
      <c r="X16" s="12">
        <v>1</v>
      </c>
      <c r="Y16" s="12">
        <v>0</v>
      </c>
      <c r="Z16" s="12">
        <v>0</v>
      </c>
      <c r="AA16" s="12">
        <v>0</v>
      </c>
      <c r="AB16" s="12">
        <v>0</v>
      </c>
      <c r="AC16" s="12">
        <v>0</v>
      </c>
    </row>
  </sheetData>
  <hyperlinks>
    <hyperlink ref="C2" r:id="rId1" xr:uid="{5FD5FAE8-1851-47CE-ACA4-A43B081A1EF0}"/>
    <hyperlink ref="C3" r:id="rId2" xr:uid="{4F360C62-248E-4E63-900A-5449C5656D7A}"/>
    <hyperlink ref="C4" r:id="rId3" xr:uid="{3997767F-6337-4000-A15F-5D2A055A19CF}"/>
    <hyperlink ref="C5" r:id="rId4" xr:uid="{DCE6751C-A61F-4EC5-B043-7AC24DE07BC6}"/>
    <hyperlink ref="C6" r:id="rId5" xr:uid="{3B5FD5A2-1083-481A-825F-BA2BBBAA1531}"/>
    <hyperlink ref="C7" r:id="rId6" xr:uid="{CC610643-D66D-4EE4-9C70-00A249C6488C}"/>
    <hyperlink ref="C8" r:id="rId7" xr:uid="{FA796511-C5A7-4264-8CE3-3197BC51B0E4}"/>
    <hyperlink ref="C9" r:id="rId8" xr:uid="{0384218A-3AFC-4B2E-9F5A-02F4BC94A355}"/>
    <hyperlink ref="C10" r:id="rId9" xr:uid="{586091FF-699E-46A2-99AC-6F3521AF4F9F}"/>
    <hyperlink ref="C11" r:id="rId10" xr:uid="{A181446D-B0F4-46C1-8E1D-89CEA0D8B0AF}"/>
    <hyperlink ref="C12" r:id="rId11" xr:uid="{40D52802-57BE-4A26-9A67-4B3C3EB22385}"/>
    <hyperlink ref="C13" r:id="rId12" xr:uid="{7F31258F-1AA8-49F0-B434-61DD4BB76374}"/>
    <hyperlink ref="C14" r:id="rId13" xr:uid="{336EBEA9-3EC1-421D-B46F-F231F6CF0E60}"/>
    <hyperlink ref="C15" r:id="rId14" xr:uid="{0EBA69C0-8F32-41A5-9F9A-C30D2205F5C3}"/>
    <hyperlink ref="C16" r:id="rId15" xr:uid="{803FD9A0-C6D1-446C-B5C5-1FBD8ECDAD1A}"/>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7DA38-A4F3-4A81-B59A-ACE6120DD985}">
  <dimension ref="A1:AC21"/>
  <sheetViews>
    <sheetView topLeftCell="F1" workbookViewId="0">
      <selection activeCell="F2" sqref="F2"/>
    </sheetView>
  </sheetViews>
  <sheetFormatPr defaultColWidth="9.6640625" defaultRowHeight="13.8" x14ac:dyDescent="0.25"/>
  <cols>
    <col min="1" max="1" width="13.109375" style="22" customWidth="1"/>
    <col min="2" max="2" width="12.44140625" style="22" bestFit="1" customWidth="1"/>
    <col min="3" max="3" width="33.21875" style="22" bestFit="1" customWidth="1"/>
    <col min="4" max="4" width="9.5546875" style="22" customWidth="1"/>
    <col min="5" max="5" width="8.109375" style="22" customWidth="1"/>
    <col min="6" max="6" width="10.21875" style="22" bestFit="1" customWidth="1"/>
    <col min="7" max="7" width="11.44140625" style="22" bestFit="1" customWidth="1"/>
    <col min="8" max="8" width="9" style="22" bestFit="1" customWidth="1"/>
    <col min="9" max="9" width="14.109375" style="22" customWidth="1"/>
    <col min="10" max="13" width="10.88671875" style="22" bestFit="1" customWidth="1"/>
    <col min="14" max="14" width="13.33203125" style="22" bestFit="1" customWidth="1"/>
    <col min="15" max="15" width="80.44140625" style="42" customWidth="1"/>
    <col min="16" max="16" width="38.88671875" style="22" customWidth="1"/>
    <col min="17" max="17" width="13.33203125" style="22" customWidth="1"/>
    <col min="18" max="20" width="10" style="22" customWidth="1"/>
    <col min="21" max="23" width="9.44140625" style="22" customWidth="1"/>
    <col min="24" max="29" width="9.77734375" style="22" bestFit="1" customWidth="1"/>
    <col min="30" max="16384" width="9.6640625" style="22"/>
  </cols>
  <sheetData>
    <row r="1" spans="1:29" s="33" customFormat="1" ht="26.4" x14ac:dyDescent="0.25">
      <c r="A1" s="28" t="s">
        <v>123</v>
      </c>
      <c r="B1" s="30" t="s">
        <v>1</v>
      </c>
      <c r="C1" s="28" t="s">
        <v>2</v>
      </c>
      <c r="D1" s="30" t="s">
        <v>3</v>
      </c>
      <c r="E1" s="28" t="s">
        <v>4</v>
      </c>
      <c r="F1" s="28" t="s">
        <v>5</v>
      </c>
      <c r="G1" s="28" t="s">
        <v>6</v>
      </c>
      <c r="H1" s="28" t="s">
        <v>7</v>
      </c>
      <c r="I1" s="30" t="s">
        <v>8</v>
      </c>
      <c r="J1" s="28" t="s">
        <v>9</v>
      </c>
      <c r="K1" s="28" t="s">
        <v>10</v>
      </c>
      <c r="L1" s="28" t="s">
        <v>126</v>
      </c>
      <c r="M1" s="28" t="s">
        <v>127</v>
      </c>
      <c r="N1" s="28"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38">
        <v>7869801101</v>
      </c>
      <c r="B2" s="12" t="s">
        <v>168</v>
      </c>
      <c r="C2" s="43" t="s">
        <v>167</v>
      </c>
      <c r="D2" s="12" t="s">
        <v>125</v>
      </c>
      <c r="E2" s="12" t="s">
        <v>116</v>
      </c>
      <c r="F2" s="56" t="s">
        <v>59</v>
      </c>
      <c r="G2" s="12" t="s">
        <v>169</v>
      </c>
      <c r="H2" s="12" t="s">
        <v>13</v>
      </c>
      <c r="I2" s="12" t="s">
        <v>14</v>
      </c>
      <c r="J2" s="12"/>
      <c r="K2" s="12"/>
      <c r="L2" s="12"/>
      <c r="M2" s="12"/>
      <c r="N2" s="12" t="s">
        <v>16</v>
      </c>
      <c r="O2" s="13" t="s">
        <v>131</v>
      </c>
      <c r="P2" s="44" t="s">
        <v>132</v>
      </c>
      <c r="Q2" s="45">
        <v>16</v>
      </c>
      <c r="R2" s="44">
        <v>0</v>
      </c>
      <c r="S2" s="44">
        <v>0</v>
      </c>
      <c r="T2" s="44">
        <v>0</v>
      </c>
      <c r="U2" s="44">
        <v>0</v>
      </c>
      <c r="V2" s="46">
        <v>16</v>
      </c>
      <c r="W2" s="44">
        <v>0</v>
      </c>
      <c r="X2" s="44">
        <v>0</v>
      </c>
      <c r="Y2" s="44">
        <v>0</v>
      </c>
      <c r="Z2" s="44">
        <v>0</v>
      </c>
      <c r="AA2" s="44">
        <v>0</v>
      </c>
      <c r="AB2" s="44">
        <v>0</v>
      </c>
      <c r="AC2" s="44">
        <v>0</v>
      </c>
    </row>
    <row r="3" spans="1:29" ht="19.95" customHeight="1" x14ac:dyDescent="0.25">
      <c r="A3" s="38">
        <v>7869801101</v>
      </c>
      <c r="B3" s="12" t="s">
        <v>168</v>
      </c>
      <c r="C3" s="43" t="s">
        <v>167</v>
      </c>
      <c r="D3" s="12" t="s">
        <v>125</v>
      </c>
      <c r="E3" s="12" t="s">
        <v>116</v>
      </c>
      <c r="F3" s="56" t="s">
        <v>59</v>
      </c>
      <c r="G3" s="12" t="s">
        <v>169</v>
      </c>
      <c r="H3" s="12" t="s">
        <v>13</v>
      </c>
      <c r="I3" s="12" t="s">
        <v>14</v>
      </c>
      <c r="J3" s="12"/>
      <c r="K3" s="12"/>
      <c r="L3" s="12"/>
      <c r="M3" s="12"/>
      <c r="N3" s="12" t="s">
        <v>16</v>
      </c>
      <c r="O3" s="13" t="s">
        <v>158</v>
      </c>
      <c r="P3" s="44" t="s">
        <v>133</v>
      </c>
      <c r="Q3" s="47">
        <v>1</v>
      </c>
      <c r="R3" s="44">
        <v>0</v>
      </c>
      <c r="S3" s="44">
        <v>0</v>
      </c>
      <c r="T3" s="44">
        <v>0</v>
      </c>
      <c r="U3" s="48">
        <v>0</v>
      </c>
      <c r="V3" s="49">
        <v>1</v>
      </c>
      <c r="W3" s="44">
        <v>0</v>
      </c>
      <c r="X3" s="44">
        <v>0</v>
      </c>
      <c r="Y3" s="44">
        <v>0</v>
      </c>
      <c r="Z3" s="44">
        <v>0</v>
      </c>
      <c r="AA3" s="44">
        <v>0</v>
      </c>
      <c r="AB3" s="44">
        <v>0</v>
      </c>
      <c r="AC3" s="44">
        <v>0</v>
      </c>
    </row>
    <row r="4" spans="1:29" ht="19.95" customHeight="1" x14ac:dyDescent="0.25">
      <c r="A4" s="38">
        <v>7869801101</v>
      </c>
      <c r="B4" s="12" t="s">
        <v>168</v>
      </c>
      <c r="C4" s="43" t="s">
        <v>167</v>
      </c>
      <c r="D4" s="12" t="s">
        <v>125</v>
      </c>
      <c r="E4" s="12" t="s">
        <v>116</v>
      </c>
      <c r="F4" s="56" t="s">
        <v>59</v>
      </c>
      <c r="G4" s="12" t="s">
        <v>169</v>
      </c>
      <c r="H4" s="12" t="s">
        <v>13</v>
      </c>
      <c r="I4" s="12" t="s">
        <v>14</v>
      </c>
      <c r="J4" s="12"/>
      <c r="K4" s="12"/>
      <c r="L4" s="12"/>
      <c r="M4" s="12"/>
      <c r="N4" s="12" t="s">
        <v>16</v>
      </c>
      <c r="O4" s="13" t="s">
        <v>159</v>
      </c>
      <c r="P4" s="44" t="s">
        <v>134</v>
      </c>
      <c r="Q4" s="45">
        <v>16</v>
      </c>
      <c r="R4" s="44">
        <v>0</v>
      </c>
      <c r="S4" s="44">
        <v>0</v>
      </c>
      <c r="T4" s="44">
        <v>0</v>
      </c>
      <c r="U4" s="44">
        <v>0</v>
      </c>
      <c r="V4" s="46">
        <v>8</v>
      </c>
      <c r="W4" s="46">
        <v>8</v>
      </c>
      <c r="X4" s="44">
        <v>0</v>
      </c>
      <c r="Y4" s="44">
        <v>0</v>
      </c>
      <c r="Z4" s="44">
        <v>0</v>
      </c>
      <c r="AA4" s="44">
        <v>0</v>
      </c>
      <c r="AB4" s="44">
        <v>0</v>
      </c>
      <c r="AC4" s="44">
        <v>0</v>
      </c>
    </row>
    <row r="5" spans="1:29" ht="19.95" customHeight="1" x14ac:dyDescent="0.25">
      <c r="A5" s="38">
        <v>7869801101</v>
      </c>
      <c r="B5" s="12" t="s">
        <v>168</v>
      </c>
      <c r="C5" s="43" t="s">
        <v>167</v>
      </c>
      <c r="D5" s="12" t="s">
        <v>125</v>
      </c>
      <c r="E5" s="12" t="s">
        <v>116</v>
      </c>
      <c r="F5" s="56" t="s">
        <v>59</v>
      </c>
      <c r="G5" s="12" t="s">
        <v>169</v>
      </c>
      <c r="H5" s="12" t="s">
        <v>13</v>
      </c>
      <c r="I5" s="12" t="s">
        <v>14</v>
      </c>
      <c r="J5" s="12"/>
      <c r="K5" s="12"/>
      <c r="L5" s="12"/>
      <c r="M5" s="12"/>
      <c r="N5" s="12" t="s">
        <v>16</v>
      </c>
      <c r="O5" s="13" t="s">
        <v>160</v>
      </c>
      <c r="P5" s="44" t="s">
        <v>135</v>
      </c>
      <c r="Q5" s="13">
        <v>62</v>
      </c>
      <c r="R5" s="44">
        <v>0</v>
      </c>
      <c r="S5" s="44">
        <v>0</v>
      </c>
      <c r="T5" s="44">
        <v>0</v>
      </c>
      <c r="U5" s="44">
        <v>62</v>
      </c>
      <c r="V5" s="44">
        <v>0</v>
      </c>
      <c r="W5" s="44">
        <v>0</v>
      </c>
      <c r="X5" s="44">
        <v>0</v>
      </c>
      <c r="Y5" s="44">
        <v>0</v>
      </c>
      <c r="Z5" s="44">
        <v>0</v>
      </c>
      <c r="AA5" s="44">
        <v>0</v>
      </c>
      <c r="AB5" s="44">
        <v>0</v>
      </c>
      <c r="AC5" s="44">
        <v>0</v>
      </c>
    </row>
    <row r="6" spans="1:29" ht="19.95" customHeight="1" x14ac:dyDescent="0.25">
      <c r="A6" s="38">
        <v>7869801101</v>
      </c>
      <c r="B6" s="12" t="s">
        <v>168</v>
      </c>
      <c r="C6" s="43" t="s">
        <v>167</v>
      </c>
      <c r="D6" s="12" t="s">
        <v>125</v>
      </c>
      <c r="E6" s="12" t="s">
        <v>116</v>
      </c>
      <c r="F6" s="56" t="s">
        <v>59</v>
      </c>
      <c r="G6" s="12" t="s">
        <v>169</v>
      </c>
      <c r="H6" s="12" t="s">
        <v>13</v>
      </c>
      <c r="I6" s="12" t="s">
        <v>14</v>
      </c>
      <c r="J6" s="12"/>
      <c r="K6" s="12"/>
      <c r="L6" s="12"/>
      <c r="M6" s="12"/>
      <c r="N6" s="12" t="s">
        <v>16</v>
      </c>
      <c r="O6" s="13" t="s">
        <v>161</v>
      </c>
      <c r="P6" s="44" t="s">
        <v>133</v>
      </c>
      <c r="Q6" s="47">
        <v>1</v>
      </c>
      <c r="R6" s="44">
        <v>0</v>
      </c>
      <c r="S6" s="44">
        <v>0</v>
      </c>
      <c r="T6" s="44">
        <v>0</v>
      </c>
      <c r="U6" s="44">
        <v>0</v>
      </c>
      <c r="V6" s="44">
        <v>9</v>
      </c>
      <c r="W6" s="44">
        <v>10</v>
      </c>
      <c r="X6" s="44">
        <v>19</v>
      </c>
      <c r="Y6" s="44">
        <v>12</v>
      </c>
      <c r="Z6" s="44">
        <v>7</v>
      </c>
      <c r="AA6" s="44">
        <v>0</v>
      </c>
      <c r="AB6" s="44">
        <v>2</v>
      </c>
      <c r="AC6" s="44">
        <v>3</v>
      </c>
    </row>
    <row r="7" spans="1:29" ht="19.95" customHeight="1" x14ac:dyDescent="0.25">
      <c r="A7" s="38">
        <v>7869801101</v>
      </c>
      <c r="B7" s="12" t="s">
        <v>168</v>
      </c>
      <c r="C7" s="43" t="s">
        <v>167</v>
      </c>
      <c r="D7" s="12" t="s">
        <v>125</v>
      </c>
      <c r="E7" s="12" t="s">
        <v>116</v>
      </c>
      <c r="F7" s="56" t="s">
        <v>59</v>
      </c>
      <c r="G7" s="12" t="s">
        <v>169</v>
      </c>
      <c r="H7" s="12" t="s">
        <v>13</v>
      </c>
      <c r="I7" s="12" t="s">
        <v>14</v>
      </c>
      <c r="J7" s="12"/>
      <c r="K7" s="12"/>
      <c r="L7" s="12"/>
      <c r="M7" s="12"/>
      <c r="N7" s="12" t="s">
        <v>16</v>
      </c>
      <c r="O7" s="13" t="s">
        <v>162</v>
      </c>
      <c r="P7" s="44" t="s">
        <v>134</v>
      </c>
      <c r="Q7" s="13">
        <v>62</v>
      </c>
      <c r="R7" s="44">
        <v>0</v>
      </c>
      <c r="S7" s="44">
        <v>0</v>
      </c>
      <c r="T7" s="44">
        <v>0</v>
      </c>
      <c r="U7" s="44">
        <v>0</v>
      </c>
      <c r="V7" s="44">
        <v>9</v>
      </c>
      <c r="W7" s="44">
        <v>10</v>
      </c>
      <c r="X7" s="44">
        <v>19</v>
      </c>
      <c r="Y7" s="44">
        <v>12</v>
      </c>
      <c r="Z7" s="44">
        <v>7</v>
      </c>
      <c r="AA7" s="44">
        <v>0</v>
      </c>
      <c r="AB7" s="44">
        <v>2</v>
      </c>
      <c r="AC7" s="44">
        <v>3</v>
      </c>
    </row>
    <row r="8" spans="1:29" ht="19.95" customHeight="1" x14ac:dyDescent="0.25">
      <c r="A8" s="38">
        <v>7869801101</v>
      </c>
      <c r="B8" s="12" t="s">
        <v>168</v>
      </c>
      <c r="C8" s="43" t="s">
        <v>167</v>
      </c>
      <c r="D8" s="12" t="s">
        <v>125</v>
      </c>
      <c r="E8" s="12" t="s">
        <v>116</v>
      </c>
      <c r="F8" s="56" t="s">
        <v>59</v>
      </c>
      <c r="G8" s="12" t="s">
        <v>169</v>
      </c>
      <c r="H8" s="12" t="s">
        <v>13</v>
      </c>
      <c r="I8" s="12" t="s">
        <v>14</v>
      </c>
      <c r="J8" s="12"/>
      <c r="K8" s="12"/>
      <c r="L8" s="12"/>
      <c r="M8" s="12"/>
      <c r="N8" s="12" t="s">
        <v>16</v>
      </c>
      <c r="O8" s="13" t="s">
        <v>136</v>
      </c>
      <c r="P8" s="44" t="s">
        <v>137</v>
      </c>
      <c r="Q8" s="13">
        <v>62</v>
      </c>
      <c r="R8" s="44">
        <v>0</v>
      </c>
      <c r="S8" s="44">
        <v>0</v>
      </c>
      <c r="T8" s="44">
        <v>0</v>
      </c>
      <c r="U8" s="44">
        <v>0</v>
      </c>
      <c r="V8" s="44">
        <v>9</v>
      </c>
      <c r="W8" s="44">
        <v>10</v>
      </c>
      <c r="X8" s="44">
        <v>19</v>
      </c>
      <c r="Y8" s="44">
        <v>12</v>
      </c>
      <c r="Z8" s="44">
        <v>7</v>
      </c>
      <c r="AA8" s="44">
        <v>0</v>
      </c>
      <c r="AB8" s="44">
        <v>2</v>
      </c>
      <c r="AC8" s="44">
        <v>3</v>
      </c>
    </row>
    <row r="9" spans="1:29" ht="19.95" customHeight="1" x14ac:dyDescent="0.25">
      <c r="A9" s="38">
        <v>7869801101</v>
      </c>
      <c r="B9" s="12" t="s">
        <v>168</v>
      </c>
      <c r="C9" s="43" t="s">
        <v>167</v>
      </c>
      <c r="D9" s="12" t="s">
        <v>125</v>
      </c>
      <c r="E9" s="12" t="s">
        <v>116</v>
      </c>
      <c r="F9" s="56" t="s">
        <v>59</v>
      </c>
      <c r="G9" s="12" t="s">
        <v>169</v>
      </c>
      <c r="H9" s="12" t="s">
        <v>13</v>
      </c>
      <c r="I9" s="12" t="s">
        <v>14</v>
      </c>
      <c r="J9" s="12"/>
      <c r="K9" s="12"/>
      <c r="L9" s="12"/>
      <c r="M9" s="12"/>
      <c r="N9" s="12" t="s">
        <v>16</v>
      </c>
      <c r="O9" s="13" t="s">
        <v>163</v>
      </c>
      <c r="P9" s="44" t="s">
        <v>138</v>
      </c>
      <c r="Q9" s="13">
        <v>62</v>
      </c>
      <c r="R9" s="44">
        <v>0</v>
      </c>
      <c r="S9" s="44">
        <v>0</v>
      </c>
      <c r="T9" s="44">
        <v>0</v>
      </c>
      <c r="U9" s="44">
        <v>0</v>
      </c>
      <c r="V9" s="44">
        <v>0</v>
      </c>
      <c r="W9" s="44">
        <v>9</v>
      </c>
      <c r="X9" s="44">
        <v>10</v>
      </c>
      <c r="Y9" s="44">
        <v>19</v>
      </c>
      <c r="Z9" s="44">
        <v>12</v>
      </c>
      <c r="AA9" s="44">
        <v>7</v>
      </c>
      <c r="AB9" s="44">
        <v>2</v>
      </c>
      <c r="AC9" s="44">
        <v>3</v>
      </c>
    </row>
    <row r="10" spans="1:29" ht="19.95" customHeight="1" x14ac:dyDescent="0.25">
      <c r="A10" s="38">
        <v>7869801101</v>
      </c>
      <c r="B10" s="12" t="s">
        <v>168</v>
      </c>
      <c r="C10" s="43" t="s">
        <v>167</v>
      </c>
      <c r="D10" s="12" t="s">
        <v>125</v>
      </c>
      <c r="E10" s="12" t="s">
        <v>116</v>
      </c>
      <c r="F10" s="56" t="s">
        <v>59</v>
      </c>
      <c r="G10" s="12" t="s">
        <v>169</v>
      </c>
      <c r="H10" s="12" t="s">
        <v>13</v>
      </c>
      <c r="I10" s="12" t="s">
        <v>14</v>
      </c>
      <c r="J10" s="12"/>
      <c r="K10" s="12"/>
      <c r="L10" s="12"/>
      <c r="M10" s="12"/>
      <c r="N10" s="12" t="s">
        <v>16</v>
      </c>
      <c r="O10" s="13" t="s">
        <v>166</v>
      </c>
      <c r="P10" s="44" t="s">
        <v>139</v>
      </c>
      <c r="Q10" s="13">
        <v>10</v>
      </c>
      <c r="R10" s="44">
        <v>0</v>
      </c>
      <c r="S10" s="44">
        <v>0</v>
      </c>
      <c r="T10" s="44">
        <v>1</v>
      </c>
      <c r="U10" s="44">
        <v>1</v>
      </c>
      <c r="V10" s="44">
        <v>1</v>
      </c>
      <c r="W10" s="44">
        <v>1</v>
      </c>
      <c r="X10" s="44">
        <v>1</v>
      </c>
      <c r="Y10" s="44">
        <v>1</v>
      </c>
      <c r="Z10" s="44">
        <v>1</v>
      </c>
      <c r="AA10" s="44">
        <v>1</v>
      </c>
      <c r="AB10" s="44">
        <v>1</v>
      </c>
      <c r="AC10" s="44">
        <v>1</v>
      </c>
    </row>
    <row r="11" spans="1:29" ht="19.95" customHeight="1" x14ac:dyDescent="0.25">
      <c r="A11" s="38">
        <v>7869801101</v>
      </c>
      <c r="B11" s="12" t="s">
        <v>168</v>
      </c>
      <c r="C11" s="43" t="s">
        <v>167</v>
      </c>
      <c r="D11" s="12" t="s">
        <v>125</v>
      </c>
      <c r="E11" s="12" t="s">
        <v>116</v>
      </c>
      <c r="F11" s="56" t="s">
        <v>59</v>
      </c>
      <c r="G11" s="12" t="s">
        <v>169</v>
      </c>
      <c r="H11" s="12" t="s">
        <v>13</v>
      </c>
      <c r="I11" s="12" t="s">
        <v>14</v>
      </c>
      <c r="J11" s="12"/>
      <c r="K11" s="12"/>
      <c r="L11" s="12"/>
      <c r="M11" s="12"/>
      <c r="N11" s="12" t="s">
        <v>16</v>
      </c>
      <c r="O11" s="13" t="s">
        <v>165</v>
      </c>
      <c r="P11" s="44" t="s">
        <v>139</v>
      </c>
      <c r="Q11" s="13">
        <v>10</v>
      </c>
      <c r="R11" s="44">
        <v>0</v>
      </c>
      <c r="S11" s="44">
        <v>0</v>
      </c>
      <c r="T11" s="44">
        <v>1</v>
      </c>
      <c r="U11" s="44">
        <v>1</v>
      </c>
      <c r="V11" s="44">
        <v>1</v>
      </c>
      <c r="W11" s="44">
        <v>1</v>
      </c>
      <c r="X11" s="44">
        <v>1</v>
      </c>
      <c r="Y11" s="44">
        <v>1</v>
      </c>
      <c r="Z11" s="44">
        <v>1</v>
      </c>
      <c r="AA11" s="44">
        <v>1</v>
      </c>
      <c r="AB11" s="44">
        <v>1</v>
      </c>
      <c r="AC11" s="44">
        <v>1</v>
      </c>
    </row>
    <row r="12" spans="1:29" ht="19.95" customHeight="1" x14ac:dyDescent="0.25">
      <c r="A12" s="38">
        <v>7869801101</v>
      </c>
      <c r="B12" s="12" t="s">
        <v>168</v>
      </c>
      <c r="C12" s="43" t="s">
        <v>167</v>
      </c>
      <c r="D12" s="12" t="s">
        <v>125</v>
      </c>
      <c r="E12" s="12" t="s">
        <v>116</v>
      </c>
      <c r="F12" s="56" t="s">
        <v>59</v>
      </c>
      <c r="G12" s="12" t="s">
        <v>169</v>
      </c>
      <c r="H12" s="12" t="s">
        <v>13</v>
      </c>
      <c r="I12" s="12" t="s">
        <v>14</v>
      </c>
      <c r="J12" s="12"/>
      <c r="K12" s="12"/>
      <c r="L12" s="12"/>
      <c r="M12" s="12"/>
      <c r="N12" s="12" t="s">
        <v>16</v>
      </c>
      <c r="O12" s="13" t="s">
        <v>140</v>
      </c>
      <c r="P12" s="44" t="s">
        <v>170</v>
      </c>
      <c r="Q12" s="47">
        <v>1</v>
      </c>
      <c r="R12" s="47">
        <v>1</v>
      </c>
      <c r="S12" s="47">
        <v>1</v>
      </c>
      <c r="T12" s="47">
        <v>1</v>
      </c>
      <c r="U12" s="47">
        <v>1</v>
      </c>
      <c r="V12" s="44">
        <v>0</v>
      </c>
      <c r="W12" s="44">
        <v>0</v>
      </c>
      <c r="X12" s="44">
        <v>0</v>
      </c>
      <c r="Y12" s="44">
        <v>0</v>
      </c>
      <c r="Z12" s="44">
        <v>0</v>
      </c>
      <c r="AA12" s="47">
        <v>1</v>
      </c>
      <c r="AB12" s="47">
        <v>1</v>
      </c>
      <c r="AC12" s="47">
        <v>1</v>
      </c>
    </row>
    <row r="13" spans="1:29" ht="19.95" customHeight="1" x14ac:dyDescent="0.25">
      <c r="A13" s="38">
        <v>7869801101</v>
      </c>
      <c r="B13" s="12" t="s">
        <v>168</v>
      </c>
      <c r="C13" s="43" t="s">
        <v>167</v>
      </c>
      <c r="D13" s="12" t="s">
        <v>125</v>
      </c>
      <c r="E13" s="12" t="s">
        <v>116</v>
      </c>
      <c r="F13" s="56" t="s">
        <v>59</v>
      </c>
      <c r="G13" s="12" t="s">
        <v>169</v>
      </c>
      <c r="H13" s="12" t="s">
        <v>13</v>
      </c>
      <c r="I13" s="12" t="s">
        <v>14</v>
      </c>
      <c r="J13" s="12"/>
      <c r="K13" s="12"/>
      <c r="L13" s="12"/>
      <c r="M13" s="12"/>
      <c r="N13" s="12" t="s">
        <v>16</v>
      </c>
      <c r="O13" s="13" t="s">
        <v>141</v>
      </c>
      <c r="P13" s="44" t="s">
        <v>142</v>
      </c>
      <c r="Q13" s="47">
        <v>1</v>
      </c>
      <c r="R13" s="44">
        <v>0</v>
      </c>
      <c r="S13" s="44">
        <v>0</v>
      </c>
      <c r="T13" s="44">
        <v>0</v>
      </c>
      <c r="U13" s="50">
        <v>9</v>
      </c>
      <c r="V13" s="50">
        <v>10</v>
      </c>
      <c r="W13" s="50">
        <v>19</v>
      </c>
      <c r="X13" s="44">
        <v>12</v>
      </c>
      <c r="Y13" s="44">
        <v>7</v>
      </c>
      <c r="Z13" s="44">
        <v>0</v>
      </c>
      <c r="AA13" s="44">
        <v>2</v>
      </c>
      <c r="AB13" s="44">
        <v>3</v>
      </c>
      <c r="AC13" s="44">
        <v>0</v>
      </c>
    </row>
    <row r="14" spans="1:29" ht="19.95" customHeight="1" x14ac:dyDescent="0.25">
      <c r="A14" s="38">
        <v>7869801101</v>
      </c>
      <c r="B14" s="12" t="s">
        <v>168</v>
      </c>
      <c r="C14" s="43" t="s">
        <v>167</v>
      </c>
      <c r="D14" s="12" t="s">
        <v>125</v>
      </c>
      <c r="E14" s="12" t="s">
        <v>116</v>
      </c>
      <c r="F14" s="56" t="s">
        <v>59</v>
      </c>
      <c r="G14" s="12" t="s">
        <v>169</v>
      </c>
      <c r="H14" s="12" t="s">
        <v>13</v>
      </c>
      <c r="I14" s="12" t="s">
        <v>14</v>
      </c>
      <c r="J14" s="12"/>
      <c r="K14" s="12"/>
      <c r="L14" s="12"/>
      <c r="M14" s="12"/>
      <c r="N14" s="12" t="s">
        <v>16</v>
      </c>
      <c r="O14" s="13" t="s">
        <v>143</v>
      </c>
      <c r="P14" s="44" t="s">
        <v>144</v>
      </c>
      <c r="Q14" s="47">
        <v>1</v>
      </c>
      <c r="R14" s="44">
        <v>0</v>
      </c>
      <c r="S14" s="44">
        <v>0</v>
      </c>
      <c r="T14" s="44">
        <v>0</v>
      </c>
      <c r="U14" s="49">
        <v>1</v>
      </c>
      <c r="V14" s="44">
        <v>0</v>
      </c>
      <c r="W14" s="44">
        <v>0</v>
      </c>
      <c r="X14" s="49">
        <v>1</v>
      </c>
      <c r="Y14" s="44">
        <v>0</v>
      </c>
      <c r="Z14" s="44">
        <v>0</v>
      </c>
      <c r="AA14" s="49">
        <v>1</v>
      </c>
      <c r="AB14" s="44">
        <v>0</v>
      </c>
      <c r="AC14" s="44">
        <v>0</v>
      </c>
    </row>
    <row r="15" spans="1:29" ht="19.95" customHeight="1" x14ac:dyDescent="0.25">
      <c r="A15" s="38">
        <v>7869801101</v>
      </c>
      <c r="B15" s="12" t="s">
        <v>168</v>
      </c>
      <c r="C15" s="43" t="s">
        <v>167</v>
      </c>
      <c r="D15" s="12" t="s">
        <v>125</v>
      </c>
      <c r="E15" s="12" t="s">
        <v>116</v>
      </c>
      <c r="F15" s="56" t="s">
        <v>59</v>
      </c>
      <c r="G15" s="12" t="s">
        <v>169</v>
      </c>
      <c r="H15" s="12" t="s">
        <v>13</v>
      </c>
      <c r="I15" s="12" t="s">
        <v>14</v>
      </c>
      <c r="J15" s="12"/>
      <c r="K15" s="12"/>
      <c r="L15" s="12"/>
      <c r="M15" s="12"/>
      <c r="N15" s="12" t="s">
        <v>16</v>
      </c>
      <c r="O15" s="13" t="s">
        <v>145</v>
      </c>
      <c r="P15" s="44" t="s">
        <v>146</v>
      </c>
      <c r="Q15" s="47">
        <v>1</v>
      </c>
      <c r="R15" s="44">
        <v>0</v>
      </c>
      <c r="S15" s="44">
        <v>0</v>
      </c>
      <c r="T15" s="47">
        <v>1</v>
      </c>
      <c r="U15" s="47">
        <v>1</v>
      </c>
      <c r="V15" s="44">
        <v>0</v>
      </c>
      <c r="W15" s="44">
        <v>0</v>
      </c>
      <c r="X15" s="44">
        <v>0</v>
      </c>
      <c r="Y15" s="44">
        <v>0</v>
      </c>
      <c r="Z15" s="44">
        <v>0</v>
      </c>
      <c r="AA15" s="44">
        <v>0</v>
      </c>
      <c r="AB15" s="44">
        <v>0</v>
      </c>
      <c r="AC15" s="44">
        <v>0</v>
      </c>
    </row>
    <row r="16" spans="1:29" ht="19.95" customHeight="1" x14ac:dyDescent="0.25">
      <c r="A16" s="38">
        <v>7869801101</v>
      </c>
      <c r="B16" s="12" t="s">
        <v>168</v>
      </c>
      <c r="C16" s="43" t="s">
        <v>167</v>
      </c>
      <c r="D16" s="12" t="s">
        <v>125</v>
      </c>
      <c r="E16" s="12" t="s">
        <v>116</v>
      </c>
      <c r="F16" s="56" t="s">
        <v>59</v>
      </c>
      <c r="G16" s="12" t="s">
        <v>169</v>
      </c>
      <c r="H16" s="12" t="s">
        <v>13</v>
      </c>
      <c r="I16" s="12" t="s">
        <v>14</v>
      </c>
      <c r="J16" s="12"/>
      <c r="K16" s="12"/>
      <c r="L16" s="12"/>
      <c r="M16" s="12"/>
      <c r="N16" s="12" t="s">
        <v>16</v>
      </c>
      <c r="O16" s="13" t="s">
        <v>147</v>
      </c>
      <c r="P16" s="44" t="s">
        <v>148</v>
      </c>
      <c r="Q16" s="13">
        <v>62</v>
      </c>
      <c r="R16" s="44">
        <v>0</v>
      </c>
      <c r="S16" s="44">
        <v>0</v>
      </c>
      <c r="T16" s="44">
        <v>0</v>
      </c>
      <c r="U16" s="50">
        <v>9</v>
      </c>
      <c r="V16" s="50">
        <v>10</v>
      </c>
      <c r="W16" s="50">
        <v>19</v>
      </c>
      <c r="X16" s="44">
        <v>12</v>
      </c>
      <c r="Y16" s="44">
        <v>7</v>
      </c>
      <c r="Z16" s="44">
        <v>0</v>
      </c>
      <c r="AA16" s="44">
        <v>2</v>
      </c>
      <c r="AB16" s="44">
        <v>3</v>
      </c>
      <c r="AC16" s="44">
        <v>0</v>
      </c>
    </row>
    <row r="17" spans="1:29" ht="19.95" customHeight="1" x14ac:dyDescent="0.25">
      <c r="A17" s="38">
        <v>7869801101</v>
      </c>
      <c r="B17" s="12" t="s">
        <v>168</v>
      </c>
      <c r="C17" s="43" t="s">
        <v>167</v>
      </c>
      <c r="D17" s="12" t="s">
        <v>125</v>
      </c>
      <c r="E17" s="12" t="s">
        <v>116</v>
      </c>
      <c r="F17" s="56" t="s">
        <v>59</v>
      </c>
      <c r="G17" s="12" t="s">
        <v>169</v>
      </c>
      <c r="H17" s="12" t="s">
        <v>13</v>
      </c>
      <c r="I17" s="12" t="s">
        <v>14</v>
      </c>
      <c r="J17" s="12"/>
      <c r="K17" s="12"/>
      <c r="L17" s="12"/>
      <c r="M17" s="12"/>
      <c r="N17" s="12" t="s">
        <v>16</v>
      </c>
      <c r="O17" s="13" t="s">
        <v>149</v>
      </c>
      <c r="P17" s="44" t="s">
        <v>150</v>
      </c>
      <c r="Q17" s="47">
        <v>1</v>
      </c>
      <c r="R17" s="44">
        <v>0</v>
      </c>
      <c r="S17" s="44">
        <v>0</v>
      </c>
      <c r="T17" s="44">
        <v>0</v>
      </c>
      <c r="U17" s="44">
        <v>0</v>
      </c>
      <c r="V17" s="44">
        <v>0</v>
      </c>
      <c r="W17" s="49">
        <v>1</v>
      </c>
      <c r="X17" s="44">
        <v>0</v>
      </c>
      <c r="Y17" s="44">
        <v>0</v>
      </c>
      <c r="Z17" s="49">
        <v>1</v>
      </c>
      <c r="AA17" s="44">
        <v>0</v>
      </c>
      <c r="AB17" s="44">
        <v>0</v>
      </c>
      <c r="AC17" s="49">
        <v>1</v>
      </c>
    </row>
    <row r="18" spans="1:29" ht="19.95" customHeight="1" x14ac:dyDescent="0.25">
      <c r="A18" s="38">
        <v>7869801101</v>
      </c>
      <c r="B18" s="12" t="s">
        <v>168</v>
      </c>
      <c r="C18" s="43" t="s">
        <v>167</v>
      </c>
      <c r="D18" s="12" t="s">
        <v>125</v>
      </c>
      <c r="E18" s="12" t="s">
        <v>116</v>
      </c>
      <c r="F18" s="56" t="s">
        <v>59</v>
      </c>
      <c r="G18" s="12" t="s">
        <v>169</v>
      </c>
      <c r="H18" s="12" t="s">
        <v>13</v>
      </c>
      <c r="I18" s="12" t="s">
        <v>14</v>
      </c>
      <c r="J18" s="12"/>
      <c r="K18" s="12"/>
      <c r="L18" s="12"/>
      <c r="M18" s="12"/>
      <c r="N18" s="12" t="s">
        <v>16</v>
      </c>
      <c r="O18" s="13" t="s">
        <v>151</v>
      </c>
      <c r="P18" s="44" t="s">
        <v>152</v>
      </c>
      <c r="Q18" s="13">
        <v>2</v>
      </c>
      <c r="R18" s="44">
        <v>0</v>
      </c>
      <c r="S18" s="44">
        <v>0</v>
      </c>
      <c r="T18" s="44">
        <v>0</v>
      </c>
      <c r="U18" s="44">
        <v>2</v>
      </c>
      <c r="V18" s="44">
        <v>0</v>
      </c>
      <c r="W18" s="44">
        <v>0</v>
      </c>
      <c r="X18" s="44">
        <v>0</v>
      </c>
      <c r="Y18" s="44">
        <v>0</v>
      </c>
      <c r="Z18" s="44">
        <v>0</v>
      </c>
      <c r="AA18" s="44">
        <v>0</v>
      </c>
      <c r="AB18" s="44">
        <v>0</v>
      </c>
      <c r="AC18" s="44">
        <v>0</v>
      </c>
    </row>
    <row r="19" spans="1:29" ht="19.95" customHeight="1" x14ac:dyDescent="0.25">
      <c r="A19" s="38">
        <v>7869801101</v>
      </c>
      <c r="B19" s="12" t="s">
        <v>168</v>
      </c>
      <c r="C19" s="43" t="s">
        <v>167</v>
      </c>
      <c r="D19" s="12" t="s">
        <v>125</v>
      </c>
      <c r="E19" s="12" t="s">
        <v>116</v>
      </c>
      <c r="F19" s="56" t="s">
        <v>59</v>
      </c>
      <c r="G19" s="12" t="s">
        <v>169</v>
      </c>
      <c r="H19" s="12" t="s">
        <v>13</v>
      </c>
      <c r="I19" s="12" t="s">
        <v>14</v>
      </c>
      <c r="J19" s="12"/>
      <c r="K19" s="12"/>
      <c r="L19" s="12"/>
      <c r="M19" s="12"/>
      <c r="N19" s="12" t="s">
        <v>16</v>
      </c>
      <c r="O19" s="13" t="s">
        <v>153</v>
      </c>
      <c r="P19" s="44" t="s">
        <v>154</v>
      </c>
      <c r="Q19" s="47">
        <v>1</v>
      </c>
      <c r="R19" s="47">
        <v>0</v>
      </c>
      <c r="S19" s="47">
        <v>0</v>
      </c>
      <c r="T19" s="47">
        <v>0</v>
      </c>
      <c r="U19" s="47">
        <v>1</v>
      </c>
      <c r="V19" s="47">
        <v>1</v>
      </c>
      <c r="W19" s="47">
        <v>1</v>
      </c>
      <c r="X19" s="47">
        <v>1</v>
      </c>
      <c r="Y19" s="47">
        <v>1</v>
      </c>
      <c r="Z19" s="47">
        <v>1</v>
      </c>
      <c r="AA19" s="47">
        <v>1</v>
      </c>
      <c r="AB19" s="47">
        <v>1</v>
      </c>
      <c r="AC19" s="47">
        <v>1</v>
      </c>
    </row>
    <row r="20" spans="1:29" ht="19.95" customHeight="1" x14ac:dyDescent="0.25">
      <c r="A20" s="38">
        <v>7869801101</v>
      </c>
      <c r="B20" s="12" t="s">
        <v>168</v>
      </c>
      <c r="C20" s="43" t="s">
        <v>167</v>
      </c>
      <c r="D20" s="12" t="s">
        <v>125</v>
      </c>
      <c r="E20" s="12" t="s">
        <v>116</v>
      </c>
      <c r="F20" s="56" t="s">
        <v>59</v>
      </c>
      <c r="G20" s="12" t="s">
        <v>169</v>
      </c>
      <c r="H20" s="12" t="s">
        <v>13</v>
      </c>
      <c r="I20" s="12" t="s">
        <v>14</v>
      </c>
      <c r="J20" s="12"/>
      <c r="K20" s="12"/>
      <c r="L20" s="12"/>
      <c r="M20" s="12"/>
      <c r="N20" s="12" t="s">
        <v>16</v>
      </c>
      <c r="O20" s="13" t="s">
        <v>155</v>
      </c>
      <c r="P20" s="44" t="s">
        <v>156</v>
      </c>
      <c r="Q20" s="47">
        <v>1</v>
      </c>
      <c r="R20" s="44">
        <v>0</v>
      </c>
      <c r="S20" s="44">
        <v>0</v>
      </c>
      <c r="T20" s="44">
        <v>0</v>
      </c>
      <c r="U20" s="44">
        <v>0</v>
      </c>
      <c r="V20" s="47">
        <v>1</v>
      </c>
      <c r="W20" s="47">
        <v>1</v>
      </c>
      <c r="X20" s="47">
        <v>1</v>
      </c>
      <c r="Y20" s="47">
        <v>1</v>
      </c>
      <c r="Z20" s="47">
        <v>1</v>
      </c>
      <c r="AA20" s="47">
        <v>1</v>
      </c>
      <c r="AB20" s="47">
        <v>1</v>
      </c>
      <c r="AC20" s="47">
        <v>1</v>
      </c>
    </row>
    <row r="21" spans="1:29" s="41" customFormat="1" ht="19.95" customHeight="1" x14ac:dyDescent="0.25">
      <c r="A21" s="38">
        <v>7869801101</v>
      </c>
      <c r="B21" s="12" t="s">
        <v>168</v>
      </c>
      <c r="C21" s="43" t="s">
        <v>167</v>
      </c>
      <c r="D21" s="12" t="s">
        <v>125</v>
      </c>
      <c r="E21" s="12" t="s">
        <v>116</v>
      </c>
      <c r="F21" s="56" t="s">
        <v>59</v>
      </c>
      <c r="G21" s="12" t="s">
        <v>169</v>
      </c>
      <c r="H21" s="12" t="s">
        <v>13</v>
      </c>
      <c r="I21" s="12" t="s">
        <v>14</v>
      </c>
      <c r="J21" s="12"/>
      <c r="K21" s="12"/>
      <c r="L21" s="12"/>
      <c r="M21" s="12"/>
      <c r="N21" s="12" t="s">
        <v>16</v>
      </c>
      <c r="O21" s="13" t="s">
        <v>164</v>
      </c>
      <c r="P21" s="51" t="s">
        <v>157</v>
      </c>
      <c r="Q21" s="52">
        <v>78</v>
      </c>
      <c r="R21" s="52"/>
      <c r="S21" s="52"/>
      <c r="T21" s="52"/>
      <c r="U21" s="52">
        <v>78</v>
      </c>
      <c r="V21" s="52"/>
      <c r="W21" s="52"/>
      <c r="X21" s="52"/>
      <c r="Y21" s="52"/>
      <c r="Z21" s="52"/>
      <c r="AA21" s="52"/>
      <c r="AB21" s="52"/>
      <c r="AC21" s="52"/>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02602-20E7-4818-98B0-02B9340C9F8A}">
  <dimension ref="A1:AC20"/>
  <sheetViews>
    <sheetView topLeftCell="N1" workbookViewId="0">
      <selection activeCell="O1" sqref="O1:AC1"/>
    </sheetView>
  </sheetViews>
  <sheetFormatPr defaultRowHeight="13.2" x14ac:dyDescent="0.25"/>
  <cols>
    <col min="1" max="1" width="13.88671875" customWidth="1"/>
    <col min="2" max="2" width="15.5546875" bestFit="1" customWidth="1"/>
    <col min="3" max="3" width="36.21875" bestFit="1" customWidth="1"/>
    <col min="4" max="4" width="10.21875" bestFit="1" customWidth="1"/>
    <col min="5" max="5" width="13.21875" bestFit="1" customWidth="1"/>
    <col min="6" max="6" width="9" bestFit="1" customWidth="1"/>
    <col min="7" max="7" width="12.44140625" bestFit="1" customWidth="1"/>
    <col min="9" max="9" width="12.77734375" bestFit="1" customWidth="1"/>
    <col min="10" max="13" width="11.44140625" bestFit="1" customWidth="1"/>
    <col min="14" max="14" width="14.5546875" bestFit="1" customWidth="1"/>
    <col min="15" max="15" width="75.5546875" customWidth="1"/>
    <col min="16" max="16" width="39.5546875" customWidth="1"/>
    <col min="17" max="17" width="12.33203125" customWidth="1"/>
  </cols>
  <sheetData>
    <row r="1" spans="1:29" ht="27.6" x14ac:dyDescent="0.25">
      <c r="A1" s="35" t="s">
        <v>123</v>
      </c>
      <c r="B1" s="58" t="s">
        <v>1</v>
      </c>
      <c r="C1" s="35" t="s">
        <v>2</v>
      </c>
      <c r="D1" s="58" t="s">
        <v>3</v>
      </c>
      <c r="E1" s="35" t="s">
        <v>4</v>
      </c>
      <c r="F1" s="35" t="s">
        <v>5</v>
      </c>
      <c r="G1" s="35" t="s">
        <v>6</v>
      </c>
      <c r="H1" s="35" t="s">
        <v>7</v>
      </c>
      <c r="I1" s="58" t="s">
        <v>8</v>
      </c>
      <c r="J1" s="35" t="s">
        <v>9</v>
      </c>
      <c r="K1" s="35" t="s">
        <v>10</v>
      </c>
      <c r="L1" s="35" t="s">
        <v>126</v>
      </c>
      <c r="M1" s="35" t="s">
        <v>127</v>
      </c>
      <c r="N1" s="35"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88">
        <v>8349944598</v>
      </c>
      <c r="B2" s="56" t="s">
        <v>639</v>
      </c>
      <c r="C2" s="122" t="s">
        <v>648</v>
      </c>
      <c r="D2" s="56" t="s">
        <v>649</v>
      </c>
      <c r="E2" s="56" t="s">
        <v>576</v>
      </c>
      <c r="F2" s="56" t="s">
        <v>235</v>
      </c>
      <c r="G2" s="56" t="s">
        <v>169</v>
      </c>
      <c r="H2" s="56" t="s">
        <v>125</v>
      </c>
      <c r="I2" s="56" t="s">
        <v>168</v>
      </c>
      <c r="J2" s="56" t="s">
        <v>115</v>
      </c>
      <c r="K2" s="56"/>
      <c r="L2" s="56"/>
      <c r="M2" s="56"/>
      <c r="N2" s="56" t="s">
        <v>16</v>
      </c>
      <c r="O2" s="64" t="s">
        <v>131</v>
      </c>
      <c r="P2" s="64" t="s">
        <v>132</v>
      </c>
      <c r="Q2" s="56">
        <v>13</v>
      </c>
      <c r="R2" s="56">
        <v>0</v>
      </c>
      <c r="S2" s="56">
        <v>0</v>
      </c>
      <c r="T2" s="56">
        <v>0</v>
      </c>
      <c r="U2" s="56">
        <v>0</v>
      </c>
      <c r="V2" s="56">
        <v>13</v>
      </c>
      <c r="W2" s="56">
        <v>0</v>
      </c>
      <c r="X2" s="56">
        <v>0</v>
      </c>
      <c r="Y2" s="56">
        <v>0</v>
      </c>
      <c r="Z2" s="56">
        <v>0</v>
      </c>
      <c r="AA2" s="56">
        <v>0</v>
      </c>
      <c r="AB2" s="56">
        <v>0</v>
      </c>
      <c r="AC2" s="56">
        <v>0</v>
      </c>
    </row>
    <row r="3" spans="1:29" ht="19.95" customHeight="1" x14ac:dyDescent="0.25">
      <c r="A3" s="88">
        <v>8349944598</v>
      </c>
      <c r="B3" s="56" t="s">
        <v>639</v>
      </c>
      <c r="C3" s="122" t="s">
        <v>648</v>
      </c>
      <c r="D3" s="56" t="s">
        <v>649</v>
      </c>
      <c r="E3" s="56" t="s">
        <v>576</v>
      </c>
      <c r="F3" s="56" t="s">
        <v>235</v>
      </c>
      <c r="G3" s="56" t="s">
        <v>169</v>
      </c>
      <c r="H3" s="56" t="s">
        <v>125</v>
      </c>
      <c r="I3" s="56" t="s">
        <v>168</v>
      </c>
      <c r="J3" s="56" t="s">
        <v>115</v>
      </c>
      <c r="K3" s="56"/>
      <c r="L3" s="56"/>
      <c r="M3" s="56"/>
      <c r="N3" s="56" t="s">
        <v>16</v>
      </c>
      <c r="O3" s="64" t="s">
        <v>640</v>
      </c>
      <c r="P3" s="64" t="s">
        <v>133</v>
      </c>
      <c r="Q3" s="56">
        <v>1</v>
      </c>
      <c r="R3" s="56">
        <v>0</v>
      </c>
      <c r="S3" s="56">
        <v>0</v>
      </c>
      <c r="T3" s="56">
        <v>0</v>
      </c>
      <c r="U3" s="56">
        <v>0</v>
      </c>
      <c r="V3" s="56">
        <v>1</v>
      </c>
      <c r="W3" s="56">
        <v>0</v>
      </c>
      <c r="X3" s="56">
        <v>0</v>
      </c>
      <c r="Y3" s="56">
        <v>0</v>
      </c>
      <c r="Z3" s="56">
        <v>0</v>
      </c>
      <c r="AA3" s="56">
        <v>0</v>
      </c>
      <c r="AB3" s="56">
        <v>0</v>
      </c>
      <c r="AC3" s="56">
        <v>0</v>
      </c>
    </row>
    <row r="4" spans="1:29" ht="19.95" customHeight="1" x14ac:dyDescent="0.25">
      <c r="A4" s="88">
        <v>8349944598</v>
      </c>
      <c r="B4" s="56" t="s">
        <v>639</v>
      </c>
      <c r="C4" s="122" t="s">
        <v>648</v>
      </c>
      <c r="D4" s="56" t="s">
        <v>649</v>
      </c>
      <c r="E4" s="56" t="s">
        <v>576</v>
      </c>
      <c r="F4" s="56" t="s">
        <v>235</v>
      </c>
      <c r="G4" s="56" t="s">
        <v>169</v>
      </c>
      <c r="H4" s="56" t="s">
        <v>125</v>
      </c>
      <c r="I4" s="56" t="s">
        <v>168</v>
      </c>
      <c r="J4" s="56" t="s">
        <v>115</v>
      </c>
      <c r="K4" s="56"/>
      <c r="L4" s="56"/>
      <c r="M4" s="56"/>
      <c r="N4" s="56" t="s">
        <v>16</v>
      </c>
      <c r="O4" s="64" t="s">
        <v>641</v>
      </c>
      <c r="P4" s="64" t="s">
        <v>134</v>
      </c>
      <c r="Q4" s="56">
        <v>13</v>
      </c>
      <c r="R4" s="56">
        <v>0</v>
      </c>
      <c r="S4" s="56">
        <v>0</v>
      </c>
      <c r="T4" s="56">
        <v>0</v>
      </c>
      <c r="U4" s="56">
        <v>0</v>
      </c>
      <c r="V4" s="56">
        <v>7</v>
      </c>
      <c r="W4" s="56">
        <v>6</v>
      </c>
      <c r="X4" s="56">
        <v>0</v>
      </c>
      <c r="Y4" s="56">
        <v>0</v>
      </c>
      <c r="Z4" s="56">
        <v>0</v>
      </c>
      <c r="AA4" s="56">
        <v>0</v>
      </c>
      <c r="AB4" s="56">
        <v>0</v>
      </c>
      <c r="AC4" s="56">
        <v>0</v>
      </c>
    </row>
    <row r="5" spans="1:29" ht="19.95" customHeight="1" x14ac:dyDescent="0.25">
      <c r="A5" s="88">
        <v>8349944598</v>
      </c>
      <c r="B5" s="56" t="s">
        <v>639</v>
      </c>
      <c r="C5" s="122" t="s">
        <v>648</v>
      </c>
      <c r="D5" s="56" t="s">
        <v>649</v>
      </c>
      <c r="E5" s="56" t="s">
        <v>576</v>
      </c>
      <c r="F5" s="56" t="s">
        <v>235</v>
      </c>
      <c r="G5" s="56" t="s">
        <v>169</v>
      </c>
      <c r="H5" s="56" t="s">
        <v>125</v>
      </c>
      <c r="I5" s="56" t="s">
        <v>168</v>
      </c>
      <c r="J5" s="56" t="s">
        <v>115</v>
      </c>
      <c r="K5" s="56"/>
      <c r="L5" s="56"/>
      <c r="M5" s="56"/>
      <c r="N5" s="56" t="s">
        <v>16</v>
      </c>
      <c r="O5" s="64" t="s">
        <v>642</v>
      </c>
      <c r="P5" s="64" t="s">
        <v>135</v>
      </c>
      <c r="Q5" s="56">
        <v>10</v>
      </c>
      <c r="R5" s="56">
        <v>0</v>
      </c>
      <c r="S5" s="56">
        <v>0</v>
      </c>
      <c r="T5" s="56">
        <v>0</v>
      </c>
      <c r="U5" s="56">
        <v>10</v>
      </c>
      <c r="V5" s="56">
        <v>0</v>
      </c>
      <c r="W5" s="56">
        <v>0</v>
      </c>
      <c r="X5" s="56">
        <v>0</v>
      </c>
      <c r="Y5" s="56">
        <v>0</v>
      </c>
      <c r="Z5" s="56">
        <v>0</v>
      </c>
      <c r="AA5" s="56">
        <v>0</v>
      </c>
      <c r="AB5" s="56">
        <v>0</v>
      </c>
      <c r="AC5" s="56">
        <v>0</v>
      </c>
    </row>
    <row r="6" spans="1:29" ht="19.95" customHeight="1" x14ac:dyDescent="0.25">
      <c r="A6" s="88">
        <v>8349944598</v>
      </c>
      <c r="B6" s="56" t="s">
        <v>639</v>
      </c>
      <c r="C6" s="122" t="s">
        <v>648</v>
      </c>
      <c r="D6" s="56" t="s">
        <v>649</v>
      </c>
      <c r="E6" s="56" t="s">
        <v>576</v>
      </c>
      <c r="F6" s="56" t="s">
        <v>235</v>
      </c>
      <c r="G6" s="56" t="s">
        <v>169</v>
      </c>
      <c r="H6" s="56" t="s">
        <v>125</v>
      </c>
      <c r="I6" s="56" t="s">
        <v>168</v>
      </c>
      <c r="J6" s="56" t="s">
        <v>115</v>
      </c>
      <c r="K6" s="56"/>
      <c r="L6" s="56"/>
      <c r="M6" s="56"/>
      <c r="N6" s="56" t="s">
        <v>16</v>
      </c>
      <c r="O6" s="64" t="s">
        <v>640</v>
      </c>
      <c r="P6" s="64" t="s">
        <v>133</v>
      </c>
      <c r="Q6" s="56">
        <v>1</v>
      </c>
      <c r="R6" s="56">
        <v>0</v>
      </c>
      <c r="S6" s="56">
        <v>0</v>
      </c>
      <c r="T6" s="56">
        <v>0</v>
      </c>
      <c r="U6" s="56">
        <v>0</v>
      </c>
      <c r="V6" s="56">
        <v>6</v>
      </c>
      <c r="W6" s="56">
        <v>4</v>
      </c>
      <c r="X6" s="56">
        <v>0</v>
      </c>
      <c r="Y6" s="56">
        <v>0</v>
      </c>
      <c r="Z6" s="56">
        <v>0</v>
      </c>
      <c r="AA6" s="56">
        <v>0</v>
      </c>
      <c r="AB6" s="56">
        <v>0</v>
      </c>
      <c r="AC6" s="56">
        <v>0</v>
      </c>
    </row>
    <row r="7" spans="1:29" ht="19.95" customHeight="1" x14ac:dyDescent="0.25">
      <c r="A7" s="88">
        <v>8349944598</v>
      </c>
      <c r="B7" s="56" t="s">
        <v>639</v>
      </c>
      <c r="C7" s="122" t="s">
        <v>648</v>
      </c>
      <c r="D7" s="56" t="s">
        <v>649</v>
      </c>
      <c r="E7" s="56" t="s">
        <v>576</v>
      </c>
      <c r="F7" s="56" t="s">
        <v>235</v>
      </c>
      <c r="G7" s="56" t="s">
        <v>169</v>
      </c>
      <c r="H7" s="56" t="s">
        <v>125</v>
      </c>
      <c r="I7" s="56" t="s">
        <v>168</v>
      </c>
      <c r="J7" s="56" t="s">
        <v>115</v>
      </c>
      <c r="K7" s="56"/>
      <c r="L7" s="56"/>
      <c r="M7" s="56"/>
      <c r="N7" s="56" t="s">
        <v>16</v>
      </c>
      <c r="O7" s="64" t="s">
        <v>641</v>
      </c>
      <c r="P7" s="64" t="s">
        <v>134</v>
      </c>
      <c r="Q7" s="56">
        <v>10</v>
      </c>
      <c r="R7" s="56">
        <v>0</v>
      </c>
      <c r="S7" s="56">
        <v>0</v>
      </c>
      <c r="T7" s="56">
        <v>0</v>
      </c>
      <c r="U7" s="56">
        <v>0</v>
      </c>
      <c r="V7" s="56">
        <v>6</v>
      </c>
      <c r="W7" s="56">
        <v>4</v>
      </c>
      <c r="X7" s="56">
        <v>0</v>
      </c>
      <c r="Y7" s="56">
        <v>0</v>
      </c>
      <c r="Z7" s="56">
        <v>0</v>
      </c>
      <c r="AA7" s="56">
        <v>0</v>
      </c>
      <c r="AB7" s="56">
        <v>0</v>
      </c>
      <c r="AC7" s="56">
        <v>0</v>
      </c>
    </row>
    <row r="8" spans="1:29" ht="19.95" customHeight="1" x14ac:dyDescent="0.25">
      <c r="A8" s="88">
        <v>8349944598</v>
      </c>
      <c r="B8" s="56" t="s">
        <v>639</v>
      </c>
      <c r="C8" s="122" t="s">
        <v>648</v>
      </c>
      <c r="D8" s="56" t="s">
        <v>649</v>
      </c>
      <c r="E8" s="56" t="s">
        <v>576</v>
      </c>
      <c r="F8" s="56" t="s">
        <v>235</v>
      </c>
      <c r="G8" s="56" t="s">
        <v>169</v>
      </c>
      <c r="H8" s="56" t="s">
        <v>125</v>
      </c>
      <c r="I8" s="56" t="s">
        <v>168</v>
      </c>
      <c r="J8" s="56" t="s">
        <v>115</v>
      </c>
      <c r="K8" s="56"/>
      <c r="L8" s="56"/>
      <c r="M8" s="56"/>
      <c r="N8" s="56" t="s">
        <v>16</v>
      </c>
      <c r="O8" s="64" t="s">
        <v>136</v>
      </c>
      <c r="P8" s="64" t="s">
        <v>137</v>
      </c>
      <c r="Q8" s="56">
        <v>23</v>
      </c>
      <c r="R8" s="56">
        <v>0</v>
      </c>
      <c r="S8" s="56">
        <v>0</v>
      </c>
      <c r="T8" s="56">
        <v>0</v>
      </c>
      <c r="U8" s="56">
        <v>0</v>
      </c>
      <c r="V8" s="56">
        <v>13</v>
      </c>
      <c r="W8" s="56">
        <v>10</v>
      </c>
      <c r="X8" s="56">
        <v>0</v>
      </c>
      <c r="Y8" s="56">
        <v>0</v>
      </c>
      <c r="Z8" s="56">
        <v>0</v>
      </c>
      <c r="AA8" s="56">
        <v>0</v>
      </c>
      <c r="AB8" s="56">
        <v>0</v>
      </c>
      <c r="AC8" s="56">
        <v>0</v>
      </c>
    </row>
    <row r="9" spans="1:29" ht="19.95" customHeight="1" x14ac:dyDescent="0.25">
      <c r="A9" s="88">
        <v>8349944598</v>
      </c>
      <c r="B9" s="56" t="s">
        <v>639</v>
      </c>
      <c r="C9" s="122" t="s">
        <v>648</v>
      </c>
      <c r="D9" s="56" t="s">
        <v>649</v>
      </c>
      <c r="E9" s="56" t="s">
        <v>576</v>
      </c>
      <c r="F9" s="56" t="s">
        <v>235</v>
      </c>
      <c r="G9" s="56" t="s">
        <v>169</v>
      </c>
      <c r="H9" s="56" t="s">
        <v>125</v>
      </c>
      <c r="I9" s="56" t="s">
        <v>168</v>
      </c>
      <c r="J9" s="56" t="s">
        <v>115</v>
      </c>
      <c r="K9" s="56"/>
      <c r="L9" s="56"/>
      <c r="M9" s="56"/>
      <c r="N9" s="56" t="s">
        <v>16</v>
      </c>
      <c r="O9" s="64" t="s">
        <v>643</v>
      </c>
      <c r="P9" s="64" t="s">
        <v>138</v>
      </c>
      <c r="Q9" s="56">
        <v>23</v>
      </c>
      <c r="R9" s="56">
        <v>0</v>
      </c>
      <c r="S9" s="56">
        <v>0</v>
      </c>
      <c r="T9" s="56">
        <v>0</v>
      </c>
      <c r="U9" s="56">
        <v>0</v>
      </c>
      <c r="V9" s="56">
        <v>0</v>
      </c>
      <c r="W9" s="56">
        <v>9</v>
      </c>
      <c r="X9" s="56">
        <v>12</v>
      </c>
      <c r="Y9" s="56">
        <v>1</v>
      </c>
      <c r="Z9" s="56">
        <v>1</v>
      </c>
      <c r="AA9" s="56">
        <v>0</v>
      </c>
      <c r="AB9" s="56">
        <v>0</v>
      </c>
      <c r="AC9" s="56">
        <v>0</v>
      </c>
    </row>
    <row r="10" spans="1:29" ht="19.95" customHeight="1" x14ac:dyDescent="0.25">
      <c r="A10" s="88">
        <v>8349944598</v>
      </c>
      <c r="B10" s="56" t="s">
        <v>639</v>
      </c>
      <c r="C10" s="122" t="s">
        <v>648</v>
      </c>
      <c r="D10" s="56" t="s">
        <v>649</v>
      </c>
      <c r="E10" s="56" t="s">
        <v>576</v>
      </c>
      <c r="F10" s="56" t="s">
        <v>235</v>
      </c>
      <c r="G10" s="56" t="s">
        <v>169</v>
      </c>
      <c r="H10" s="56" t="s">
        <v>125</v>
      </c>
      <c r="I10" s="56" t="s">
        <v>168</v>
      </c>
      <c r="J10" s="56" t="s">
        <v>115</v>
      </c>
      <c r="K10" s="56"/>
      <c r="L10" s="56"/>
      <c r="M10" s="56"/>
      <c r="N10" s="56" t="s">
        <v>16</v>
      </c>
      <c r="O10" s="64" t="s">
        <v>644</v>
      </c>
      <c r="P10" s="64" t="s">
        <v>139</v>
      </c>
      <c r="Q10" s="56">
        <v>10</v>
      </c>
      <c r="R10" s="56">
        <v>0</v>
      </c>
      <c r="S10" s="56">
        <v>0</v>
      </c>
      <c r="T10" s="56">
        <v>1</v>
      </c>
      <c r="U10" s="56">
        <v>1</v>
      </c>
      <c r="V10" s="56">
        <v>1</v>
      </c>
      <c r="W10" s="56">
        <v>1</v>
      </c>
      <c r="X10" s="56">
        <v>1</v>
      </c>
      <c r="Y10" s="56">
        <v>1</v>
      </c>
      <c r="Z10" s="56">
        <v>1</v>
      </c>
      <c r="AA10" s="56">
        <v>1</v>
      </c>
      <c r="AB10" s="56">
        <v>1</v>
      </c>
      <c r="AC10" s="56">
        <v>1</v>
      </c>
    </row>
    <row r="11" spans="1:29" ht="19.95" customHeight="1" x14ac:dyDescent="0.25">
      <c r="A11" s="88">
        <v>8349944598</v>
      </c>
      <c r="B11" s="56" t="s">
        <v>639</v>
      </c>
      <c r="C11" s="122" t="s">
        <v>648</v>
      </c>
      <c r="D11" s="56" t="s">
        <v>649</v>
      </c>
      <c r="E11" s="56" t="s">
        <v>576</v>
      </c>
      <c r="F11" s="56" t="s">
        <v>235</v>
      </c>
      <c r="G11" s="56" t="s">
        <v>169</v>
      </c>
      <c r="H11" s="56" t="s">
        <v>125</v>
      </c>
      <c r="I11" s="56" t="s">
        <v>168</v>
      </c>
      <c r="J11" s="56" t="s">
        <v>115</v>
      </c>
      <c r="K11" s="56"/>
      <c r="L11" s="56"/>
      <c r="M11" s="56"/>
      <c r="N11" s="56" t="s">
        <v>16</v>
      </c>
      <c r="O11" s="64" t="s">
        <v>645</v>
      </c>
      <c r="P11" s="64" t="s">
        <v>139</v>
      </c>
      <c r="Q11" s="56">
        <v>10</v>
      </c>
      <c r="R11" s="56">
        <v>0</v>
      </c>
      <c r="S11" s="56">
        <v>0</v>
      </c>
      <c r="T11" s="56">
        <v>1</v>
      </c>
      <c r="U11" s="56">
        <v>1</v>
      </c>
      <c r="V11" s="56">
        <v>1</v>
      </c>
      <c r="W11" s="56">
        <v>1</v>
      </c>
      <c r="X11" s="56">
        <v>1</v>
      </c>
      <c r="Y11" s="56">
        <v>1</v>
      </c>
      <c r="Z11" s="56">
        <v>1</v>
      </c>
      <c r="AA11" s="56">
        <v>1</v>
      </c>
      <c r="AB11" s="56">
        <v>1</v>
      </c>
      <c r="AC11" s="56">
        <v>1</v>
      </c>
    </row>
    <row r="12" spans="1:29" ht="19.95" customHeight="1" x14ac:dyDescent="0.25">
      <c r="A12" s="88">
        <v>8349944598</v>
      </c>
      <c r="B12" s="56" t="s">
        <v>639</v>
      </c>
      <c r="C12" s="122" t="s">
        <v>648</v>
      </c>
      <c r="D12" s="56" t="s">
        <v>649</v>
      </c>
      <c r="E12" s="56" t="s">
        <v>576</v>
      </c>
      <c r="F12" s="56" t="s">
        <v>235</v>
      </c>
      <c r="G12" s="56" t="s">
        <v>169</v>
      </c>
      <c r="H12" s="56" t="s">
        <v>125</v>
      </c>
      <c r="I12" s="56" t="s">
        <v>168</v>
      </c>
      <c r="J12" s="56" t="s">
        <v>115</v>
      </c>
      <c r="K12" s="56"/>
      <c r="L12" s="56"/>
      <c r="M12" s="56"/>
      <c r="N12" s="56" t="s">
        <v>16</v>
      </c>
      <c r="O12" s="64" t="s">
        <v>140</v>
      </c>
      <c r="P12" s="64" t="s">
        <v>646</v>
      </c>
      <c r="Q12" s="56">
        <v>1</v>
      </c>
      <c r="R12" s="56">
        <v>1</v>
      </c>
      <c r="S12" s="56">
        <v>1</v>
      </c>
      <c r="T12" s="56">
        <v>1</v>
      </c>
      <c r="U12" s="56">
        <v>1</v>
      </c>
      <c r="V12" s="56">
        <v>0</v>
      </c>
      <c r="W12" s="56">
        <v>0</v>
      </c>
      <c r="X12" s="56">
        <v>0</v>
      </c>
      <c r="Y12" s="56">
        <v>0</v>
      </c>
      <c r="Z12" s="56">
        <v>0</v>
      </c>
      <c r="AA12" s="56">
        <v>1</v>
      </c>
      <c r="AB12" s="56">
        <v>1</v>
      </c>
      <c r="AC12" s="56">
        <v>1</v>
      </c>
    </row>
    <row r="13" spans="1:29" ht="19.95" customHeight="1" x14ac:dyDescent="0.25">
      <c r="A13" s="88">
        <v>8349944598</v>
      </c>
      <c r="B13" s="56" t="s">
        <v>639</v>
      </c>
      <c r="C13" s="122" t="s">
        <v>648</v>
      </c>
      <c r="D13" s="56" t="s">
        <v>649</v>
      </c>
      <c r="E13" s="56" t="s">
        <v>576</v>
      </c>
      <c r="F13" s="56" t="s">
        <v>235</v>
      </c>
      <c r="G13" s="56" t="s">
        <v>169</v>
      </c>
      <c r="H13" s="56" t="s">
        <v>125</v>
      </c>
      <c r="I13" s="56" t="s">
        <v>168</v>
      </c>
      <c r="J13" s="56" t="s">
        <v>115</v>
      </c>
      <c r="K13" s="56"/>
      <c r="L13" s="56"/>
      <c r="M13" s="56"/>
      <c r="N13" s="56" t="s">
        <v>16</v>
      </c>
      <c r="O13" s="64" t="s">
        <v>141</v>
      </c>
      <c r="P13" s="64" t="s">
        <v>142</v>
      </c>
      <c r="Q13" s="56">
        <v>1</v>
      </c>
      <c r="R13" s="56">
        <v>10</v>
      </c>
      <c r="S13" s="56">
        <v>0</v>
      </c>
      <c r="T13" s="56">
        <v>0</v>
      </c>
      <c r="U13" s="56">
        <v>13</v>
      </c>
      <c r="V13" s="56">
        <v>10</v>
      </c>
      <c r="W13" s="56">
        <v>0</v>
      </c>
      <c r="X13" s="56">
        <v>0</v>
      </c>
      <c r="Y13" s="56">
        <v>0</v>
      </c>
      <c r="Z13" s="56">
        <v>0</v>
      </c>
      <c r="AA13" s="56">
        <v>0</v>
      </c>
      <c r="AB13" s="56">
        <v>0</v>
      </c>
      <c r="AC13" s="56">
        <v>13</v>
      </c>
    </row>
    <row r="14" spans="1:29" ht="19.95" customHeight="1" x14ac:dyDescent="0.25">
      <c r="A14" s="88">
        <v>8349944598</v>
      </c>
      <c r="B14" s="56" t="s">
        <v>639</v>
      </c>
      <c r="C14" s="122" t="s">
        <v>648</v>
      </c>
      <c r="D14" s="56" t="s">
        <v>649</v>
      </c>
      <c r="E14" s="56" t="s">
        <v>576</v>
      </c>
      <c r="F14" s="56" t="s">
        <v>235</v>
      </c>
      <c r="G14" s="56" t="s">
        <v>169</v>
      </c>
      <c r="H14" s="56" t="s">
        <v>125</v>
      </c>
      <c r="I14" s="56" t="s">
        <v>168</v>
      </c>
      <c r="J14" s="56" t="s">
        <v>115</v>
      </c>
      <c r="K14" s="56"/>
      <c r="L14" s="56"/>
      <c r="M14" s="56"/>
      <c r="N14" s="56" t="s">
        <v>16</v>
      </c>
      <c r="O14" s="64" t="s">
        <v>143</v>
      </c>
      <c r="P14" s="64" t="s">
        <v>144</v>
      </c>
      <c r="Q14" s="56">
        <v>1</v>
      </c>
      <c r="R14" s="56">
        <v>0</v>
      </c>
      <c r="S14" s="56">
        <v>0</v>
      </c>
      <c r="T14" s="56">
        <v>0</v>
      </c>
      <c r="U14" s="56">
        <v>1</v>
      </c>
      <c r="V14" s="56">
        <v>0</v>
      </c>
      <c r="W14" s="56">
        <v>0</v>
      </c>
      <c r="X14" s="56">
        <v>1</v>
      </c>
      <c r="Y14" s="56">
        <v>0</v>
      </c>
      <c r="Z14" s="56">
        <v>0</v>
      </c>
      <c r="AA14" s="56">
        <v>1</v>
      </c>
      <c r="AB14" s="56">
        <v>0</v>
      </c>
      <c r="AC14" s="56">
        <v>0</v>
      </c>
    </row>
    <row r="15" spans="1:29" ht="19.95" customHeight="1" x14ac:dyDescent="0.25">
      <c r="A15" s="88">
        <v>8349944598</v>
      </c>
      <c r="B15" s="56" t="s">
        <v>639</v>
      </c>
      <c r="C15" s="122" t="s">
        <v>648</v>
      </c>
      <c r="D15" s="56" t="s">
        <v>649</v>
      </c>
      <c r="E15" s="56" t="s">
        <v>576</v>
      </c>
      <c r="F15" s="56" t="s">
        <v>235</v>
      </c>
      <c r="G15" s="56" t="s">
        <v>169</v>
      </c>
      <c r="H15" s="56" t="s">
        <v>125</v>
      </c>
      <c r="I15" s="56" t="s">
        <v>168</v>
      </c>
      <c r="J15" s="56" t="s">
        <v>115</v>
      </c>
      <c r="K15" s="56"/>
      <c r="L15" s="56"/>
      <c r="M15" s="56"/>
      <c r="N15" s="56" t="s">
        <v>16</v>
      </c>
      <c r="O15" s="64" t="s">
        <v>145</v>
      </c>
      <c r="P15" s="64" t="s">
        <v>146</v>
      </c>
      <c r="Q15" s="56">
        <v>1</v>
      </c>
      <c r="R15" s="56">
        <v>0</v>
      </c>
      <c r="S15" s="56">
        <v>0</v>
      </c>
      <c r="T15" s="56">
        <v>1</v>
      </c>
      <c r="U15" s="56">
        <v>1</v>
      </c>
      <c r="V15" s="56">
        <v>0</v>
      </c>
      <c r="W15" s="56">
        <v>0</v>
      </c>
      <c r="X15" s="56">
        <v>0</v>
      </c>
      <c r="Y15" s="56">
        <v>0</v>
      </c>
      <c r="Z15" s="56">
        <v>0</v>
      </c>
      <c r="AA15" s="56">
        <v>0</v>
      </c>
      <c r="AB15" s="56">
        <v>0</v>
      </c>
      <c r="AC15" s="56">
        <v>0</v>
      </c>
    </row>
    <row r="16" spans="1:29" ht="19.95" customHeight="1" x14ac:dyDescent="0.25">
      <c r="A16" s="88">
        <v>8349944598</v>
      </c>
      <c r="B16" s="56" t="s">
        <v>639</v>
      </c>
      <c r="C16" s="122" t="s">
        <v>648</v>
      </c>
      <c r="D16" s="56" t="s">
        <v>649</v>
      </c>
      <c r="E16" s="56" t="s">
        <v>576</v>
      </c>
      <c r="F16" s="56" t="s">
        <v>235</v>
      </c>
      <c r="G16" s="56" t="s">
        <v>169</v>
      </c>
      <c r="H16" s="56" t="s">
        <v>125</v>
      </c>
      <c r="I16" s="56" t="s">
        <v>168</v>
      </c>
      <c r="J16" s="56" t="s">
        <v>115</v>
      </c>
      <c r="K16" s="56"/>
      <c r="L16" s="56"/>
      <c r="M16" s="56"/>
      <c r="N16" s="56" t="s">
        <v>16</v>
      </c>
      <c r="O16" s="64" t="s">
        <v>147</v>
      </c>
      <c r="P16" s="64" t="s">
        <v>148</v>
      </c>
      <c r="Q16" s="56">
        <v>23</v>
      </c>
      <c r="R16" s="56">
        <v>0</v>
      </c>
      <c r="S16" s="56">
        <v>0</v>
      </c>
      <c r="T16" s="56">
        <v>0</v>
      </c>
      <c r="U16" s="56">
        <v>13</v>
      </c>
      <c r="V16" s="56">
        <v>10</v>
      </c>
      <c r="W16" s="56">
        <v>0</v>
      </c>
      <c r="X16" s="56">
        <v>0</v>
      </c>
      <c r="Y16" s="56">
        <v>0</v>
      </c>
      <c r="Z16" s="56">
        <v>0</v>
      </c>
      <c r="AA16" s="56">
        <v>0</v>
      </c>
      <c r="AB16" s="56">
        <v>0</v>
      </c>
      <c r="AC16" s="56">
        <v>0</v>
      </c>
    </row>
    <row r="17" spans="1:29" ht="19.95" customHeight="1" x14ac:dyDescent="0.25">
      <c r="A17" s="88">
        <v>8349944598</v>
      </c>
      <c r="B17" s="56" t="s">
        <v>639</v>
      </c>
      <c r="C17" s="122" t="s">
        <v>648</v>
      </c>
      <c r="D17" s="56" t="s">
        <v>649</v>
      </c>
      <c r="E17" s="56" t="s">
        <v>576</v>
      </c>
      <c r="F17" s="56" t="s">
        <v>235</v>
      </c>
      <c r="G17" s="56" t="s">
        <v>169</v>
      </c>
      <c r="H17" s="56" t="s">
        <v>125</v>
      </c>
      <c r="I17" s="56" t="s">
        <v>168</v>
      </c>
      <c r="J17" s="56" t="s">
        <v>115</v>
      </c>
      <c r="K17" s="56"/>
      <c r="L17" s="56"/>
      <c r="M17" s="56"/>
      <c r="N17" s="56" t="s">
        <v>16</v>
      </c>
      <c r="O17" s="64" t="s">
        <v>647</v>
      </c>
      <c r="P17" s="64" t="s">
        <v>150</v>
      </c>
      <c r="Q17" s="56">
        <v>1</v>
      </c>
      <c r="R17" s="56">
        <v>0</v>
      </c>
      <c r="S17" s="56">
        <v>0</v>
      </c>
      <c r="T17" s="56">
        <v>0</v>
      </c>
      <c r="U17" s="56">
        <v>0</v>
      </c>
      <c r="V17" s="56">
        <v>0</v>
      </c>
      <c r="W17" s="56">
        <v>1</v>
      </c>
      <c r="X17" s="56">
        <v>0</v>
      </c>
      <c r="Y17" s="56">
        <v>0</v>
      </c>
      <c r="Z17" s="56">
        <v>1</v>
      </c>
      <c r="AA17" s="56">
        <v>0</v>
      </c>
      <c r="AB17" s="56">
        <v>0</v>
      </c>
      <c r="AC17" s="56">
        <v>1</v>
      </c>
    </row>
    <row r="18" spans="1:29" ht="19.95" customHeight="1" x14ac:dyDescent="0.25">
      <c r="A18" s="88">
        <v>8349944598</v>
      </c>
      <c r="B18" s="56" t="s">
        <v>639</v>
      </c>
      <c r="C18" s="122" t="s">
        <v>648</v>
      </c>
      <c r="D18" s="56" t="s">
        <v>649</v>
      </c>
      <c r="E18" s="56" t="s">
        <v>576</v>
      </c>
      <c r="F18" s="56" t="s">
        <v>235</v>
      </c>
      <c r="G18" s="56" t="s">
        <v>169</v>
      </c>
      <c r="H18" s="56" t="s">
        <v>125</v>
      </c>
      <c r="I18" s="56" t="s">
        <v>168</v>
      </c>
      <c r="J18" s="56" t="s">
        <v>115</v>
      </c>
      <c r="K18" s="56"/>
      <c r="L18" s="56"/>
      <c r="M18" s="56"/>
      <c r="N18" s="56" t="s">
        <v>16</v>
      </c>
      <c r="O18" s="64" t="s">
        <v>151</v>
      </c>
      <c r="P18" s="64" t="s">
        <v>152</v>
      </c>
      <c r="Q18" s="56">
        <v>2</v>
      </c>
      <c r="R18" s="56">
        <v>0</v>
      </c>
      <c r="S18" s="56">
        <v>0</v>
      </c>
      <c r="T18" s="56">
        <v>0</v>
      </c>
      <c r="U18" s="56">
        <v>2</v>
      </c>
      <c r="V18" s="56">
        <v>0</v>
      </c>
      <c r="W18" s="56">
        <v>0</v>
      </c>
      <c r="X18" s="56">
        <v>0</v>
      </c>
      <c r="Y18" s="56">
        <v>0</v>
      </c>
      <c r="Z18" s="56">
        <v>0</v>
      </c>
      <c r="AA18" s="56">
        <v>0</v>
      </c>
      <c r="AB18" s="56">
        <v>0</v>
      </c>
      <c r="AC18" s="56">
        <v>0</v>
      </c>
    </row>
    <row r="19" spans="1:29" ht="19.95" customHeight="1" x14ac:dyDescent="0.25">
      <c r="A19" s="88">
        <v>8349944598</v>
      </c>
      <c r="B19" s="56" t="s">
        <v>639</v>
      </c>
      <c r="C19" s="122" t="s">
        <v>648</v>
      </c>
      <c r="D19" s="56" t="s">
        <v>649</v>
      </c>
      <c r="E19" s="56" t="s">
        <v>576</v>
      </c>
      <c r="F19" s="56" t="s">
        <v>235</v>
      </c>
      <c r="G19" s="56" t="s">
        <v>169</v>
      </c>
      <c r="H19" s="56" t="s">
        <v>125</v>
      </c>
      <c r="I19" s="56" t="s">
        <v>168</v>
      </c>
      <c r="J19" s="56" t="s">
        <v>115</v>
      </c>
      <c r="K19" s="56"/>
      <c r="L19" s="56"/>
      <c r="M19" s="56"/>
      <c r="N19" s="56" t="s">
        <v>16</v>
      </c>
      <c r="O19" s="64" t="s">
        <v>153</v>
      </c>
      <c r="P19" s="64" t="s">
        <v>154</v>
      </c>
      <c r="Q19" s="56">
        <v>1</v>
      </c>
      <c r="R19" s="56">
        <v>0</v>
      </c>
      <c r="S19" s="56">
        <v>0</v>
      </c>
      <c r="T19" s="56">
        <v>0</v>
      </c>
      <c r="U19" s="56">
        <v>1</v>
      </c>
      <c r="V19" s="56">
        <v>1</v>
      </c>
      <c r="W19" s="56">
        <v>1</v>
      </c>
      <c r="X19" s="56">
        <v>1</v>
      </c>
      <c r="Y19" s="56">
        <v>1</v>
      </c>
      <c r="Z19" s="56">
        <v>1</v>
      </c>
      <c r="AA19" s="56">
        <v>1</v>
      </c>
      <c r="AB19" s="56">
        <v>1</v>
      </c>
      <c r="AC19" s="56">
        <v>1</v>
      </c>
    </row>
    <row r="20" spans="1:29" ht="19.95" customHeight="1" x14ac:dyDescent="0.25">
      <c r="A20" s="88">
        <v>8349944598</v>
      </c>
      <c r="B20" s="56" t="s">
        <v>639</v>
      </c>
      <c r="C20" s="122" t="s">
        <v>648</v>
      </c>
      <c r="D20" s="56" t="s">
        <v>649</v>
      </c>
      <c r="E20" s="56" t="s">
        <v>576</v>
      </c>
      <c r="F20" s="56" t="s">
        <v>235</v>
      </c>
      <c r="G20" s="56" t="s">
        <v>169</v>
      </c>
      <c r="H20" s="56" t="s">
        <v>125</v>
      </c>
      <c r="I20" s="56" t="s">
        <v>168</v>
      </c>
      <c r="J20" s="56" t="s">
        <v>115</v>
      </c>
      <c r="K20" s="56"/>
      <c r="L20" s="56"/>
      <c r="M20" s="56"/>
      <c r="N20" s="56" t="s">
        <v>16</v>
      </c>
      <c r="O20" s="64" t="s">
        <v>155</v>
      </c>
      <c r="P20" s="64" t="s">
        <v>156</v>
      </c>
      <c r="Q20" s="56">
        <v>1</v>
      </c>
      <c r="R20" s="56">
        <v>0</v>
      </c>
      <c r="S20" s="56">
        <v>0</v>
      </c>
      <c r="T20" s="56">
        <v>0</v>
      </c>
      <c r="U20" s="56">
        <v>0</v>
      </c>
      <c r="V20" s="56">
        <v>1</v>
      </c>
      <c r="W20" s="56">
        <v>1</v>
      </c>
      <c r="X20" s="56">
        <v>0</v>
      </c>
      <c r="Y20" s="56">
        <v>0</v>
      </c>
      <c r="Z20" s="56">
        <v>0</v>
      </c>
      <c r="AA20" s="56">
        <v>0</v>
      </c>
      <c r="AB20" s="56">
        <v>0</v>
      </c>
      <c r="AC20" s="56">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0693A-2449-4396-82E8-976FEF7950E8}">
  <dimension ref="A1:AC20"/>
  <sheetViews>
    <sheetView topLeftCell="L1" workbookViewId="0">
      <selection activeCell="O1" sqref="O1:AC1"/>
    </sheetView>
  </sheetViews>
  <sheetFormatPr defaultRowHeight="13.2" x14ac:dyDescent="0.25"/>
  <cols>
    <col min="1" max="1" width="12.109375" bestFit="1" customWidth="1"/>
    <col min="2" max="2" width="12.21875" bestFit="1" customWidth="1"/>
    <col min="3" max="3" width="23.21875" bestFit="1" customWidth="1"/>
    <col min="4" max="4" width="10.44140625" customWidth="1"/>
    <col min="5" max="5" width="12.109375" bestFit="1" customWidth="1"/>
    <col min="7" max="7" width="12.44140625" bestFit="1" customWidth="1"/>
    <col min="8" max="8" width="8.44140625" bestFit="1" customWidth="1"/>
    <col min="9" max="9" width="11.6640625" bestFit="1" customWidth="1"/>
    <col min="10" max="13" width="11.44140625" bestFit="1" customWidth="1"/>
    <col min="14" max="14" width="14.5546875" bestFit="1" customWidth="1"/>
    <col min="15" max="15" width="75.77734375" bestFit="1" customWidth="1"/>
    <col min="16" max="16" width="40.109375" bestFit="1" customWidth="1"/>
    <col min="17" max="17" width="14.109375" bestFit="1" customWidth="1"/>
  </cols>
  <sheetData>
    <row r="1" spans="1:29" ht="41.4" x14ac:dyDescent="0.25">
      <c r="A1" s="35" t="s">
        <v>123</v>
      </c>
      <c r="B1" s="58" t="s">
        <v>1</v>
      </c>
      <c r="C1" s="35" t="s">
        <v>2</v>
      </c>
      <c r="D1" s="58" t="s">
        <v>3</v>
      </c>
      <c r="E1" s="35" t="s">
        <v>4</v>
      </c>
      <c r="F1" s="35" t="s">
        <v>5</v>
      </c>
      <c r="G1" s="35" t="s">
        <v>6</v>
      </c>
      <c r="H1" s="35" t="s">
        <v>7</v>
      </c>
      <c r="I1" s="58" t="s">
        <v>8</v>
      </c>
      <c r="J1" s="35" t="s">
        <v>9</v>
      </c>
      <c r="K1" s="35" t="s">
        <v>10</v>
      </c>
      <c r="L1" s="35" t="s">
        <v>126</v>
      </c>
      <c r="M1" s="35" t="s">
        <v>127</v>
      </c>
      <c r="N1" s="35"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36" t="s">
        <v>653</v>
      </c>
      <c r="B2" s="119" t="s">
        <v>650</v>
      </c>
      <c r="C2" s="29" t="s">
        <v>652</v>
      </c>
      <c r="D2" s="119" t="s">
        <v>651</v>
      </c>
      <c r="E2" s="119" t="s">
        <v>576</v>
      </c>
      <c r="F2" s="119" t="s">
        <v>349</v>
      </c>
      <c r="G2" s="119" t="s">
        <v>169</v>
      </c>
      <c r="H2" s="119" t="s">
        <v>125</v>
      </c>
      <c r="I2" s="119" t="s">
        <v>168</v>
      </c>
      <c r="J2" s="119" t="s">
        <v>115</v>
      </c>
      <c r="K2" s="119"/>
      <c r="L2" s="119"/>
      <c r="M2" s="119"/>
      <c r="N2" s="119" t="s">
        <v>16</v>
      </c>
      <c r="O2" s="13" t="s">
        <v>131</v>
      </c>
      <c r="P2" s="44" t="s">
        <v>132</v>
      </c>
      <c r="Q2" s="123">
        <v>2</v>
      </c>
      <c r="R2" s="12">
        <v>0</v>
      </c>
      <c r="S2" s="12">
        <v>0</v>
      </c>
      <c r="T2" s="12">
        <v>0</v>
      </c>
      <c r="U2" s="12">
        <v>0</v>
      </c>
      <c r="V2" s="124">
        <v>2</v>
      </c>
      <c r="W2" s="12">
        <v>0</v>
      </c>
      <c r="X2" s="12">
        <v>0</v>
      </c>
      <c r="Y2" s="12">
        <v>0</v>
      </c>
      <c r="Z2" s="12">
        <v>0</v>
      </c>
      <c r="AA2" s="12">
        <v>0</v>
      </c>
      <c r="AB2" s="12">
        <v>0</v>
      </c>
      <c r="AC2" s="12">
        <v>0</v>
      </c>
    </row>
    <row r="3" spans="1:29" ht="19.95" customHeight="1" x14ac:dyDescent="0.25">
      <c r="A3" s="36" t="s">
        <v>653</v>
      </c>
      <c r="B3" s="119" t="s">
        <v>650</v>
      </c>
      <c r="C3" s="29" t="s">
        <v>652</v>
      </c>
      <c r="D3" s="119" t="s">
        <v>651</v>
      </c>
      <c r="E3" s="119" t="s">
        <v>576</v>
      </c>
      <c r="F3" s="119" t="s">
        <v>349</v>
      </c>
      <c r="G3" s="119" t="s">
        <v>169</v>
      </c>
      <c r="H3" s="119" t="s">
        <v>125</v>
      </c>
      <c r="I3" s="119" t="s">
        <v>168</v>
      </c>
      <c r="J3" s="119" t="s">
        <v>115</v>
      </c>
      <c r="K3" s="119"/>
      <c r="L3" s="119"/>
      <c r="M3" s="119"/>
      <c r="N3" s="119" t="s">
        <v>16</v>
      </c>
      <c r="O3" s="13" t="s">
        <v>640</v>
      </c>
      <c r="P3" s="44" t="s">
        <v>133</v>
      </c>
      <c r="Q3" s="11">
        <v>1</v>
      </c>
      <c r="R3" s="12">
        <v>0</v>
      </c>
      <c r="S3" s="12">
        <v>0</v>
      </c>
      <c r="T3" s="12">
        <v>0</v>
      </c>
      <c r="U3" s="83">
        <v>0</v>
      </c>
      <c r="V3" s="96">
        <v>1</v>
      </c>
      <c r="W3" s="12">
        <v>0</v>
      </c>
      <c r="X3" s="12">
        <v>0</v>
      </c>
      <c r="Y3" s="12">
        <v>0</v>
      </c>
      <c r="Z3" s="12">
        <v>0</v>
      </c>
      <c r="AA3" s="12">
        <v>0</v>
      </c>
      <c r="AB3" s="12">
        <v>0</v>
      </c>
      <c r="AC3" s="12">
        <v>0</v>
      </c>
    </row>
    <row r="4" spans="1:29" ht="19.95" customHeight="1" x14ac:dyDescent="0.25">
      <c r="A4" s="36" t="s">
        <v>653</v>
      </c>
      <c r="B4" s="119" t="s">
        <v>650</v>
      </c>
      <c r="C4" s="29" t="s">
        <v>652</v>
      </c>
      <c r="D4" s="119" t="s">
        <v>651</v>
      </c>
      <c r="E4" s="119" t="s">
        <v>576</v>
      </c>
      <c r="F4" s="119" t="s">
        <v>349</v>
      </c>
      <c r="G4" s="119" t="s">
        <v>169</v>
      </c>
      <c r="H4" s="119" t="s">
        <v>125</v>
      </c>
      <c r="I4" s="119" t="s">
        <v>168</v>
      </c>
      <c r="J4" s="119" t="s">
        <v>115</v>
      </c>
      <c r="K4" s="119"/>
      <c r="L4" s="119"/>
      <c r="M4" s="119"/>
      <c r="N4" s="119" t="s">
        <v>16</v>
      </c>
      <c r="O4" s="13" t="s">
        <v>641</v>
      </c>
      <c r="P4" s="44" t="s">
        <v>134</v>
      </c>
      <c r="Q4" s="123">
        <v>2</v>
      </c>
      <c r="R4" s="12">
        <v>0</v>
      </c>
      <c r="S4" s="12">
        <v>0</v>
      </c>
      <c r="T4" s="12">
        <v>0</v>
      </c>
      <c r="U4" s="12">
        <v>0</v>
      </c>
      <c r="V4" s="124">
        <v>2</v>
      </c>
      <c r="W4" s="124">
        <v>0</v>
      </c>
      <c r="X4" s="12">
        <v>0</v>
      </c>
      <c r="Y4" s="12">
        <v>0</v>
      </c>
      <c r="Z4" s="12">
        <v>0</v>
      </c>
      <c r="AA4" s="12">
        <v>0</v>
      </c>
      <c r="AB4" s="12">
        <v>0</v>
      </c>
      <c r="AC4" s="12">
        <v>0</v>
      </c>
    </row>
    <row r="5" spans="1:29" ht="19.95" customHeight="1" x14ac:dyDescent="0.25">
      <c r="A5" s="36" t="s">
        <v>653</v>
      </c>
      <c r="B5" s="119" t="s">
        <v>650</v>
      </c>
      <c r="C5" s="29" t="s">
        <v>652</v>
      </c>
      <c r="D5" s="119" t="s">
        <v>651</v>
      </c>
      <c r="E5" s="119" t="s">
        <v>576</v>
      </c>
      <c r="F5" s="119" t="s">
        <v>349</v>
      </c>
      <c r="G5" s="119" t="s">
        <v>169</v>
      </c>
      <c r="H5" s="119" t="s">
        <v>125</v>
      </c>
      <c r="I5" s="119" t="s">
        <v>168</v>
      </c>
      <c r="J5" s="119" t="s">
        <v>115</v>
      </c>
      <c r="K5" s="119"/>
      <c r="L5" s="119"/>
      <c r="M5" s="119"/>
      <c r="N5" s="119" t="s">
        <v>16</v>
      </c>
      <c r="O5" s="13" t="s">
        <v>642</v>
      </c>
      <c r="P5" s="44" t="s">
        <v>135</v>
      </c>
      <c r="Q5" s="38">
        <v>14</v>
      </c>
      <c r="R5" s="12">
        <v>0</v>
      </c>
      <c r="S5" s="12">
        <v>0</v>
      </c>
      <c r="T5" s="12">
        <v>0</v>
      </c>
      <c r="U5" s="12">
        <v>0</v>
      </c>
      <c r="V5" s="12">
        <v>0</v>
      </c>
      <c r="W5" s="12">
        <v>7</v>
      </c>
      <c r="X5" s="12">
        <v>7</v>
      </c>
      <c r="Y5" s="12">
        <v>0</v>
      </c>
      <c r="Z5" s="12">
        <v>0</v>
      </c>
      <c r="AA5" s="12">
        <v>0</v>
      </c>
      <c r="AB5" s="12">
        <v>0</v>
      </c>
      <c r="AC5" s="12">
        <v>0</v>
      </c>
    </row>
    <row r="6" spans="1:29" ht="19.95" customHeight="1" x14ac:dyDescent="0.25">
      <c r="A6" s="36" t="s">
        <v>653</v>
      </c>
      <c r="B6" s="119" t="s">
        <v>650</v>
      </c>
      <c r="C6" s="29" t="s">
        <v>652</v>
      </c>
      <c r="D6" s="119" t="s">
        <v>651</v>
      </c>
      <c r="E6" s="119" t="s">
        <v>576</v>
      </c>
      <c r="F6" s="119" t="s">
        <v>349</v>
      </c>
      <c r="G6" s="119" t="s">
        <v>169</v>
      </c>
      <c r="H6" s="119" t="s">
        <v>125</v>
      </c>
      <c r="I6" s="119" t="s">
        <v>168</v>
      </c>
      <c r="J6" s="119" t="s">
        <v>115</v>
      </c>
      <c r="K6" s="119"/>
      <c r="L6" s="119"/>
      <c r="M6" s="119"/>
      <c r="N6" s="119" t="s">
        <v>16</v>
      </c>
      <c r="O6" s="13" t="s">
        <v>640</v>
      </c>
      <c r="P6" s="44" t="s">
        <v>133</v>
      </c>
      <c r="Q6" s="11">
        <v>1</v>
      </c>
      <c r="R6" s="12">
        <v>0</v>
      </c>
      <c r="S6" s="12">
        <v>0</v>
      </c>
      <c r="T6" s="12">
        <v>0</v>
      </c>
      <c r="U6" s="12">
        <v>0</v>
      </c>
      <c r="V6" s="12">
        <v>7</v>
      </c>
      <c r="W6" s="12">
        <v>7</v>
      </c>
      <c r="X6" s="12">
        <v>0</v>
      </c>
      <c r="Y6" s="12">
        <v>0</v>
      </c>
      <c r="Z6" s="12">
        <v>0</v>
      </c>
      <c r="AA6" s="12">
        <v>0</v>
      </c>
      <c r="AB6" s="12">
        <v>0</v>
      </c>
      <c r="AC6" s="12">
        <v>0</v>
      </c>
    </row>
    <row r="7" spans="1:29" ht="19.95" customHeight="1" x14ac:dyDescent="0.25">
      <c r="A7" s="36" t="s">
        <v>653</v>
      </c>
      <c r="B7" s="119" t="s">
        <v>650</v>
      </c>
      <c r="C7" s="29" t="s">
        <v>652</v>
      </c>
      <c r="D7" s="119" t="s">
        <v>651</v>
      </c>
      <c r="E7" s="119" t="s">
        <v>576</v>
      </c>
      <c r="F7" s="119" t="s">
        <v>349</v>
      </c>
      <c r="G7" s="119" t="s">
        <v>169</v>
      </c>
      <c r="H7" s="119" t="s">
        <v>125</v>
      </c>
      <c r="I7" s="119" t="s">
        <v>168</v>
      </c>
      <c r="J7" s="119" t="s">
        <v>115</v>
      </c>
      <c r="K7" s="119"/>
      <c r="L7" s="119"/>
      <c r="M7" s="119"/>
      <c r="N7" s="119" t="s">
        <v>16</v>
      </c>
      <c r="O7" s="13" t="s">
        <v>641</v>
      </c>
      <c r="P7" s="44" t="s">
        <v>134</v>
      </c>
      <c r="Q7" s="38">
        <v>14</v>
      </c>
      <c r="R7" s="12">
        <v>0</v>
      </c>
      <c r="S7" s="12">
        <v>0</v>
      </c>
      <c r="T7" s="12">
        <v>0</v>
      </c>
      <c r="U7" s="12">
        <v>0</v>
      </c>
      <c r="V7" s="12">
        <v>0</v>
      </c>
      <c r="W7" s="12">
        <v>7</v>
      </c>
      <c r="X7" s="12">
        <v>7</v>
      </c>
      <c r="Y7" s="12">
        <v>0</v>
      </c>
      <c r="Z7" s="12">
        <v>0</v>
      </c>
      <c r="AA7" s="12">
        <v>0</v>
      </c>
      <c r="AB7" s="12">
        <v>0</v>
      </c>
      <c r="AC7" s="12">
        <v>0</v>
      </c>
    </row>
    <row r="8" spans="1:29" ht="19.95" customHeight="1" x14ac:dyDescent="0.25">
      <c r="A8" s="36" t="s">
        <v>653</v>
      </c>
      <c r="B8" s="119" t="s">
        <v>650</v>
      </c>
      <c r="C8" s="29" t="s">
        <v>652</v>
      </c>
      <c r="D8" s="119" t="s">
        <v>651</v>
      </c>
      <c r="E8" s="119" t="s">
        <v>576</v>
      </c>
      <c r="F8" s="119" t="s">
        <v>349</v>
      </c>
      <c r="G8" s="119" t="s">
        <v>169</v>
      </c>
      <c r="H8" s="119" t="s">
        <v>125</v>
      </c>
      <c r="I8" s="119" t="s">
        <v>168</v>
      </c>
      <c r="J8" s="119" t="s">
        <v>115</v>
      </c>
      <c r="K8" s="119"/>
      <c r="L8" s="119"/>
      <c r="M8" s="119"/>
      <c r="N8" s="119" t="s">
        <v>16</v>
      </c>
      <c r="O8" s="13" t="s">
        <v>136</v>
      </c>
      <c r="P8" s="44" t="s">
        <v>137</v>
      </c>
      <c r="Q8" s="38">
        <v>16</v>
      </c>
      <c r="R8" s="12">
        <v>0</v>
      </c>
      <c r="S8" s="12">
        <v>0</v>
      </c>
      <c r="T8" s="12">
        <v>0</v>
      </c>
      <c r="U8" s="12">
        <v>0</v>
      </c>
      <c r="V8" s="12">
        <v>2</v>
      </c>
      <c r="W8" s="12">
        <v>7</v>
      </c>
      <c r="X8" s="12">
        <v>4</v>
      </c>
      <c r="Y8" s="12">
        <v>3</v>
      </c>
      <c r="Z8" s="12">
        <v>0</v>
      </c>
      <c r="AA8" s="12">
        <v>0</v>
      </c>
      <c r="AB8" s="12">
        <v>0</v>
      </c>
      <c r="AC8" s="12">
        <v>0</v>
      </c>
    </row>
    <row r="9" spans="1:29" ht="19.95" customHeight="1" x14ac:dyDescent="0.25">
      <c r="A9" s="36" t="s">
        <v>653</v>
      </c>
      <c r="B9" s="119" t="s">
        <v>650</v>
      </c>
      <c r="C9" s="29" t="s">
        <v>652</v>
      </c>
      <c r="D9" s="119" t="s">
        <v>651</v>
      </c>
      <c r="E9" s="119" t="s">
        <v>576</v>
      </c>
      <c r="F9" s="119" t="s">
        <v>349</v>
      </c>
      <c r="G9" s="119" t="s">
        <v>169</v>
      </c>
      <c r="H9" s="119" t="s">
        <v>125</v>
      </c>
      <c r="I9" s="119" t="s">
        <v>168</v>
      </c>
      <c r="J9" s="119" t="s">
        <v>115</v>
      </c>
      <c r="K9" s="119"/>
      <c r="L9" s="119"/>
      <c r="M9" s="119"/>
      <c r="N9" s="119" t="s">
        <v>16</v>
      </c>
      <c r="O9" s="13" t="s">
        <v>643</v>
      </c>
      <c r="P9" s="44" t="s">
        <v>138</v>
      </c>
      <c r="Q9" s="38">
        <v>16</v>
      </c>
      <c r="R9" s="12">
        <v>0</v>
      </c>
      <c r="S9" s="12">
        <v>0</v>
      </c>
      <c r="T9" s="12">
        <v>0</v>
      </c>
      <c r="U9" s="12">
        <v>0</v>
      </c>
      <c r="V9" s="12">
        <v>2</v>
      </c>
      <c r="W9" s="12">
        <v>0</v>
      </c>
      <c r="X9" s="12">
        <v>0</v>
      </c>
      <c r="Y9" s="12">
        <v>7</v>
      </c>
      <c r="Z9" s="12">
        <v>7</v>
      </c>
      <c r="AA9" s="12">
        <v>0</v>
      </c>
      <c r="AB9" s="12">
        <v>0</v>
      </c>
      <c r="AC9" s="12">
        <v>0</v>
      </c>
    </row>
    <row r="10" spans="1:29" ht="19.95" customHeight="1" x14ac:dyDescent="0.25">
      <c r="A10" s="36" t="s">
        <v>653</v>
      </c>
      <c r="B10" s="119" t="s">
        <v>650</v>
      </c>
      <c r="C10" s="29" t="s">
        <v>652</v>
      </c>
      <c r="D10" s="119" t="s">
        <v>651</v>
      </c>
      <c r="E10" s="119" t="s">
        <v>576</v>
      </c>
      <c r="F10" s="119" t="s">
        <v>349</v>
      </c>
      <c r="G10" s="119" t="s">
        <v>169</v>
      </c>
      <c r="H10" s="119" t="s">
        <v>125</v>
      </c>
      <c r="I10" s="119" t="s">
        <v>168</v>
      </c>
      <c r="J10" s="119" t="s">
        <v>115</v>
      </c>
      <c r="K10" s="119"/>
      <c r="L10" s="119"/>
      <c r="M10" s="119"/>
      <c r="N10" s="119" t="s">
        <v>16</v>
      </c>
      <c r="O10" s="13" t="s">
        <v>644</v>
      </c>
      <c r="P10" s="44" t="s">
        <v>139</v>
      </c>
      <c r="Q10" s="38">
        <v>10</v>
      </c>
      <c r="R10" s="12">
        <v>0</v>
      </c>
      <c r="S10" s="12">
        <v>0</v>
      </c>
      <c r="T10" s="12">
        <v>1</v>
      </c>
      <c r="U10" s="12">
        <v>1</v>
      </c>
      <c r="V10" s="12">
        <v>1</v>
      </c>
      <c r="W10" s="12">
        <v>1</v>
      </c>
      <c r="X10" s="12">
        <v>1</v>
      </c>
      <c r="Y10" s="12">
        <v>1</v>
      </c>
      <c r="Z10" s="12">
        <v>1</v>
      </c>
      <c r="AA10" s="12">
        <v>1</v>
      </c>
      <c r="AB10" s="12">
        <v>1</v>
      </c>
      <c r="AC10" s="12">
        <v>1</v>
      </c>
    </row>
    <row r="11" spans="1:29" ht="19.95" customHeight="1" x14ac:dyDescent="0.25">
      <c r="A11" s="36" t="s">
        <v>653</v>
      </c>
      <c r="B11" s="119" t="s">
        <v>650</v>
      </c>
      <c r="C11" s="29" t="s">
        <v>652</v>
      </c>
      <c r="D11" s="119" t="s">
        <v>651</v>
      </c>
      <c r="E11" s="119" t="s">
        <v>576</v>
      </c>
      <c r="F11" s="119" t="s">
        <v>349</v>
      </c>
      <c r="G11" s="119" t="s">
        <v>169</v>
      </c>
      <c r="H11" s="119" t="s">
        <v>125</v>
      </c>
      <c r="I11" s="119" t="s">
        <v>168</v>
      </c>
      <c r="J11" s="119" t="s">
        <v>115</v>
      </c>
      <c r="K11" s="119"/>
      <c r="L11" s="119"/>
      <c r="M11" s="119"/>
      <c r="N11" s="119" t="s">
        <v>16</v>
      </c>
      <c r="O11" s="13" t="s">
        <v>645</v>
      </c>
      <c r="P11" s="44" t="s">
        <v>139</v>
      </c>
      <c r="Q11" s="38">
        <v>10</v>
      </c>
      <c r="R11" s="12">
        <v>0</v>
      </c>
      <c r="S11" s="12">
        <v>0</v>
      </c>
      <c r="T11" s="12">
        <v>1</v>
      </c>
      <c r="U11" s="12">
        <v>1</v>
      </c>
      <c r="V11" s="12">
        <v>1</v>
      </c>
      <c r="W11" s="12">
        <v>1</v>
      </c>
      <c r="X11" s="12">
        <v>1</v>
      </c>
      <c r="Y11" s="12">
        <v>1</v>
      </c>
      <c r="Z11" s="12">
        <v>1</v>
      </c>
      <c r="AA11" s="12">
        <v>1</v>
      </c>
      <c r="AB11" s="12">
        <v>1</v>
      </c>
      <c r="AC11" s="12">
        <v>1</v>
      </c>
    </row>
    <row r="12" spans="1:29" ht="19.95" customHeight="1" x14ac:dyDescent="0.25">
      <c r="A12" s="36" t="s">
        <v>653</v>
      </c>
      <c r="B12" s="119" t="s">
        <v>650</v>
      </c>
      <c r="C12" s="29" t="s">
        <v>652</v>
      </c>
      <c r="D12" s="119" t="s">
        <v>651</v>
      </c>
      <c r="E12" s="119" t="s">
        <v>576</v>
      </c>
      <c r="F12" s="119" t="s">
        <v>349</v>
      </c>
      <c r="G12" s="119" t="s">
        <v>169</v>
      </c>
      <c r="H12" s="119" t="s">
        <v>125</v>
      </c>
      <c r="I12" s="119" t="s">
        <v>168</v>
      </c>
      <c r="J12" s="119" t="s">
        <v>115</v>
      </c>
      <c r="K12" s="119"/>
      <c r="L12" s="119"/>
      <c r="M12" s="119"/>
      <c r="N12" s="119" t="s">
        <v>16</v>
      </c>
      <c r="O12" s="13" t="s">
        <v>140</v>
      </c>
      <c r="P12" s="44" t="s">
        <v>170</v>
      </c>
      <c r="Q12" s="11">
        <v>1</v>
      </c>
      <c r="R12" s="11">
        <v>1</v>
      </c>
      <c r="S12" s="11">
        <v>1</v>
      </c>
      <c r="T12" s="11">
        <v>1</v>
      </c>
      <c r="U12" s="11">
        <v>1</v>
      </c>
      <c r="V12" s="12">
        <v>0</v>
      </c>
      <c r="W12" s="12">
        <v>0</v>
      </c>
      <c r="X12" s="12">
        <v>0</v>
      </c>
      <c r="Y12" s="12">
        <v>0</v>
      </c>
      <c r="Z12" s="12">
        <v>0</v>
      </c>
      <c r="AA12" s="11">
        <v>1</v>
      </c>
      <c r="AB12" s="11">
        <v>1</v>
      </c>
      <c r="AC12" s="11">
        <v>1</v>
      </c>
    </row>
    <row r="13" spans="1:29" ht="19.95" customHeight="1" x14ac:dyDescent="0.25">
      <c r="A13" s="36" t="s">
        <v>653</v>
      </c>
      <c r="B13" s="119" t="s">
        <v>650</v>
      </c>
      <c r="C13" s="29" t="s">
        <v>652</v>
      </c>
      <c r="D13" s="119" t="s">
        <v>651</v>
      </c>
      <c r="E13" s="119" t="s">
        <v>576</v>
      </c>
      <c r="F13" s="119" t="s">
        <v>349</v>
      </c>
      <c r="G13" s="119" t="s">
        <v>169</v>
      </c>
      <c r="H13" s="119" t="s">
        <v>125</v>
      </c>
      <c r="I13" s="119" t="s">
        <v>168</v>
      </c>
      <c r="J13" s="119" t="s">
        <v>115</v>
      </c>
      <c r="K13" s="119"/>
      <c r="L13" s="119"/>
      <c r="M13" s="119"/>
      <c r="N13" s="119" t="s">
        <v>16</v>
      </c>
      <c r="O13" s="13" t="s">
        <v>141</v>
      </c>
      <c r="P13" s="44" t="s">
        <v>142</v>
      </c>
      <c r="Q13" s="11">
        <v>1</v>
      </c>
      <c r="R13" s="12">
        <v>10</v>
      </c>
      <c r="S13" s="12">
        <v>0</v>
      </c>
      <c r="T13" s="12">
        <v>0</v>
      </c>
      <c r="U13" s="125">
        <v>2</v>
      </c>
      <c r="V13" s="125">
        <v>7</v>
      </c>
      <c r="W13" s="125">
        <v>4</v>
      </c>
      <c r="X13" s="12">
        <v>3</v>
      </c>
      <c r="Y13" s="12">
        <v>0</v>
      </c>
      <c r="Z13" s="12">
        <v>0</v>
      </c>
      <c r="AA13" s="12">
        <v>0</v>
      </c>
      <c r="AB13" s="12">
        <v>0</v>
      </c>
      <c r="AC13" s="12">
        <v>0</v>
      </c>
    </row>
    <row r="14" spans="1:29" ht="19.95" customHeight="1" x14ac:dyDescent="0.25">
      <c r="A14" s="36" t="s">
        <v>653</v>
      </c>
      <c r="B14" s="119" t="s">
        <v>650</v>
      </c>
      <c r="C14" s="29" t="s">
        <v>652</v>
      </c>
      <c r="D14" s="119" t="s">
        <v>651</v>
      </c>
      <c r="E14" s="119" t="s">
        <v>576</v>
      </c>
      <c r="F14" s="119" t="s">
        <v>349</v>
      </c>
      <c r="G14" s="119" t="s">
        <v>169</v>
      </c>
      <c r="H14" s="119" t="s">
        <v>125</v>
      </c>
      <c r="I14" s="119" t="s">
        <v>168</v>
      </c>
      <c r="J14" s="119" t="s">
        <v>115</v>
      </c>
      <c r="K14" s="119"/>
      <c r="L14" s="119"/>
      <c r="M14" s="119"/>
      <c r="N14" s="119" t="s">
        <v>16</v>
      </c>
      <c r="O14" s="13" t="s">
        <v>143</v>
      </c>
      <c r="P14" s="44" t="s">
        <v>144</v>
      </c>
      <c r="Q14" s="11">
        <v>1</v>
      </c>
      <c r="R14" s="12">
        <v>0</v>
      </c>
      <c r="S14" s="12">
        <v>0</v>
      </c>
      <c r="T14" s="12">
        <v>0</v>
      </c>
      <c r="U14" s="96">
        <v>1</v>
      </c>
      <c r="V14" s="12">
        <v>0</v>
      </c>
      <c r="W14" s="12">
        <v>0</v>
      </c>
      <c r="X14" s="96">
        <v>1</v>
      </c>
      <c r="Y14" s="12">
        <v>0</v>
      </c>
      <c r="Z14" s="12">
        <v>0</v>
      </c>
      <c r="AA14" s="96">
        <v>1</v>
      </c>
      <c r="AB14" s="12">
        <v>0</v>
      </c>
      <c r="AC14" s="12">
        <v>0</v>
      </c>
    </row>
    <row r="15" spans="1:29" ht="19.95" customHeight="1" x14ac:dyDescent="0.25">
      <c r="A15" s="36" t="s">
        <v>653</v>
      </c>
      <c r="B15" s="119" t="s">
        <v>650</v>
      </c>
      <c r="C15" s="29" t="s">
        <v>652</v>
      </c>
      <c r="D15" s="119" t="s">
        <v>651</v>
      </c>
      <c r="E15" s="119" t="s">
        <v>576</v>
      </c>
      <c r="F15" s="119" t="s">
        <v>349</v>
      </c>
      <c r="G15" s="119" t="s">
        <v>169</v>
      </c>
      <c r="H15" s="119" t="s">
        <v>125</v>
      </c>
      <c r="I15" s="119" t="s">
        <v>168</v>
      </c>
      <c r="J15" s="119" t="s">
        <v>115</v>
      </c>
      <c r="K15" s="119"/>
      <c r="L15" s="119"/>
      <c r="M15" s="119"/>
      <c r="N15" s="119" t="s">
        <v>16</v>
      </c>
      <c r="O15" s="13" t="s">
        <v>145</v>
      </c>
      <c r="P15" s="44" t="s">
        <v>146</v>
      </c>
      <c r="Q15" s="11">
        <v>1</v>
      </c>
      <c r="R15" s="12">
        <v>0</v>
      </c>
      <c r="S15" s="12">
        <v>0</v>
      </c>
      <c r="T15" s="11">
        <v>1</v>
      </c>
      <c r="U15" s="11">
        <v>1</v>
      </c>
      <c r="V15" s="12">
        <v>0</v>
      </c>
      <c r="W15" s="12">
        <v>0</v>
      </c>
      <c r="X15" s="12">
        <v>0</v>
      </c>
      <c r="Y15" s="12">
        <v>0</v>
      </c>
      <c r="Z15" s="12">
        <v>0</v>
      </c>
      <c r="AA15" s="12">
        <v>0</v>
      </c>
      <c r="AB15" s="12">
        <v>0</v>
      </c>
      <c r="AC15" s="12">
        <v>0</v>
      </c>
    </row>
    <row r="16" spans="1:29" ht="19.95" customHeight="1" x14ac:dyDescent="0.25">
      <c r="A16" s="36" t="s">
        <v>653</v>
      </c>
      <c r="B16" s="119" t="s">
        <v>650</v>
      </c>
      <c r="C16" s="29" t="s">
        <v>652</v>
      </c>
      <c r="D16" s="119" t="s">
        <v>651</v>
      </c>
      <c r="E16" s="119" t="s">
        <v>576</v>
      </c>
      <c r="F16" s="119" t="s">
        <v>349</v>
      </c>
      <c r="G16" s="119" t="s">
        <v>169</v>
      </c>
      <c r="H16" s="119" t="s">
        <v>125</v>
      </c>
      <c r="I16" s="119" t="s">
        <v>168</v>
      </c>
      <c r="J16" s="119" t="s">
        <v>115</v>
      </c>
      <c r="K16" s="119"/>
      <c r="L16" s="119"/>
      <c r="M16" s="119"/>
      <c r="N16" s="119" t="s">
        <v>16</v>
      </c>
      <c r="O16" s="13" t="s">
        <v>147</v>
      </c>
      <c r="P16" s="44" t="s">
        <v>148</v>
      </c>
      <c r="Q16" s="38">
        <v>16</v>
      </c>
      <c r="R16" s="12">
        <v>0</v>
      </c>
      <c r="S16" s="12">
        <v>0</v>
      </c>
      <c r="T16" s="12">
        <v>0</v>
      </c>
      <c r="U16" s="125">
        <v>2</v>
      </c>
      <c r="V16" s="125">
        <v>7</v>
      </c>
      <c r="W16" s="125">
        <v>4</v>
      </c>
      <c r="X16" s="12">
        <v>3</v>
      </c>
      <c r="Y16" s="12">
        <v>0</v>
      </c>
      <c r="Z16" s="12">
        <v>0</v>
      </c>
      <c r="AA16" s="12">
        <v>0</v>
      </c>
      <c r="AB16" s="12">
        <v>0</v>
      </c>
      <c r="AC16" s="12">
        <v>0</v>
      </c>
    </row>
    <row r="17" spans="1:29" ht="19.95" customHeight="1" x14ac:dyDescent="0.25">
      <c r="A17" s="36" t="s">
        <v>653</v>
      </c>
      <c r="B17" s="119" t="s">
        <v>650</v>
      </c>
      <c r="C17" s="29" t="s">
        <v>652</v>
      </c>
      <c r="D17" s="119" t="s">
        <v>651</v>
      </c>
      <c r="E17" s="119" t="s">
        <v>576</v>
      </c>
      <c r="F17" s="119" t="s">
        <v>349</v>
      </c>
      <c r="G17" s="119" t="s">
        <v>169</v>
      </c>
      <c r="H17" s="119" t="s">
        <v>125</v>
      </c>
      <c r="I17" s="119" t="s">
        <v>168</v>
      </c>
      <c r="J17" s="119" t="s">
        <v>115</v>
      </c>
      <c r="K17" s="119"/>
      <c r="L17" s="119"/>
      <c r="M17" s="119"/>
      <c r="N17" s="119" t="s">
        <v>16</v>
      </c>
      <c r="O17" s="13" t="s">
        <v>647</v>
      </c>
      <c r="P17" s="44" t="s">
        <v>150</v>
      </c>
      <c r="Q17" s="11">
        <v>1</v>
      </c>
      <c r="R17" s="12">
        <v>0</v>
      </c>
      <c r="S17" s="12">
        <v>0</v>
      </c>
      <c r="T17" s="12">
        <v>0</v>
      </c>
      <c r="U17" s="12">
        <v>0</v>
      </c>
      <c r="V17" s="12">
        <v>0</v>
      </c>
      <c r="W17" s="96">
        <v>1</v>
      </c>
      <c r="X17" s="12">
        <v>0</v>
      </c>
      <c r="Y17" s="12">
        <v>0</v>
      </c>
      <c r="Z17" s="96">
        <v>1</v>
      </c>
      <c r="AA17" s="12">
        <v>0</v>
      </c>
      <c r="AB17" s="12">
        <v>0</v>
      </c>
      <c r="AC17" s="96">
        <v>1</v>
      </c>
    </row>
    <row r="18" spans="1:29" ht="19.95" customHeight="1" x14ac:dyDescent="0.25">
      <c r="A18" s="36" t="s">
        <v>653</v>
      </c>
      <c r="B18" s="119" t="s">
        <v>650</v>
      </c>
      <c r="C18" s="29" t="s">
        <v>652</v>
      </c>
      <c r="D18" s="119" t="s">
        <v>651</v>
      </c>
      <c r="E18" s="119" t="s">
        <v>576</v>
      </c>
      <c r="F18" s="119" t="s">
        <v>349</v>
      </c>
      <c r="G18" s="119" t="s">
        <v>169</v>
      </c>
      <c r="H18" s="119" t="s">
        <v>125</v>
      </c>
      <c r="I18" s="119" t="s">
        <v>168</v>
      </c>
      <c r="J18" s="119" t="s">
        <v>115</v>
      </c>
      <c r="K18" s="119"/>
      <c r="L18" s="119"/>
      <c r="M18" s="119"/>
      <c r="N18" s="119" t="s">
        <v>16</v>
      </c>
      <c r="O18" s="13" t="s">
        <v>151</v>
      </c>
      <c r="P18" s="44" t="s">
        <v>152</v>
      </c>
      <c r="Q18" s="38">
        <v>2</v>
      </c>
      <c r="R18" s="12">
        <v>0</v>
      </c>
      <c r="S18" s="12">
        <v>0</v>
      </c>
      <c r="T18" s="12">
        <v>0</v>
      </c>
      <c r="U18" s="12">
        <v>2</v>
      </c>
      <c r="V18" s="12">
        <v>0</v>
      </c>
      <c r="W18" s="12">
        <v>0</v>
      </c>
      <c r="X18" s="12">
        <v>0</v>
      </c>
      <c r="Y18" s="12">
        <v>0</v>
      </c>
      <c r="Z18" s="12">
        <v>0</v>
      </c>
      <c r="AA18" s="12">
        <v>0</v>
      </c>
      <c r="AB18" s="12">
        <v>0</v>
      </c>
      <c r="AC18" s="12">
        <v>0</v>
      </c>
    </row>
    <row r="19" spans="1:29" ht="19.95" customHeight="1" x14ac:dyDescent="0.25">
      <c r="A19" s="36" t="s">
        <v>653</v>
      </c>
      <c r="B19" s="119" t="s">
        <v>650</v>
      </c>
      <c r="C19" s="29" t="s">
        <v>652</v>
      </c>
      <c r="D19" s="119" t="s">
        <v>651</v>
      </c>
      <c r="E19" s="119" t="s">
        <v>576</v>
      </c>
      <c r="F19" s="119" t="s">
        <v>349</v>
      </c>
      <c r="G19" s="119" t="s">
        <v>169</v>
      </c>
      <c r="H19" s="119" t="s">
        <v>125</v>
      </c>
      <c r="I19" s="119" t="s">
        <v>168</v>
      </c>
      <c r="J19" s="119" t="s">
        <v>115</v>
      </c>
      <c r="K19" s="119"/>
      <c r="L19" s="119"/>
      <c r="M19" s="119"/>
      <c r="N19" s="119" t="s">
        <v>16</v>
      </c>
      <c r="O19" s="13" t="s">
        <v>153</v>
      </c>
      <c r="P19" s="44" t="s">
        <v>154</v>
      </c>
      <c r="Q19" s="11">
        <v>1</v>
      </c>
      <c r="R19" s="11">
        <v>0</v>
      </c>
      <c r="S19" s="11">
        <v>0</v>
      </c>
      <c r="T19" s="11">
        <v>0</v>
      </c>
      <c r="U19" s="11">
        <v>1</v>
      </c>
      <c r="V19" s="11">
        <v>1</v>
      </c>
      <c r="W19" s="11">
        <v>1</v>
      </c>
      <c r="X19" s="11">
        <v>1</v>
      </c>
      <c r="Y19" s="11">
        <v>1</v>
      </c>
      <c r="Z19" s="11">
        <v>1</v>
      </c>
      <c r="AA19" s="11">
        <v>1</v>
      </c>
      <c r="AB19" s="11">
        <v>1</v>
      </c>
      <c r="AC19" s="11">
        <v>1</v>
      </c>
    </row>
    <row r="20" spans="1:29" ht="19.95" customHeight="1" x14ac:dyDescent="0.25">
      <c r="A20" s="36" t="s">
        <v>653</v>
      </c>
      <c r="B20" s="119" t="s">
        <v>650</v>
      </c>
      <c r="C20" s="29" t="s">
        <v>652</v>
      </c>
      <c r="D20" s="119" t="s">
        <v>651</v>
      </c>
      <c r="E20" s="119" t="s">
        <v>576</v>
      </c>
      <c r="F20" s="119" t="s">
        <v>349</v>
      </c>
      <c r="G20" s="119" t="s">
        <v>169</v>
      </c>
      <c r="H20" s="119" t="s">
        <v>125</v>
      </c>
      <c r="I20" s="119" t="s">
        <v>168</v>
      </c>
      <c r="J20" s="119" t="s">
        <v>115</v>
      </c>
      <c r="K20" s="119"/>
      <c r="L20" s="119"/>
      <c r="M20" s="119"/>
      <c r="N20" s="119" t="s">
        <v>16</v>
      </c>
      <c r="O20" s="13" t="s">
        <v>155</v>
      </c>
      <c r="P20" s="44" t="s">
        <v>156</v>
      </c>
      <c r="Q20" s="11">
        <v>1</v>
      </c>
      <c r="R20" s="12">
        <v>0</v>
      </c>
      <c r="S20" s="12">
        <v>0</v>
      </c>
      <c r="T20" s="12">
        <v>0</v>
      </c>
      <c r="U20" s="12">
        <v>0</v>
      </c>
      <c r="V20" s="11">
        <v>1</v>
      </c>
      <c r="W20" s="11">
        <v>1</v>
      </c>
      <c r="X20" s="11">
        <v>0</v>
      </c>
      <c r="Y20" s="11">
        <v>0</v>
      </c>
      <c r="Z20" s="11">
        <v>0</v>
      </c>
      <c r="AA20" s="11">
        <v>0</v>
      </c>
      <c r="AB20" s="11">
        <v>0</v>
      </c>
      <c r="AC20" s="11">
        <v>0</v>
      </c>
    </row>
  </sheetData>
  <hyperlinks>
    <hyperlink ref="C2" r:id="rId1" xr:uid="{CB0D0593-AA6B-4A18-93D7-989FFC8E167F}"/>
    <hyperlink ref="C3" r:id="rId2" xr:uid="{F8957C77-6CE7-478D-B9E5-D25EB7D40B5F}"/>
    <hyperlink ref="C4" r:id="rId3" xr:uid="{EB6BDF18-1112-4011-BAD8-32AFD2930942}"/>
    <hyperlink ref="C5" r:id="rId4" xr:uid="{9BAA90AF-130E-4ECB-A53B-AC578856C2E3}"/>
    <hyperlink ref="C6" r:id="rId5" xr:uid="{54202834-CE41-4179-9A53-5801F6A77DC3}"/>
    <hyperlink ref="C7" r:id="rId6" xr:uid="{A004A087-45CB-4590-ACB3-DE29E12A3990}"/>
    <hyperlink ref="C8" r:id="rId7" xr:uid="{A5A67CDB-B2D6-4EFE-83BB-C0353205CF3B}"/>
    <hyperlink ref="C9" r:id="rId8" xr:uid="{B9C50DA8-4A7C-4E75-B880-DB765A022D00}"/>
    <hyperlink ref="C10" r:id="rId9" xr:uid="{6E3F0A5E-5D91-441E-97A8-352586B56AFF}"/>
    <hyperlink ref="C11" r:id="rId10" xr:uid="{ACEFBC5A-8A6C-4497-9BB0-AED01252D561}"/>
    <hyperlink ref="C12" r:id="rId11" xr:uid="{2EE0FEAC-9D8F-4AE2-AC23-59F1CB72BA3D}"/>
    <hyperlink ref="C13" r:id="rId12" xr:uid="{2332CE31-830A-412C-85EC-9C9FA8693EBE}"/>
    <hyperlink ref="C14" r:id="rId13" xr:uid="{8FC89400-E3A0-4436-849A-3C2AA032D0E6}"/>
    <hyperlink ref="C15" r:id="rId14" xr:uid="{EF72C68D-00F0-450F-8CAD-D7611528DF85}"/>
    <hyperlink ref="C16" r:id="rId15" xr:uid="{F5A15121-B998-438B-9522-B0286CBF8A90}"/>
    <hyperlink ref="C17" r:id="rId16" xr:uid="{7B06A410-E241-4DF7-A6FA-872FD140E864}"/>
    <hyperlink ref="C18" r:id="rId17" xr:uid="{0ADC2AA8-7E91-4008-889C-B768CACA3A5C}"/>
    <hyperlink ref="C19" r:id="rId18" xr:uid="{F1CF1B52-18C3-450A-A185-71C1AB1D8870}"/>
    <hyperlink ref="C20" r:id="rId19" xr:uid="{7FE9E79F-258A-4474-A579-2E325F3AC54A}"/>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C3847-6D67-4F97-BEE3-68B4361E4982}">
  <dimension ref="A1:AC24"/>
  <sheetViews>
    <sheetView topLeftCell="F1" workbookViewId="0">
      <selection activeCell="F2" sqref="F2"/>
    </sheetView>
  </sheetViews>
  <sheetFormatPr defaultRowHeight="13.2" x14ac:dyDescent="0.25"/>
  <cols>
    <col min="1" max="1" width="12.109375" bestFit="1" customWidth="1"/>
    <col min="2" max="2" width="12.44140625" bestFit="1" customWidth="1"/>
    <col min="3" max="3" width="32.33203125" bestFit="1" customWidth="1"/>
    <col min="4" max="4" width="10.109375" customWidth="1"/>
    <col min="5" max="5" width="11.21875" bestFit="1" customWidth="1"/>
    <col min="6" max="6" width="10.21875" bestFit="1" customWidth="1"/>
    <col min="7" max="7" width="11.44140625" bestFit="1" customWidth="1"/>
    <col min="8" max="8" width="9.88671875" customWidth="1"/>
    <col min="9" max="9" width="12.6640625" bestFit="1" customWidth="1"/>
    <col min="10" max="13" width="10.88671875" bestFit="1" customWidth="1"/>
    <col min="14" max="14" width="13.33203125" bestFit="1" customWidth="1"/>
    <col min="15" max="15" width="79.44140625" customWidth="1"/>
    <col min="23" max="29" width="12.21875" customWidth="1"/>
  </cols>
  <sheetData>
    <row r="1" spans="1:29" ht="26.4" x14ac:dyDescent="0.25">
      <c r="A1" s="28" t="s">
        <v>123</v>
      </c>
      <c r="B1" s="30" t="s">
        <v>1</v>
      </c>
      <c r="C1" s="28" t="s">
        <v>2</v>
      </c>
      <c r="D1" s="30" t="s">
        <v>3</v>
      </c>
      <c r="E1" s="28" t="s">
        <v>4</v>
      </c>
      <c r="F1" s="28" t="s">
        <v>5</v>
      </c>
      <c r="G1" s="28" t="s">
        <v>6</v>
      </c>
      <c r="H1" s="28" t="s">
        <v>7</v>
      </c>
      <c r="I1" s="30" t="s">
        <v>8</v>
      </c>
      <c r="J1" s="28" t="s">
        <v>9</v>
      </c>
      <c r="K1" s="28" t="s">
        <v>10</v>
      </c>
      <c r="L1" s="28" t="s">
        <v>126</v>
      </c>
      <c r="M1" s="28" t="s">
        <v>127</v>
      </c>
      <c r="N1" s="28"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25.05" customHeight="1" x14ac:dyDescent="0.25">
      <c r="A2" s="38">
        <v>7697001703</v>
      </c>
      <c r="B2" s="12" t="s">
        <v>618</v>
      </c>
      <c r="C2" s="10" t="s">
        <v>617</v>
      </c>
      <c r="D2" s="12" t="s">
        <v>312</v>
      </c>
      <c r="E2" s="12" t="s">
        <v>104</v>
      </c>
      <c r="F2" s="56" t="s">
        <v>59</v>
      </c>
      <c r="G2" s="12" t="s">
        <v>593</v>
      </c>
      <c r="H2" s="12" t="s">
        <v>13</v>
      </c>
      <c r="I2" s="12" t="s">
        <v>14</v>
      </c>
      <c r="J2" s="12" t="s">
        <v>67</v>
      </c>
      <c r="K2" s="12"/>
      <c r="L2" s="12"/>
      <c r="M2" s="12"/>
      <c r="N2" s="12" t="s">
        <v>16</v>
      </c>
      <c r="O2" s="13" t="s">
        <v>594</v>
      </c>
      <c r="P2" s="12" t="s">
        <v>21</v>
      </c>
      <c r="Q2" s="96">
        <v>1</v>
      </c>
      <c r="R2" s="96">
        <v>1</v>
      </c>
      <c r="S2" s="96">
        <v>1</v>
      </c>
      <c r="T2" s="96">
        <v>1</v>
      </c>
      <c r="U2" s="96">
        <v>1</v>
      </c>
      <c r="V2" s="96">
        <v>1</v>
      </c>
      <c r="W2" s="96">
        <v>1</v>
      </c>
      <c r="X2" s="96">
        <v>1</v>
      </c>
      <c r="Y2" s="96">
        <v>1</v>
      </c>
      <c r="Z2" s="96">
        <v>1</v>
      </c>
      <c r="AA2" s="96">
        <v>1</v>
      </c>
      <c r="AB2" s="96">
        <v>1</v>
      </c>
      <c r="AC2" s="96">
        <v>1</v>
      </c>
    </row>
    <row r="3" spans="1:29" ht="25.05" customHeight="1" x14ac:dyDescent="0.25">
      <c r="A3" s="38">
        <v>7697001703</v>
      </c>
      <c r="B3" s="12" t="s">
        <v>618</v>
      </c>
      <c r="C3" s="10" t="s">
        <v>617</v>
      </c>
      <c r="D3" s="12" t="s">
        <v>312</v>
      </c>
      <c r="E3" s="12" t="s">
        <v>104</v>
      </c>
      <c r="F3" s="56" t="s">
        <v>59</v>
      </c>
      <c r="G3" s="12" t="s">
        <v>593</v>
      </c>
      <c r="H3" s="12" t="s">
        <v>13</v>
      </c>
      <c r="I3" s="12" t="s">
        <v>14</v>
      </c>
      <c r="J3" s="12" t="s">
        <v>67</v>
      </c>
      <c r="K3" s="12"/>
      <c r="L3" s="12"/>
      <c r="M3" s="12"/>
      <c r="N3" s="12" t="s">
        <v>16</v>
      </c>
      <c r="O3" s="13" t="s">
        <v>595</v>
      </c>
      <c r="P3" s="12" t="s">
        <v>21</v>
      </c>
      <c r="Q3" s="96">
        <v>1</v>
      </c>
      <c r="R3" s="96">
        <v>1</v>
      </c>
      <c r="S3" s="96">
        <v>1</v>
      </c>
      <c r="T3" s="96">
        <v>1</v>
      </c>
      <c r="U3" s="96">
        <v>1</v>
      </c>
      <c r="V3" s="96">
        <v>1</v>
      </c>
      <c r="W3" s="96">
        <v>1</v>
      </c>
      <c r="X3" s="96">
        <v>1</v>
      </c>
      <c r="Y3" s="96">
        <v>1</v>
      </c>
      <c r="Z3" s="96">
        <v>1</v>
      </c>
      <c r="AA3" s="96">
        <v>1</v>
      </c>
      <c r="AB3" s="96">
        <v>1</v>
      </c>
      <c r="AC3" s="96">
        <v>1</v>
      </c>
    </row>
    <row r="4" spans="1:29" ht="25.05" customHeight="1" x14ac:dyDescent="0.25">
      <c r="A4" s="38">
        <v>7697001703</v>
      </c>
      <c r="B4" s="12" t="s">
        <v>618</v>
      </c>
      <c r="C4" s="10" t="s">
        <v>617</v>
      </c>
      <c r="D4" s="12" t="s">
        <v>312</v>
      </c>
      <c r="E4" s="12" t="s">
        <v>104</v>
      </c>
      <c r="F4" s="56" t="s">
        <v>59</v>
      </c>
      <c r="G4" s="12" t="s">
        <v>593</v>
      </c>
      <c r="H4" s="12" t="s">
        <v>13</v>
      </c>
      <c r="I4" s="12" t="s">
        <v>14</v>
      </c>
      <c r="J4" s="12" t="s">
        <v>67</v>
      </c>
      <c r="K4" s="12"/>
      <c r="L4" s="12"/>
      <c r="M4" s="12"/>
      <c r="N4" s="12" t="s">
        <v>16</v>
      </c>
      <c r="O4" s="13" t="s">
        <v>596</v>
      </c>
      <c r="P4" s="12" t="s">
        <v>21</v>
      </c>
      <c r="Q4" s="96">
        <v>1</v>
      </c>
      <c r="R4" s="96">
        <v>1</v>
      </c>
      <c r="S4" s="96">
        <v>1</v>
      </c>
      <c r="T4" s="96">
        <v>1</v>
      </c>
      <c r="U4" s="96">
        <v>1</v>
      </c>
      <c r="V4" s="96">
        <v>1</v>
      </c>
      <c r="W4" s="96">
        <v>1</v>
      </c>
      <c r="X4" s="96">
        <v>1</v>
      </c>
      <c r="Y4" s="96">
        <v>1</v>
      </c>
      <c r="Z4" s="96">
        <v>1</v>
      </c>
      <c r="AA4" s="96">
        <v>1</v>
      </c>
      <c r="AB4" s="96">
        <v>1</v>
      </c>
      <c r="AC4" s="96">
        <v>1</v>
      </c>
    </row>
    <row r="5" spans="1:29" ht="25.05" customHeight="1" x14ac:dyDescent="0.25">
      <c r="A5" s="38">
        <v>7697001703</v>
      </c>
      <c r="B5" s="12" t="s">
        <v>618</v>
      </c>
      <c r="C5" s="10" t="s">
        <v>617</v>
      </c>
      <c r="D5" s="12" t="s">
        <v>312</v>
      </c>
      <c r="E5" s="12" t="s">
        <v>104</v>
      </c>
      <c r="F5" s="56" t="s">
        <v>59</v>
      </c>
      <c r="G5" s="12" t="s">
        <v>593</v>
      </c>
      <c r="H5" s="12" t="s">
        <v>13</v>
      </c>
      <c r="I5" s="12" t="s">
        <v>14</v>
      </c>
      <c r="J5" s="12" t="s">
        <v>67</v>
      </c>
      <c r="K5" s="12"/>
      <c r="L5" s="12"/>
      <c r="M5" s="12"/>
      <c r="N5" s="12" t="s">
        <v>16</v>
      </c>
      <c r="O5" s="13" t="s">
        <v>597</v>
      </c>
      <c r="P5" s="12" t="s">
        <v>21</v>
      </c>
      <c r="Q5" s="96">
        <v>1</v>
      </c>
      <c r="R5" s="96">
        <v>1</v>
      </c>
      <c r="S5" s="96">
        <v>1</v>
      </c>
      <c r="T5" s="96">
        <v>1</v>
      </c>
      <c r="U5" s="96">
        <v>1</v>
      </c>
      <c r="V5" s="96">
        <v>1</v>
      </c>
      <c r="W5" s="96">
        <v>1</v>
      </c>
      <c r="X5" s="96">
        <v>1</v>
      </c>
      <c r="Y5" s="96">
        <v>1</v>
      </c>
      <c r="Z5" s="96">
        <v>1</v>
      </c>
      <c r="AA5" s="96">
        <v>1</v>
      </c>
      <c r="AB5" s="96">
        <v>1</v>
      </c>
      <c r="AC5" s="96">
        <v>1</v>
      </c>
    </row>
    <row r="6" spans="1:29" ht="25.05" customHeight="1" x14ac:dyDescent="0.25">
      <c r="A6" s="38">
        <v>7697001703</v>
      </c>
      <c r="B6" s="12" t="s">
        <v>618</v>
      </c>
      <c r="C6" s="10" t="s">
        <v>617</v>
      </c>
      <c r="D6" s="12" t="s">
        <v>312</v>
      </c>
      <c r="E6" s="12" t="s">
        <v>104</v>
      </c>
      <c r="F6" s="56" t="s">
        <v>59</v>
      </c>
      <c r="G6" s="12" t="s">
        <v>593</v>
      </c>
      <c r="H6" s="12" t="s">
        <v>13</v>
      </c>
      <c r="I6" s="12" t="s">
        <v>14</v>
      </c>
      <c r="J6" s="12" t="s">
        <v>67</v>
      </c>
      <c r="K6" s="12"/>
      <c r="L6" s="12"/>
      <c r="M6" s="12"/>
      <c r="N6" s="12" t="s">
        <v>16</v>
      </c>
      <c r="O6" s="13" t="s">
        <v>598</v>
      </c>
      <c r="P6" s="12" t="s">
        <v>21</v>
      </c>
      <c r="Q6" s="96">
        <v>1</v>
      </c>
      <c r="R6" s="96">
        <v>1</v>
      </c>
      <c r="S6" s="96">
        <v>1</v>
      </c>
      <c r="T6" s="96">
        <v>1</v>
      </c>
      <c r="U6" s="96">
        <v>1</v>
      </c>
      <c r="V6" s="96">
        <v>1</v>
      </c>
      <c r="W6" s="96">
        <v>1</v>
      </c>
      <c r="X6" s="96">
        <v>1</v>
      </c>
      <c r="Y6" s="96">
        <v>1</v>
      </c>
      <c r="Z6" s="96">
        <v>1</v>
      </c>
      <c r="AA6" s="96">
        <v>1</v>
      </c>
      <c r="AB6" s="96">
        <v>1</v>
      </c>
      <c r="AC6" s="96">
        <v>1</v>
      </c>
    </row>
    <row r="7" spans="1:29" ht="25.05" customHeight="1" x14ac:dyDescent="0.25">
      <c r="A7" s="38">
        <v>7697001703</v>
      </c>
      <c r="B7" s="12" t="s">
        <v>618</v>
      </c>
      <c r="C7" s="10" t="s">
        <v>617</v>
      </c>
      <c r="D7" s="12" t="s">
        <v>312</v>
      </c>
      <c r="E7" s="12" t="s">
        <v>104</v>
      </c>
      <c r="F7" s="56" t="s">
        <v>59</v>
      </c>
      <c r="G7" s="12" t="s">
        <v>593</v>
      </c>
      <c r="H7" s="12" t="s">
        <v>13</v>
      </c>
      <c r="I7" s="12" t="s">
        <v>14</v>
      </c>
      <c r="J7" s="12" t="s">
        <v>67</v>
      </c>
      <c r="K7" s="12"/>
      <c r="L7" s="12"/>
      <c r="M7" s="12"/>
      <c r="N7" s="12" t="s">
        <v>16</v>
      </c>
      <c r="O7" s="13" t="s">
        <v>599</v>
      </c>
      <c r="P7" s="12" t="s">
        <v>21</v>
      </c>
      <c r="Q7" s="96">
        <v>1</v>
      </c>
      <c r="R7" s="96">
        <v>1</v>
      </c>
      <c r="S7" s="96">
        <v>1</v>
      </c>
      <c r="T7" s="96">
        <v>1</v>
      </c>
      <c r="U7" s="96">
        <v>1</v>
      </c>
      <c r="V7" s="96">
        <v>1</v>
      </c>
      <c r="W7" s="96">
        <v>1</v>
      </c>
      <c r="X7" s="96">
        <v>1</v>
      </c>
      <c r="Y7" s="96">
        <v>1</v>
      </c>
      <c r="Z7" s="96">
        <v>1</v>
      </c>
      <c r="AA7" s="96">
        <v>1</v>
      </c>
      <c r="AB7" s="96">
        <v>1</v>
      </c>
      <c r="AC7" s="96">
        <v>1</v>
      </c>
    </row>
    <row r="8" spans="1:29" ht="25.05" customHeight="1" x14ac:dyDescent="0.25">
      <c r="A8" s="38">
        <v>7697001703</v>
      </c>
      <c r="B8" s="12" t="s">
        <v>618</v>
      </c>
      <c r="C8" s="10" t="s">
        <v>617</v>
      </c>
      <c r="D8" s="12" t="s">
        <v>312</v>
      </c>
      <c r="E8" s="12" t="s">
        <v>104</v>
      </c>
      <c r="F8" s="56" t="s">
        <v>59</v>
      </c>
      <c r="G8" s="12" t="s">
        <v>593</v>
      </c>
      <c r="H8" s="12" t="s">
        <v>13</v>
      </c>
      <c r="I8" s="12" t="s">
        <v>14</v>
      </c>
      <c r="J8" s="12" t="s">
        <v>67</v>
      </c>
      <c r="K8" s="12"/>
      <c r="L8" s="12"/>
      <c r="M8" s="12"/>
      <c r="N8" s="12" t="s">
        <v>16</v>
      </c>
      <c r="O8" s="13" t="s">
        <v>600</v>
      </c>
      <c r="P8" s="12" t="s">
        <v>21</v>
      </c>
      <c r="Q8" s="96">
        <v>1</v>
      </c>
      <c r="R8" s="96">
        <v>1</v>
      </c>
      <c r="S8" s="96">
        <v>1</v>
      </c>
      <c r="T8" s="96">
        <v>1</v>
      </c>
      <c r="U8" s="96">
        <v>1</v>
      </c>
      <c r="V8" s="96">
        <v>1</v>
      </c>
      <c r="W8" s="96">
        <v>1</v>
      </c>
      <c r="X8" s="96">
        <v>1</v>
      </c>
      <c r="Y8" s="96">
        <v>1</v>
      </c>
      <c r="Z8" s="96">
        <v>1</v>
      </c>
      <c r="AA8" s="96">
        <v>1</v>
      </c>
      <c r="AB8" s="96">
        <v>1</v>
      </c>
      <c r="AC8" s="96">
        <v>1</v>
      </c>
    </row>
    <row r="9" spans="1:29" ht="25.05" customHeight="1" x14ac:dyDescent="0.25">
      <c r="A9" s="38">
        <v>7697001703</v>
      </c>
      <c r="B9" s="12" t="s">
        <v>618</v>
      </c>
      <c r="C9" s="10" t="s">
        <v>617</v>
      </c>
      <c r="D9" s="12" t="s">
        <v>312</v>
      </c>
      <c r="E9" s="12" t="s">
        <v>104</v>
      </c>
      <c r="F9" s="56" t="s">
        <v>59</v>
      </c>
      <c r="G9" s="12" t="s">
        <v>593</v>
      </c>
      <c r="H9" s="12" t="s">
        <v>13</v>
      </c>
      <c r="I9" s="12" t="s">
        <v>14</v>
      </c>
      <c r="J9" s="12" t="s">
        <v>67</v>
      </c>
      <c r="K9" s="12"/>
      <c r="L9" s="12"/>
      <c r="M9" s="12"/>
      <c r="N9" s="12" t="s">
        <v>16</v>
      </c>
      <c r="O9" s="13" t="s">
        <v>601</v>
      </c>
      <c r="P9" s="12" t="s">
        <v>21</v>
      </c>
      <c r="Q9" s="96">
        <v>1</v>
      </c>
      <c r="R9" s="96">
        <v>1</v>
      </c>
      <c r="S9" s="96">
        <v>1</v>
      </c>
      <c r="T9" s="96">
        <v>1</v>
      </c>
      <c r="U9" s="96">
        <v>1</v>
      </c>
      <c r="V9" s="96">
        <v>1</v>
      </c>
      <c r="W9" s="96">
        <v>1</v>
      </c>
      <c r="X9" s="96">
        <v>1</v>
      </c>
      <c r="Y9" s="96">
        <v>1</v>
      </c>
      <c r="Z9" s="96">
        <v>1</v>
      </c>
      <c r="AA9" s="96">
        <v>1</v>
      </c>
      <c r="AB9" s="96">
        <v>1</v>
      </c>
      <c r="AC9" s="96">
        <v>1</v>
      </c>
    </row>
    <row r="10" spans="1:29" ht="25.05" customHeight="1" x14ac:dyDescent="0.25">
      <c r="A10" s="38">
        <v>7697001703</v>
      </c>
      <c r="B10" s="12" t="s">
        <v>618</v>
      </c>
      <c r="C10" s="10" t="s">
        <v>617</v>
      </c>
      <c r="D10" s="12" t="s">
        <v>312</v>
      </c>
      <c r="E10" s="12" t="s">
        <v>104</v>
      </c>
      <c r="F10" s="56" t="s">
        <v>59</v>
      </c>
      <c r="G10" s="12" t="s">
        <v>593</v>
      </c>
      <c r="H10" s="12" t="s">
        <v>13</v>
      </c>
      <c r="I10" s="12" t="s">
        <v>14</v>
      </c>
      <c r="J10" s="12" t="s">
        <v>67</v>
      </c>
      <c r="K10" s="12"/>
      <c r="L10" s="12"/>
      <c r="M10" s="12"/>
      <c r="N10" s="12" t="s">
        <v>16</v>
      </c>
      <c r="O10" s="13" t="s">
        <v>602</v>
      </c>
      <c r="P10" s="12" t="s">
        <v>21</v>
      </c>
      <c r="Q10" s="96">
        <v>1</v>
      </c>
      <c r="R10" s="96">
        <v>1</v>
      </c>
      <c r="S10" s="96">
        <v>1</v>
      </c>
      <c r="T10" s="96">
        <v>1</v>
      </c>
      <c r="U10" s="96">
        <v>1</v>
      </c>
      <c r="V10" s="96">
        <v>1</v>
      </c>
      <c r="W10" s="96">
        <v>1</v>
      </c>
      <c r="X10" s="96">
        <v>1</v>
      </c>
      <c r="Y10" s="96">
        <v>1</v>
      </c>
      <c r="Z10" s="96">
        <v>1</v>
      </c>
      <c r="AA10" s="96">
        <v>1</v>
      </c>
      <c r="AB10" s="96">
        <v>1</v>
      </c>
      <c r="AC10" s="96">
        <v>1</v>
      </c>
    </row>
    <row r="11" spans="1:29" ht="25.05" customHeight="1" x14ac:dyDescent="0.25">
      <c r="A11" s="38">
        <v>7697001703</v>
      </c>
      <c r="B11" s="12" t="s">
        <v>618</v>
      </c>
      <c r="C11" s="10" t="s">
        <v>617</v>
      </c>
      <c r="D11" s="12" t="s">
        <v>312</v>
      </c>
      <c r="E11" s="12" t="s">
        <v>104</v>
      </c>
      <c r="F11" s="56" t="s">
        <v>59</v>
      </c>
      <c r="G11" s="12" t="s">
        <v>593</v>
      </c>
      <c r="H11" s="12" t="s">
        <v>13</v>
      </c>
      <c r="I11" s="12" t="s">
        <v>14</v>
      </c>
      <c r="J11" s="12" t="s">
        <v>67</v>
      </c>
      <c r="K11" s="12"/>
      <c r="L11" s="12"/>
      <c r="M11" s="12"/>
      <c r="N11" s="12" t="s">
        <v>16</v>
      </c>
      <c r="O11" s="13" t="s">
        <v>603</v>
      </c>
      <c r="P11" s="12" t="s">
        <v>21</v>
      </c>
      <c r="Q11" s="96">
        <v>1</v>
      </c>
      <c r="R11" s="96">
        <v>1</v>
      </c>
      <c r="S11" s="96">
        <v>1</v>
      </c>
      <c r="T11" s="96">
        <v>1</v>
      </c>
      <c r="U11" s="96">
        <v>1</v>
      </c>
      <c r="V11" s="96">
        <v>1</v>
      </c>
      <c r="W11" s="96">
        <v>1</v>
      </c>
      <c r="X11" s="96">
        <v>1</v>
      </c>
      <c r="Y11" s="96">
        <v>1</v>
      </c>
      <c r="Z11" s="96">
        <v>1</v>
      </c>
      <c r="AA11" s="96">
        <v>1</v>
      </c>
      <c r="AB11" s="96">
        <v>1</v>
      </c>
      <c r="AC11" s="96">
        <v>1</v>
      </c>
    </row>
    <row r="12" spans="1:29" ht="25.05" customHeight="1" x14ac:dyDescent="0.25">
      <c r="A12" s="38">
        <v>7697001703</v>
      </c>
      <c r="B12" s="12" t="s">
        <v>618</v>
      </c>
      <c r="C12" s="10" t="s">
        <v>617</v>
      </c>
      <c r="D12" s="12" t="s">
        <v>312</v>
      </c>
      <c r="E12" s="12" t="s">
        <v>104</v>
      </c>
      <c r="F12" s="56" t="s">
        <v>59</v>
      </c>
      <c r="G12" s="12" t="s">
        <v>593</v>
      </c>
      <c r="H12" s="12" t="s">
        <v>13</v>
      </c>
      <c r="I12" s="12" t="s">
        <v>14</v>
      </c>
      <c r="J12" s="12" t="s">
        <v>67</v>
      </c>
      <c r="K12" s="12"/>
      <c r="L12" s="12"/>
      <c r="M12" s="12"/>
      <c r="N12" s="12" t="s">
        <v>16</v>
      </c>
      <c r="O12" s="13" t="s">
        <v>604</v>
      </c>
      <c r="P12" s="12" t="s">
        <v>21</v>
      </c>
      <c r="Q12" s="96">
        <v>1</v>
      </c>
      <c r="R12" s="96">
        <v>1</v>
      </c>
      <c r="S12" s="96">
        <v>1</v>
      </c>
      <c r="T12" s="96">
        <v>1</v>
      </c>
      <c r="U12" s="96">
        <v>1</v>
      </c>
      <c r="V12" s="96">
        <v>1</v>
      </c>
      <c r="W12" s="96">
        <v>1</v>
      </c>
      <c r="X12" s="96">
        <v>1</v>
      </c>
      <c r="Y12" s="96">
        <v>1</v>
      </c>
      <c r="Z12" s="96">
        <v>1</v>
      </c>
      <c r="AA12" s="96">
        <v>1</v>
      </c>
      <c r="AB12" s="96">
        <v>1</v>
      </c>
      <c r="AC12" s="96">
        <v>1</v>
      </c>
    </row>
    <row r="13" spans="1:29" ht="25.05" customHeight="1" x14ac:dyDescent="0.25">
      <c r="A13" s="38">
        <v>7697001703</v>
      </c>
      <c r="B13" s="12" t="s">
        <v>618</v>
      </c>
      <c r="C13" s="10" t="s">
        <v>617</v>
      </c>
      <c r="D13" s="12" t="s">
        <v>312</v>
      </c>
      <c r="E13" s="12" t="s">
        <v>104</v>
      </c>
      <c r="F13" s="56" t="s">
        <v>59</v>
      </c>
      <c r="G13" s="12" t="s">
        <v>593</v>
      </c>
      <c r="H13" s="12" t="s">
        <v>13</v>
      </c>
      <c r="I13" s="12" t="s">
        <v>14</v>
      </c>
      <c r="J13" s="12" t="s">
        <v>67</v>
      </c>
      <c r="K13" s="12"/>
      <c r="L13" s="12"/>
      <c r="M13" s="12"/>
      <c r="N13" s="12" t="s">
        <v>16</v>
      </c>
      <c r="O13" s="13" t="s">
        <v>605</v>
      </c>
      <c r="P13" s="12" t="s">
        <v>21</v>
      </c>
      <c r="Q13" s="96">
        <v>1</v>
      </c>
      <c r="R13" s="96">
        <v>1</v>
      </c>
      <c r="S13" s="96">
        <v>1</v>
      </c>
      <c r="T13" s="96">
        <v>1</v>
      </c>
      <c r="U13" s="96">
        <v>1</v>
      </c>
      <c r="V13" s="96">
        <v>1</v>
      </c>
      <c r="W13" s="96">
        <v>1</v>
      </c>
      <c r="X13" s="96">
        <v>1</v>
      </c>
      <c r="Y13" s="96">
        <v>1</v>
      </c>
      <c r="Z13" s="96">
        <v>1</v>
      </c>
      <c r="AA13" s="96">
        <v>1</v>
      </c>
      <c r="AB13" s="96">
        <v>1</v>
      </c>
      <c r="AC13" s="96">
        <v>1</v>
      </c>
    </row>
    <row r="14" spans="1:29" ht="25.05" customHeight="1" x14ac:dyDescent="0.25">
      <c r="A14" s="38">
        <v>7697001703</v>
      </c>
      <c r="B14" s="12" t="s">
        <v>618</v>
      </c>
      <c r="C14" s="10" t="s">
        <v>617</v>
      </c>
      <c r="D14" s="12" t="s">
        <v>312</v>
      </c>
      <c r="E14" s="12" t="s">
        <v>104</v>
      </c>
      <c r="F14" s="56" t="s">
        <v>59</v>
      </c>
      <c r="G14" s="12" t="s">
        <v>593</v>
      </c>
      <c r="H14" s="12" t="s">
        <v>13</v>
      </c>
      <c r="I14" s="12" t="s">
        <v>14</v>
      </c>
      <c r="J14" s="12" t="s">
        <v>67</v>
      </c>
      <c r="K14" s="12"/>
      <c r="L14" s="12"/>
      <c r="M14" s="12"/>
      <c r="N14" s="12" t="s">
        <v>16</v>
      </c>
      <c r="O14" s="13" t="s">
        <v>606</v>
      </c>
      <c r="P14" s="12" t="s">
        <v>21</v>
      </c>
      <c r="Q14" s="96">
        <v>1</v>
      </c>
      <c r="R14" s="96">
        <v>1</v>
      </c>
      <c r="S14" s="96">
        <v>1</v>
      </c>
      <c r="T14" s="96">
        <v>1</v>
      </c>
      <c r="U14" s="96">
        <v>1</v>
      </c>
      <c r="V14" s="96">
        <v>1</v>
      </c>
      <c r="W14" s="96">
        <v>1</v>
      </c>
      <c r="X14" s="96">
        <v>1</v>
      </c>
      <c r="Y14" s="96">
        <v>1</v>
      </c>
      <c r="Z14" s="96">
        <v>1</v>
      </c>
      <c r="AA14" s="96">
        <v>1</v>
      </c>
      <c r="AB14" s="96">
        <v>1</v>
      </c>
      <c r="AC14" s="96">
        <v>1</v>
      </c>
    </row>
    <row r="15" spans="1:29" ht="25.05" customHeight="1" x14ac:dyDescent="0.25">
      <c r="A15" s="38">
        <v>7697001703</v>
      </c>
      <c r="B15" s="12" t="s">
        <v>618</v>
      </c>
      <c r="C15" s="10" t="s">
        <v>617</v>
      </c>
      <c r="D15" s="12" t="s">
        <v>312</v>
      </c>
      <c r="E15" s="12" t="s">
        <v>104</v>
      </c>
      <c r="F15" s="56" t="s">
        <v>59</v>
      </c>
      <c r="G15" s="12" t="s">
        <v>593</v>
      </c>
      <c r="H15" s="12" t="s">
        <v>13</v>
      </c>
      <c r="I15" s="12" t="s">
        <v>14</v>
      </c>
      <c r="J15" s="12" t="s">
        <v>67</v>
      </c>
      <c r="K15" s="12"/>
      <c r="L15" s="12"/>
      <c r="M15" s="12"/>
      <c r="N15" s="12" t="s">
        <v>16</v>
      </c>
      <c r="O15" s="13" t="s">
        <v>607</v>
      </c>
      <c r="P15" s="12" t="s">
        <v>21</v>
      </c>
      <c r="Q15" s="96">
        <v>1</v>
      </c>
      <c r="R15" s="96">
        <v>1</v>
      </c>
      <c r="S15" s="96">
        <v>1</v>
      </c>
      <c r="T15" s="96">
        <v>1</v>
      </c>
      <c r="U15" s="96">
        <v>1</v>
      </c>
      <c r="V15" s="96">
        <v>1</v>
      </c>
      <c r="W15" s="96">
        <v>1</v>
      </c>
      <c r="X15" s="96">
        <v>1</v>
      </c>
      <c r="Y15" s="96">
        <v>1</v>
      </c>
      <c r="Z15" s="96">
        <v>1</v>
      </c>
      <c r="AA15" s="96">
        <v>1</v>
      </c>
      <c r="AB15" s="96">
        <v>1</v>
      </c>
      <c r="AC15" s="96">
        <v>1</v>
      </c>
    </row>
    <row r="16" spans="1:29" ht="25.05" customHeight="1" x14ac:dyDescent="0.25">
      <c r="A16" s="38">
        <v>7697001703</v>
      </c>
      <c r="B16" s="12" t="s">
        <v>618</v>
      </c>
      <c r="C16" s="10" t="s">
        <v>617</v>
      </c>
      <c r="D16" s="12" t="s">
        <v>312</v>
      </c>
      <c r="E16" s="12" t="s">
        <v>104</v>
      </c>
      <c r="F16" s="56" t="s">
        <v>59</v>
      </c>
      <c r="G16" s="12" t="s">
        <v>593</v>
      </c>
      <c r="H16" s="12" t="s">
        <v>13</v>
      </c>
      <c r="I16" s="12" t="s">
        <v>14</v>
      </c>
      <c r="J16" s="12" t="s">
        <v>67</v>
      </c>
      <c r="K16" s="12"/>
      <c r="L16" s="12"/>
      <c r="M16" s="12"/>
      <c r="N16" s="12" t="s">
        <v>16</v>
      </c>
      <c r="O16" s="13" t="s">
        <v>608</v>
      </c>
      <c r="P16" s="12" t="s">
        <v>21</v>
      </c>
      <c r="Q16" s="96">
        <v>1</v>
      </c>
      <c r="R16" s="96">
        <v>1</v>
      </c>
      <c r="S16" s="96">
        <v>1</v>
      </c>
      <c r="T16" s="96">
        <v>1</v>
      </c>
      <c r="U16" s="96">
        <v>1</v>
      </c>
      <c r="V16" s="96">
        <v>1</v>
      </c>
      <c r="W16" s="96">
        <v>1</v>
      </c>
      <c r="X16" s="96">
        <v>1</v>
      </c>
      <c r="Y16" s="96">
        <v>1</v>
      </c>
      <c r="Z16" s="96">
        <v>1</v>
      </c>
      <c r="AA16" s="96">
        <v>1</v>
      </c>
      <c r="AB16" s="96">
        <v>1</v>
      </c>
      <c r="AC16" s="96">
        <v>1</v>
      </c>
    </row>
    <row r="17" spans="1:29" ht="25.05" customHeight="1" x14ac:dyDescent="0.25">
      <c r="A17" s="38">
        <v>7697001703</v>
      </c>
      <c r="B17" s="12" t="s">
        <v>618</v>
      </c>
      <c r="C17" s="10" t="s">
        <v>617</v>
      </c>
      <c r="D17" s="12" t="s">
        <v>312</v>
      </c>
      <c r="E17" s="12" t="s">
        <v>104</v>
      </c>
      <c r="F17" s="56" t="s">
        <v>59</v>
      </c>
      <c r="G17" s="12" t="s">
        <v>593</v>
      </c>
      <c r="H17" s="12" t="s">
        <v>13</v>
      </c>
      <c r="I17" s="12" t="s">
        <v>14</v>
      </c>
      <c r="J17" s="12" t="s">
        <v>67</v>
      </c>
      <c r="K17" s="12"/>
      <c r="L17" s="12"/>
      <c r="M17" s="12"/>
      <c r="N17" s="12" t="s">
        <v>16</v>
      </c>
      <c r="O17" s="13" t="s">
        <v>609</v>
      </c>
      <c r="P17" s="12" t="s">
        <v>21</v>
      </c>
      <c r="Q17" s="96">
        <v>1</v>
      </c>
      <c r="R17" s="96">
        <v>1</v>
      </c>
      <c r="S17" s="96">
        <v>1</v>
      </c>
      <c r="T17" s="96">
        <v>1</v>
      </c>
      <c r="U17" s="96">
        <v>1</v>
      </c>
      <c r="V17" s="96">
        <v>1</v>
      </c>
      <c r="W17" s="96">
        <v>1</v>
      </c>
      <c r="X17" s="96">
        <v>1</v>
      </c>
      <c r="Y17" s="96">
        <v>1</v>
      </c>
      <c r="Z17" s="96">
        <v>1</v>
      </c>
      <c r="AA17" s="96">
        <v>1</v>
      </c>
      <c r="AB17" s="96">
        <v>1</v>
      </c>
      <c r="AC17" s="96">
        <v>1</v>
      </c>
    </row>
    <row r="18" spans="1:29" ht="25.05" customHeight="1" x14ac:dyDescent="0.25">
      <c r="A18" s="38">
        <v>7697001703</v>
      </c>
      <c r="B18" s="12" t="s">
        <v>618</v>
      </c>
      <c r="C18" s="10" t="s">
        <v>617</v>
      </c>
      <c r="D18" s="12" t="s">
        <v>312</v>
      </c>
      <c r="E18" s="12" t="s">
        <v>104</v>
      </c>
      <c r="F18" s="56" t="s">
        <v>59</v>
      </c>
      <c r="G18" s="12" t="s">
        <v>593</v>
      </c>
      <c r="H18" s="12" t="s">
        <v>13</v>
      </c>
      <c r="I18" s="12" t="s">
        <v>14</v>
      </c>
      <c r="J18" s="12" t="s">
        <v>67</v>
      </c>
      <c r="K18" s="12"/>
      <c r="L18" s="12"/>
      <c r="M18" s="12"/>
      <c r="N18" s="12" t="s">
        <v>16</v>
      </c>
      <c r="O18" s="13" t="s">
        <v>610</v>
      </c>
      <c r="P18" s="12" t="s">
        <v>21</v>
      </c>
      <c r="Q18" s="96">
        <v>1</v>
      </c>
      <c r="R18" s="96">
        <v>1</v>
      </c>
      <c r="S18" s="96">
        <v>1</v>
      </c>
      <c r="T18" s="96">
        <v>1</v>
      </c>
      <c r="U18" s="96">
        <v>1</v>
      </c>
      <c r="V18" s="96">
        <v>1</v>
      </c>
      <c r="W18" s="96">
        <v>1</v>
      </c>
      <c r="X18" s="96">
        <v>1</v>
      </c>
      <c r="Y18" s="96">
        <v>1</v>
      </c>
      <c r="Z18" s="96">
        <v>1</v>
      </c>
      <c r="AA18" s="96">
        <v>1</v>
      </c>
      <c r="AB18" s="96">
        <v>1</v>
      </c>
      <c r="AC18" s="96">
        <v>1</v>
      </c>
    </row>
    <row r="19" spans="1:29" ht="25.05" customHeight="1" x14ac:dyDescent="0.25">
      <c r="A19" s="38">
        <v>7697001703</v>
      </c>
      <c r="B19" s="12" t="s">
        <v>618</v>
      </c>
      <c r="C19" s="10" t="s">
        <v>617</v>
      </c>
      <c r="D19" s="12" t="s">
        <v>312</v>
      </c>
      <c r="E19" s="12" t="s">
        <v>104</v>
      </c>
      <c r="F19" s="56" t="s">
        <v>59</v>
      </c>
      <c r="G19" s="12" t="s">
        <v>593</v>
      </c>
      <c r="H19" s="12" t="s">
        <v>13</v>
      </c>
      <c r="I19" s="12" t="s">
        <v>14</v>
      </c>
      <c r="J19" s="12" t="s">
        <v>67</v>
      </c>
      <c r="K19" s="12"/>
      <c r="L19" s="12"/>
      <c r="M19" s="12"/>
      <c r="N19" s="12" t="s">
        <v>16</v>
      </c>
      <c r="O19" s="13" t="s">
        <v>611</v>
      </c>
      <c r="P19" s="12" t="s">
        <v>21</v>
      </c>
      <c r="Q19" s="96">
        <v>1</v>
      </c>
      <c r="R19" s="96">
        <v>1</v>
      </c>
      <c r="S19" s="96">
        <v>1</v>
      </c>
      <c r="T19" s="96">
        <v>1</v>
      </c>
      <c r="U19" s="96">
        <v>1</v>
      </c>
      <c r="V19" s="96">
        <v>1</v>
      </c>
      <c r="W19" s="96">
        <v>1</v>
      </c>
      <c r="X19" s="96">
        <v>1</v>
      </c>
      <c r="Y19" s="96">
        <v>1</v>
      </c>
      <c r="Z19" s="96">
        <v>1</v>
      </c>
      <c r="AA19" s="96">
        <v>1</v>
      </c>
      <c r="AB19" s="96">
        <v>1</v>
      </c>
      <c r="AC19" s="96">
        <v>1</v>
      </c>
    </row>
    <row r="20" spans="1:29" ht="25.05" customHeight="1" x14ac:dyDescent="0.25">
      <c r="A20" s="38">
        <v>7697001703</v>
      </c>
      <c r="B20" s="12" t="s">
        <v>618</v>
      </c>
      <c r="C20" s="10" t="s">
        <v>617</v>
      </c>
      <c r="D20" s="12" t="s">
        <v>312</v>
      </c>
      <c r="E20" s="12" t="s">
        <v>104</v>
      </c>
      <c r="F20" s="56" t="s">
        <v>59</v>
      </c>
      <c r="G20" s="12" t="s">
        <v>593</v>
      </c>
      <c r="H20" s="12" t="s">
        <v>13</v>
      </c>
      <c r="I20" s="12" t="s">
        <v>14</v>
      </c>
      <c r="J20" s="12" t="s">
        <v>67</v>
      </c>
      <c r="K20" s="12"/>
      <c r="L20" s="12"/>
      <c r="M20" s="12"/>
      <c r="N20" s="12" t="s">
        <v>16</v>
      </c>
      <c r="O20" s="13" t="s">
        <v>612</v>
      </c>
      <c r="P20" s="12" t="s">
        <v>21</v>
      </c>
      <c r="Q20" s="96">
        <v>1</v>
      </c>
      <c r="R20" s="96">
        <v>1</v>
      </c>
      <c r="S20" s="96">
        <v>1</v>
      </c>
      <c r="T20" s="96">
        <v>1</v>
      </c>
      <c r="U20" s="96">
        <v>1</v>
      </c>
      <c r="V20" s="96">
        <v>1</v>
      </c>
      <c r="W20" s="96">
        <v>1</v>
      </c>
      <c r="X20" s="96">
        <v>1</v>
      </c>
      <c r="Y20" s="96">
        <v>1</v>
      </c>
      <c r="Z20" s="96">
        <v>1</v>
      </c>
      <c r="AA20" s="96">
        <v>1</v>
      </c>
      <c r="AB20" s="96">
        <v>1</v>
      </c>
      <c r="AC20" s="96">
        <v>1</v>
      </c>
    </row>
    <row r="21" spans="1:29" ht="25.05" customHeight="1" x14ac:dyDescent="0.25">
      <c r="A21" s="38">
        <v>7697001703</v>
      </c>
      <c r="B21" s="12" t="s">
        <v>618</v>
      </c>
      <c r="C21" s="10" t="s">
        <v>617</v>
      </c>
      <c r="D21" s="12" t="s">
        <v>312</v>
      </c>
      <c r="E21" s="12" t="s">
        <v>104</v>
      </c>
      <c r="F21" s="56" t="s">
        <v>59</v>
      </c>
      <c r="G21" s="12" t="s">
        <v>593</v>
      </c>
      <c r="H21" s="12" t="s">
        <v>13</v>
      </c>
      <c r="I21" s="12" t="s">
        <v>14</v>
      </c>
      <c r="J21" s="12" t="s">
        <v>67</v>
      </c>
      <c r="K21" s="12"/>
      <c r="L21" s="12"/>
      <c r="M21" s="12"/>
      <c r="N21" s="12" t="s">
        <v>16</v>
      </c>
      <c r="O21" s="13" t="s">
        <v>613</v>
      </c>
      <c r="P21" s="12" t="s">
        <v>21</v>
      </c>
      <c r="Q21" s="96">
        <v>1</v>
      </c>
      <c r="R21" s="96">
        <v>1</v>
      </c>
      <c r="S21" s="96">
        <v>1</v>
      </c>
      <c r="T21" s="96">
        <v>1</v>
      </c>
      <c r="U21" s="96">
        <v>1</v>
      </c>
      <c r="V21" s="96">
        <v>1</v>
      </c>
      <c r="W21" s="96">
        <v>1</v>
      </c>
      <c r="X21" s="96">
        <v>1</v>
      </c>
      <c r="Y21" s="96">
        <v>1</v>
      </c>
      <c r="Z21" s="96">
        <v>1</v>
      </c>
      <c r="AA21" s="96">
        <v>1</v>
      </c>
      <c r="AB21" s="96">
        <v>1</v>
      </c>
      <c r="AC21" s="96">
        <v>1</v>
      </c>
    </row>
    <row r="22" spans="1:29" ht="25.05" customHeight="1" x14ac:dyDescent="0.25">
      <c r="A22" s="38">
        <v>7697001703</v>
      </c>
      <c r="B22" s="12" t="s">
        <v>618</v>
      </c>
      <c r="C22" s="10" t="s">
        <v>617</v>
      </c>
      <c r="D22" s="12" t="s">
        <v>312</v>
      </c>
      <c r="E22" s="12" t="s">
        <v>104</v>
      </c>
      <c r="F22" s="56" t="s">
        <v>59</v>
      </c>
      <c r="G22" s="12" t="s">
        <v>593</v>
      </c>
      <c r="H22" s="12" t="s">
        <v>13</v>
      </c>
      <c r="I22" s="12" t="s">
        <v>14</v>
      </c>
      <c r="J22" s="12" t="s">
        <v>67</v>
      </c>
      <c r="K22" s="12"/>
      <c r="L22" s="12"/>
      <c r="M22" s="12"/>
      <c r="N22" s="12" t="s">
        <v>16</v>
      </c>
      <c r="O22" s="13" t="s">
        <v>614</v>
      </c>
      <c r="P22" s="12" t="s">
        <v>21</v>
      </c>
      <c r="Q22" s="96">
        <v>1</v>
      </c>
      <c r="R22" s="96">
        <v>1</v>
      </c>
      <c r="S22" s="96">
        <v>1</v>
      </c>
      <c r="T22" s="96">
        <v>1</v>
      </c>
      <c r="U22" s="96">
        <v>1</v>
      </c>
      <c r="V22" s="96">
        <v>1</v>
      </c>
      <c r="W22" s="96">
        <v>1</v>
      </c>
      <c r="X22" s="96">
        <v>1</v>
      </c>
      <c r="Y22" s="96">
        <v>1</v>
      </c>
      <c r="Z22" s="96">
        <v>1</v>
      </c>
      <c r="AA22" s="96">
        <v>1</v>
      </c>
      <c r="AB22" s="96">
        <v>1</v>
      </c>
      <c r="AC22" s="96">
        <v>1</v>
      </c>
    </row>
    <row r="23" spans="1:29" ht="25.05" customHeight="1" x14ac:dyDescent="0.25">
      <c r="A23" s="38">
        <v>7697001703</v>
      </c>
      <c r="B23" s="12" t="s">
        <v>618</v>
      </c>
      <c r="C23" s="10" t="s">
        <v>617</v>
      </c>
      <c r="D23" s="12" t="s">
        <v>312</v>
      </c>
      <c r="E23" s="12" t="s">
        <v>104</v>
      </c>
      <c r="F23" s="56" t="s">
        <v>59</v>
      </c>
      <c r="G23" s="12" t="s">
        <v>593</v>
      </c>
      <c r="H23" s="12" t="s">
        <v>13</v>
      </c>
      <c r="I23" s="12" t="s">
        <v>14</v>
      </c>
      <c r="J23" s="12" t="s">
        <v>67</v>
      </c>
      <c r="K23" s="12"/>
      <c r="L23" s="12"/>
      <c r="M23" s="12"/>
      <c r="N23" s="12" t="s">
        <v>16</v>
      </c>
      <c r="O23" s="13" t="s">
        <v>615</v>
      </c>
      <c r="P23" s="12" t="s">
        <v>21</v>
      </c>
      <c r="Q23" s="96">
        <v>1</v>
      </c>
      <c r="R23" s="96">
        <v>1</v>
      </c>
      <c r="S23" s="96">
        <v>1</v>
      </c>
      <c r="T23" s="96">
        <v>1</v>
      </c>
      <c r="U23" s="96">
        <v>1</v>
      </c>
      <c r="V23" s="96">
        <v>1</v>
      </c>
      <c r="W23" s="96">
        <v>1</v>
      </c>
      <c r="X23" s="96">
        <v>1</v>
      </c>
      <c r="Y23" s="96">
        <v>1</v>
      </c>
      <c r="Z23" s="96">
        <v>1</v>
      </c>
      <c r="AA23" s="96">
        <v>1</v>
      </c>
      <c r="AB23" s="96">
        <v>1</v>
      </c>
      <c r="AC23" s="96">
        <v>1</v>
      </c>
    </row>
    <row r="24" spans="1:29" ht="25.05" customHeight="1" x14ac:dyDescent="0.25">
      <c r="A24" s="38">
        <v>7697001703</v>
      </c>
      <c r="B24" s="12" t="s">
        <v>618</v>
      </c>
      <c r="C24" s="10" t="s">
        <v>617</v>
      </c>
      <c r="D24" s="12" t="s">
        <v>312</v>
      </c>
      <c r="E24" s="12" t="s">
        <v>104</v>
      </c>
      <c r="F24" s="56" t="s">
        <v>59</v>
      </c>
      <c r="G24" s="12" t="s">
        <v>593</v>
      </c>
      <c r="H24" s="12" t="s">
        <v>13</v>
      </c>
      <c r="I24" s="12" t="s">
        <v>14</v>
      </c>
      <c r="J24" s="12" t="s">
        <v>67</v>
      </c>
      <c r="K24" s="12"/>
      <c r="L24" s="12"/>
      <c r="M24" s="12"/>
      <c r="N24" s="12" t="s">
        <v>16</v>
      </c>
      <c r="O24" s="13" t="s">
        <v>616</v>
      </c>
      <c r="P24" s="12" t="s">
        <v>21</v>
      </c>
      <c r="Q24" s="96">
        <v>1</v>
      </c>
      <c r="R24" s="96">
        <v>1</v>
      </c>
      <c r="S24" s="96">
        <v>1</v>
      </c>
      <c r="T24" s="96">
        <v>1</v>
      </c>
      <c r="U24" s="96">
        <v>1</v>
      </c>
      <c r="V24" s="96">
        <v>1</v>
      </c>
      <c r="W24" s="96">
        <v>1</v>
      </c>
      <c r="X24" s="96">
        <v>1</v>
      </c>
      <c r="Y24" s="96">
        <v>1</v>
      </c>
      <c r="Z24" s="96">
        <v>1</v>
      </c>
      <c r="AA24" s="96">
        <v>1</v>
      </c>
      <c r="AB24" s="96">
        <v>1</v>
      </c>
      <c r="AC24" s="96">
        <v>1</v>
      </c>
    </row>
  </sheetData>
  <hyperlinks>
    <hyperlink ref="C2" r:id="rId1" xr:uid="{193CAC14-382D-4E3B-9321-B01CA203A668}"/>
    <hyperlink ref="C3" r:id="rId2" xr:uid="{47C8054C-6161-4F3D-8F17-52494DB16BA4}"/>
    <hyperlink ref="C4" r:id="rId3" xr:uid="{13749405-7062-4B3D-8FAE-43AADCF0C479}"/>
    <hyperlink ref="C5" r:id="rId4" xr:uid="{75E1D9E2-ED05-4D87-B675-AB288CD74A2B}"/>
    <hyperlink ref="C6" r:id="rId5" xr:uid="{69D78175-15DE-4965-B8AA-03857D715EF2}"/>
    <hyperlink ref="C7" r:id="rId6" xr:uid="{259696D6-C366-4522-90BA-3D091F0CC881}"/>
    <hyperlink ref="C8" r:id="rId7" xr:uid="{BD902CDE-EEC5-4068-977E-7B4BD5E216A1}"/>
    <hyperlink ref="C9" r:id="rId8" xr:uid="{D18345A1-C138-4BCA-B4B1-852F43C8CE31}"/>
    <hyperlink ref="C10" r:id="rId9" xr:uid="{6FA059C8-AFC0-4F9E-A453-533DD8DE9FA1}"/>
    <hyperlink ref="C11" r:id="rId10" xr:uid="{1578A8EC-FE37-4ADB-9600-3352C62A2005}"/>
    <hyperlink ref="C12" r:id="rId11" xr:uid="{7D41F80A-1DC2-4D73-9382-079938143D4A}"/>
    <hyperlink ref="C13" r:id="rId12" xr:uid="{0B024D95-156C-4C48-A0E7-CD19EA30EB31}"/>
    <hyperlink ref="C14" r:id="rId13" xr:uid="{876E91A6-2A29-4F81-BF9D-479C29F4E150}"/>
    <hyperlink ref="C15" r:id="rId14" xr:uid="{C0F2FCBA-FB98-4CA8-92A2-E6CEC5255305}"/>
    <hyperlink ref="C16" r:id="rId15" xr:uid="{7DCF8A82-62D0-4DDA-98CB-053C84D692AC}"/>
    <hyperlink ref="C17" r:id="rId16" xr:uid="{2E92D2D9-43D8-42AC-9BE8-D3B71E034E38}"/>
    <hyperlink ref="C18" r:id="rId17" xr:uid="{6AC66734-8E40-4FF7-9FCE-175518A59785}"/>
    <hyperlink ref="C19" r:id="rId18" xr:uid="{ADA138B2-5E41-408A-831D-29E14166540E}"/>
    <hyperlink ref="C20" r:id="rId19" xr:uid="{23D427C7-EDED-441E-9310-20124ECD5E84}"/>
    <hyperlink ref="C21" r:id="rId20" xr:uid="{7F0F39FE-2865-4D94-AEA5-68550BAEC655}"/>
    <hyperlink ref="C22" r:id="rId21" xr:uid="{7B9DF21F-F948-4377-8C1C-B13B0F78AC33}"/>
    <hyperlink ref="C23" r:id="rId22" xr:uid="{C844B5C4-BC58-4E41-8CCE-29B3045B5961}"/>
    <hyperlink ref="C24" r:id="rId23" xr:uid="{889E14D1-1C3B-49DA-B8FC-E26E031D910F}"/>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B051E-8E22-467B-9196-E18331F90BFC}">
  <dimension ref="A1:AC45"/>
  <sheetViews>
    <sheetView topLeftCell="F1" workbookViewId="0">
      <selection activeCell="F2" sqref="F2"/>
    </sheetView>
  </sheetViews>
  <sheetFormatPr defaultColWidth="9.6640625" defaultRowHeight="15.6" x14ac:dyDescent="0.25"/>
  <cols>
    <col min="1" max="1" width="14.77734375" style="7" customWidth="1"/>
    <col min="2" max="2" width="17.33203125" style="7" customWidth="1"/>
    <col min="3" max="3" width="37.21875" style="7" customWidth="1"/>
    <col min="4" max="4" width="12.109375" style="7" customWidth="1"/>
    <col min="5" max="5" width="10.6640625" style="7" customWidth="1"/>
    <col min="6" max="6" width="12.109375" style="7" customWidth="1"/>
    <col min="7" max="7" width="12.44140625" style="7" customWidth="1"/>
    <col min="8" max="8" width="13.109375" style="7" customWidth="1"/>
    <col min="9" max="9" width="13.88671875" style="7" customWidth="1"/>
    <col min="10" max="13" width="12.6640625" style="7" customWidth="1"/>
    <col min="14" max="14" width="14.88671875" style="7" customWidth="1"/>
    <col min="15" max="15" width="75.21875" style="7" bestFit="1" customWidth="1"/>
    <col min="16" max="16" width="21.77734375" style="7" bestFit="1" customWidth="1"/>
    <col min="17" max="17" width="14.109375" style="7" bestFit="1" customWidth="1"/>
    <col min="18" max="19" width="10" style="7" customWidth="1"/>
    <col min="20" max="21" width="9.44140625" style="8" customWidth="1"/>
    <col min="22" max="22" width="12.33203125" style="8" customWidth="1"/>
    <col min="23" max="28" width="12.33203125" style="7" customWidth="1"/>
    <col min="29" max="16384" width="9.6640625" style="7"/>
  </cols>
  <sheetData>
    <row r="1" spans="1:29" ht="27.6" x14ac:dyDescent="0.25">
      <c r="A1" s="35" t="s">
        <v>0</v>
      </c>
      <c r="B1" s="35" t="s">
        <v>1</v>
      </c>
      <c r="C1" s="35" t="s">
        <v>2</v>
      </c>
      <c r="D1" s="58" t="s">
        <v>3</v>
      </c>
      <c r="E1" s="35" t="s">
        <v>4</v>
      </c>
      <c r="F1" s="35" t="s">
        <v>5</v>
      </c>
      <c r="G1" s="35" t="s">
        <v>6</v>
      </c>
      <c r="H1" s="35" t="s">
        <v>7</v>
      </c>
      <c r="I1" s="58" t="s">
        <v>8</v>
      </c>
      <c r="J1" s="35" t="s">
        <v>9</v>
      </c>
      <c r="K1" s="35" t="s">
        <v>10</v>
      </c>
      <c r="L1" s="35" t="s">
        <v>126</v>
      </c>
      <c r="M1" s="35" t="s">
        <v>127</v>
      </c>
      <c r="N1" s="35"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s="102" customFormat="1" ht="42" customHeight="1" x14ac:dyDescent="0.25">
      <c r="A2" s="12">
        <v>7000100511</v>
      </c>
      <c r="B2" s="12" t="s">
        <v>65</v>
      </c>
      <c r="C2" s="108" t="s">
        <v>66</v>
      </c>
      <c r="D2" s="12" t="s">
        <v>67</v>
      </c>
      <c r="E2" s="12" t="s">
        <v>68</v>
      </c>
      <c r="F2" s="56" t="s">
        <v>59</v>
      </c>
      <c r="G2" s="12" t="s">
        <v>69</v>
      </c>
      <c r="H2" s="12" t="s">
        <v>13</v>
      </c>
      <c r="I2" s="12" t="s">
        <v>14</v>
      </c>
      <c r="J2" s="12"/>
      <c r="K2" s="12"/>
      <c r="L2" s="12"/>
      <c r="M2" s="12"/>
      <c r="N2" s="12" t="s">
        <v>16</v>
      </c>
      <c r="O2" s="126" t="s">
        <v>493</v>
      </c>
      <c r="P2" s="38" t="s">
        <v>21</v>
      </c>
      <c r="Q2" s="11">
        <v>1</v>
      </c>
      <c r="R2" s="11">
        <v>1</v>
      </c>
      <c r="S2" s="11">
        <v>1</v>
      </c>
      <c r="T2" s="11">
        <v>1</v>
      </c>
      <c r="U2" s="11">
        <v>1</v>
      </c>
      <c r="V2" s="11">
        <v>1</v>
      </c>
      <c r="W2" s="11">
        <v>1</v>
      </c>
      <c r="X2" s="11">
        <v>1</v>
      </c>
      <c r="Y2" s="11">
        <v>1</v>
      </c>
      <c r="Z2" s="11">
        <v>1</v>
      </c>
      <c r="AA2" s="11">
        <v>1</v>
      </c>
      <c r="AB2" s="11">
        <v>1</v>
      </c>
      <c r="AC2" s="11">
        <v>1</v>
      </c>
    </row>
    <row r="3" spans="1:29" s="98" customFormat="1" ht="30" customHeight="1" x14ac:dyDescent="0.25">
      <c r="A3" s="12">
        <v>7000100511</v>
      </c>
      <c r="B3" s="12" t="s">
        <v>65</v>
      </c>
      <c r="C3" s="108" t="s">
        <v>66</v>
      </c>
      <c r="D3" s="12" t="s">
        <v>67</v>
      </c>
      <c r="E3" s="12" t="s">
        <v>68</v>
      </c>
      <c r="F3" s="56" t="s">
        <v>59</v>
      </c>
      <c r="G3" s="12" t="s">
        <v>69</v>
      </c>
      <c r="H3" s="12" t="s">
        <v>13</v>
      </c>
      <c r="I3" s="12" t="s">
        <v>14</v>
      </c>
      <c r="J3" s="12"/>
      <c r="K3" s="12"/>
      <c r="L3" s="12"/>
      <c r="M3" s="12"/>
      <c r="N3" s="12" t="s">
        <v>16</v>
      </c>
      <c r="O3" s="109" t="s">
        <v>494</v>
      </c>
      <c r="P3" s="38" t="s">
        <v>21</v>
      </c>
      <c r="Q3" s="11">
        <v>1</v>
      </c>
      <c r="R3" s="11">
        <v>1</v>
      </c>
      <c r="S3" s="11">
        <v>1</v>
      </c>
      <c r="T3" s="11">
        <v>1</v>
      </c>
      <c r="U3" s="11">
        <v>1</v>
      </c>
      <c r="V3" s="11">
        <v>1</v>
      </c>
      <c r="W3" s="11">
        <v>1</v>
      </c>
      <c r="X3" s="11">
        <v>1</v>
      </c>
      <c r="Y3" s="11">
        <v>1</v>
      </c>
      <c r="Z3" s="11">
        <v>1</v>
      </c>
      <c r="AA3" s="11">
        <v>1</v>
      </c>
      <c r="AB3" s="11">
        <v>1</v>
      </c>
      <c r="AC3" s="11">
        <v>1</v>
      </c>
    </row>
    <row r="4" spans="1:29" s="98" customFormat="1" ht="30" customHeight="1" x14ac:dyDescent="0.25">
      <c r="A4" s="12">
        <v>7000100511</v>
      </c>
      <c r="B4" s="12" t="s">
        <v>65</v>
      </c>
      <c r="C4" s="108" t="s">
        <v>66</v>
      </c>
      <c r="D4" s="12" t="s">
        <v>67</v>
      </c>
      <c r="E4" s="12" t="s">
        <v>68</v>
      </c>
      <c r="F4" s="56" t="s">
        <v>59</v>
      </c>
      <c r="G4" s="12" t="s">
        <v>69</v>
      </c>
      <c r="H4" s="12" t="s">
        <v>13</v>
      </c>
      <c r="I4" s="12" t="s">
        <v>14</v>
      </c>
      <c r="J4" s="12"/>
      <c r="K4" s="12"/>
      <c r="L4" s="12"/>
      <c r="M4" s="12"/>
      <c r="N4" s="12" t="s">
        <v>16</v>
      </c>
      <c r="O4" s="109" t="s">
        <v>495</v>
      </c>
      <c r="P4" s="38" t="s">
        <v>21</v>
      </c>
      <c r="Q4" s="11">
        <v>1</v>
      </c>
      <c r="R4" s="11">
        <v>1</v>
      </c>
      <c r="S4" s="11">
        <v>1</v>
      </c>
      <c r="T4" s="11">
        <v>1</v>
      </c>
      <c r="U4" s="11">
        <v>1</v>
      </c>
      <c r="V4" s="11">
        <v>1</v>
      </c>
      <c r="W4" s="11">
        <v>1</v>
      </c>
      <c r="X4" s="11">
        <v>1</v>
      </c>
      <c r="Y4" s="11">
        <v>1</v>
      </c>
      <c r="Z4" s="11">
        <v>1</v>
      </c>
      <c r="AA4" s="11">
        <v>1</v>
      </c>
      <c r="AB4" s="11">
        <v>1</v>
      </c>
      <c r="AC4" s="11">
        <v>1</v>
      </c>
    </row>
    <row r="5" spans="1:29" s="98" customFormat="1" ht="30" customHeight="1" x14ac:dyDescent="0.25">
      <c r="A5" s="12">
        <v>7000100511</v>
      </c>
      <c r="B5" s="12" t="s">
        <v>65</v>
      </c>
      <c r="C5" s="108" t="s">
        <v>66</v>
      </c>
      <c r="D5" s="12" t="s">
        <v>67</v>
      </c>
      <c r="E5" s="12" t="s">
        <v>68</v>
      </c>
      <c r="F5" s="56" t="s">
        <v>59</v>
      </c>
      <c r="G5" s="12" t="s">
        <v>69</v>
      </c>
      <c r="H5" s="12" t="s">
        <v>13</v>
      </c>
      <c r="I5" s="12" t="s">
        <v>14</v>
      </c>
      <c r="J5" s="12"/>
      <c r="K5" s="12"/>
      <c r="L5" s="12"/>
      <c r="M5" s="12"/>
      <c r="N5" s="12" t="s">
        <v>16</v>
      </c>
      <c r="O5" s="109" t="s">
        <v>496</v>
      </c>
      <c r="P5" s="38" t="s">
        <v>21</v>
      </c>
      <c r="Q5" s="11">
        <v>1</v>
      </c>
      <c r="R5" s="11">
        <v>1</v>
      </c>
      <c r="S5" s="11">
        <v>1</v>
      </c>
      <c r="T5" s="11">
        <v>1</v>
      </c>
      <c r="U5" s="11">
        <v>1</v>
      </c>
      <c r="V5" s="11">
        <v>1</v>
      </c>
      <c r="W5" s="11">
        <v>1</v>
      </c>
      <c r="X5" s="11">
        <v>1</v>
      </c>
      <c r="Y5" s="11">
        <v>1</v>
      </c>
      <c r="Z5" s="11">
        <v>1</v>
      </c>
      <c r="AA5" s="11">
        <v>1</v>
      </c>
      <c r="AB5" s="11">
        <v>1</v>
      </c>
      <c r="AC5" s="11">
        <v>1</v>
      </c>
    </row>
    <row r="6" spans="1:29" s="98" customFormat="1" ht="30" customHeight="1" x14ac:dyDescent="0.25">
      <c r="A6" s="12">
        <v>7000100511</v>
      </c>
      <c r="B6" s="12" t="s">
        <v>65</v>
      </c>
      <c r="C6" s="108" t="s">
        <v>66</v>
      </c>
      <c r="D6" s="12" t="s">
        <v>67</v>
      </c>
      <c r="E6" s="12" t="s">
        <v>68</v>
      </c>
      <c r="F6" s="56" t="s">
        <v>59</v>
      </c>
      <c r="G6" s="12" t="s">
        <v>69</v>
      </c>
      <c r="H6" s="12" t="s">
        <v>13</v>
      </c>
      <c r="I6" s="12" t="s">
        <v>14</v>
      </c>
      <c r="J6" s="12"/>
      <c r="K6" s="12"/>
      <c r="L6" s="12"/>
      <c r="M6" s="12"/>
      <c r="N6" s="12" t="s">
        <v>16</v>
      </c>
      <c r="O6" s="109" t="s">
        <v>497</v>
      </c>
      <c r="P6" s="38" t="s">
        <v>21</v>
      </c>
      <c r="Q6" s="11">
        <v>1</v>
      </c>
      <c r="R6" s="11">
        <v>1</v>
      </c>
      <c r="S6" s="11">
        <v>1</v>
      </c>
      <c r="T6" s="11">
        <v>1</v>
      </c>
      <c r="U6" s="11">
        <v>1</v>
      </c>
      <c r="V6" s="11">
        <v>1</v>
      </c>
      <c r="W6" s="11">
        <v>1</v>
      </c>
      <c r="X6" s="11">
        <v>1</v>
      </c>
      <c r="Y6" s="11">
        <v>1</v>
      </c>
      <c r="Z6" s="11">
        <v>1</v>
      </c>
      <c r="AA6" s="11">
        <v>1</v>
      </c>
      <c r="AB6" s="11">
        <v>1</v>
      </c>
      <c r="AC6" s="11">
        <v>1</v>
      </c>
    </row>
    <row r="7" spans="1:29" s="98" customFormat="1" ht="30" customHeight="1" x14ac:dyDescent="0.25">
      <c r="A7" s="12">
        <v>7000100511</v>
      </c>
      <c r="B7" s="12" t="s">
        <v>65</v>
      </c>
      <c r="C7" s="108" t="s">
        <v>66</v>
      </c>
      <c r="D7" s="12" t="s">
        <v>67</v>
      </c>
      <c r="E7" s="12" t="s">
        <v>68</v>
      </c>
      <c r="F7" s="56" t="s">
        <v>59</v>
      </c>
      <c r="G7" s="12" t="s">
        <v>69</v>
      </c>
      <c r="H7" s="12" t="s">
        <v>13</v>
      </c>
      <c r="I7" s="12" t="s">
        <v>14</v>
      </c>
      <c r="J7" s="12"/>
      <c r="K7" s="12"/>
      <c r="L7" s="12"/>
      <c r="M7" s="12"/>
      <c r="N7" s="12" t="s">
        <v>16</v>
      </c>
      <c r="O7" s="109" t="s">
        <v>498</v>
      </c>
      <c r="P7" s="38" t="s">
        <v>21</v>
      </c>
      <c r="Q7" s="11">
        <v>1</v>
      </c>
      <c r="R7" s="11">
        <v>1</v>
      </c>
      <c r="S7" s="11">
        <v>1</v>
      </c>
      <c r="T7" s="11">
        <v>1</v>
      </c>
      <c r="U7" s="11">
        <v>1</v>
      </c>
      <c r="V7" s="11">
        <v>1</v>
      </c>
      <c r="W7" s="11">
        <v>1</v>
      </c>
      <c r="X7" s="11">
        <v>1</v>
      </c>
      <c r="Y7" s="11">
        <v>1</v>
      </c>
      <c r="Z7" s="11">
        <v>1</v>
      </c>
      <c r="AA7" s="11">
        <v>1</v>
      </c>
      <c r="AB7" s="11">
        <v>1</v>
      </c>
      <c r="AC7" s="11">
        <v>1</v>
      </c>
    </row>
    <row r="8" spans="1:29" s="98" customFormat="1" ht="30" customHeight="1" x14ac:dyDescent="0.25">
      <c r="A8" s="12">
        <v>7000100511</v>
      </c>
      <c r="B8" s="12" t="s">
        <v>65</v>
      </c>
      <c r="C8" s="108" t="s">
        <v>66</v>
      </c>
      <c r="D8" s="12" t="s">
        <v>67</v>
      </c>
      <c r="E8" s="12" t="s">
        <v>68</v>
      </c>
      <c r="F8" s="56" t="s">
        <v>59</v>
      </c>
      <c r="G8" s="12" t="s">
        <v>69</v>
      </c>
      <c r="H8" s="12" t="s">
        <v>13</v>
      </c>
      <c r="I8" s="12" t="s">
        <v>14</v>
      </c>
      <c r="J8" s="12"/>
      <c r="K8" s="12"/>
      <c r="L8" s="12"/>
      <c r="M8" s="12"/>
      <c r="N8" s="12" t="s">
        <v>16</v>
      </c>
      <c r="O8" s="109" t="s">
        <v>499</v>
      </c>
      <c r="P8" s="38" t="s">
        <v>21</v>
      </c>
      <c r="Q8" s="11">
        <v>1</v>
      </c>
      <c r="R8" s="11">
        <v>1</v>
      </c>
      <c r="S8" s="11">
        <v>1</v>
      </c>
      <c r="T8" s="11">
        <v>1</v>
      </c>
      <c r="U8" s="11">
        <v>1</v>
      </c>
      <c r="V8" s="11">
        <v>1</v>
      </c>
      <c r="W8" s="11">
        <v>1</v>
      </c>
      <c r="X8" s="11">
        <v>1</v>
      </c>
      <c r="Y8" s="11">
        <v>1</v>
      </c>
      <c r="Z8" s="11">
        <v>1</v>
      </c>
      <c r="AA8" s="11">
        <v>1</v>
      </c>
      <c r="AB8" s="11">
        <v>1</v>
      </c>
      <c r="AC8" s="11">
        <v>1</v>
      </c>
    </row>
    <row r="9" spans="1:29" s="98" customFormat="1" ht="30" customHeight="1" x14ac:dyDescent="0.25">
      <c r="A9" s="12">
        <v>7000100511</v>
      </c>
      <c r="B9" s="12" t="s">
        <v>65</v>
      </c>
      <c r="C9" s="108" t="s">
        <v>66</v>
      </c>
      <c r="D9" s="12" t="s">
        <v>67</v>
      </c>
      <c r="E9" s="12" t="s">
        <v>68</v>
      </c>
      <c r="F9" s="56" t="s">
        <v>59</v>
      </c>
      <c r="G9" s="12" t="s">
        <v>69</v>
      </c>
      <c r="H9" s="12" t="s">
        <v>13</v>
      </c>
      <c r="I9" s="12" t="s">
        <v>14</v>
      </c>
      <c r="J9" s="12"/>
      <c r="K9" s="12"/>
      <c r="L9" s="12"/>
      <c r="M9" s="12"/>
      <c r="N9" s="12" t="s">
        <v>16</v>
      </c>
      <c r="O9" s="109" t="s">
        <v>500</v>
      </c>
      <c r="P9" s="38" t="s">
        <v>21</v>
      </c>
      <c r="Q9" s="11">
        <v>1</v>
      </c>
      <c r="R9" s="11">
        <v>1</v>
      </c>
      <c r="S9" s="11">
        <v>1</v>
      </c>
      <c r="T9" s="11">
        <v>1</v>
      </c>
      <c r="U9" s="11">
        <v>1</v>
      </c>
      <c r="V9" s="11">
        <v>1</v>
      </c>
      <c r="W9" s="11">
        <v>1</v>
      </c>
      <c r="X9" s="11">
        <v>1</v>
      </c>
      <c r="Y9" s="11">
        <v>1</v>
      </c>
      <c r="Z9" s="11">
        <v>1</v>
      </c>
      <c r="AA9" s="11">
        <v>1</v>
      </c>
      <c r="AB9" s="11">
        <v>1</v>
      </c>
      <c r="AC9" s="11">
        <v>1</v>
      </c>
    </row>
    <row r="10" spans="1:29" s="98" customFormat="1" ht="30" customHeight="1" x14ac:dyDescent="0.25">
      <c r="A10" s="12">
        <v>7000100511</v>
      </c>
      <c r="B10" s="12" t="s">
        <v>65</v>
      </c>
      <c r="C10" s="108" t="s">
        <v>66</v>
      </c>
      <c r="D10" s="12" t="s">
        <v>67</v>
      </c>
      <c r="E10" s="12" t="s">
        <v>68</v>
      </c>
      <c r="F10" s="56" t="s">
        <v>59</v>
      </c>
      <c r="G10" s="12" t="s">
        <v>69</v>
      </c>
      <c r="H10" s="12" t="s">
        <v>13</v>
      </c>
      <c r="I10" s="12" t="s">
        <v>14</v>
      </c>
      <c r="J10" s="12"/>
      <c r="K10" s="12"/>
      <c r="L10" s="12"/>
      <c r="M10" s="12"/>
      <c r="N10" s="12" t="s">
        <v>16</v>
      </c>
      <c r="O10" s="109" t="s">
        <v>501</v>
      </c>
      <c r="P10" s="38" t="s">
        <v>21</v>
      </c>
      <c r="Q10" s="11">
        <v>1</v>
      </c>
      <c r="R10" s="11">
        <v>1</v>
      </c>
      <c r="S10" s="11">
        <v>1</v>
      </c>
      <c r="T10" s="11">
        <v>1</v>
      </c>
      <c r="U10" s="11">
        <v>1</v>
      </c>
      <c r="V10" s="11">
        <v>1</v>
      </c>
      <c r="W10" s="11">
        <v>1</v>
      </c>
      <c r="X10" s="11">
        <v>1</v>
      </c>
      <c r="Y10" s="11">
        <v>1</v>
      </c>
      <c r="Z10" s="11">
        <v>1</v>
      </c>
      <c r="AA10" s="11">
        <v>1</v>
      </c>
      <c r="AB10" s="11">
        <v>1</v>
      </c>
      <c r="AC10" s="11">
        <v>1</v>
      </c>
    </row>
    <row r="11" spans="1:29" s="98" customFormat="1" ht="30" customHeight="1" x14ac:dyDescent="0.25">
      <c r="A11" s="12">
        <v>7000100511</v>
      </c>
      <c r="B11" s="12" t="s">
        <v>65</v>
      </c>
      <c r="C11" s="108" t="s">
        <v>66</v>
      </c>
      <c r="D11" s="12" t="s">
        <v>67</v>
      </c>
      <c r="E11" s="12" t="s">
        <v>68</v>
      </c>
      <c r="F11" s="56" t="s">
        <v>59</v>
      </c>
      <c r="G11" s="12" t="s">
        <v>69</v>
      </c>
      <c r="H11" s="12" t="s">
        <v>13</v>
      </c>
      <c r="I11" s="12" t="s">
        <v>14</v>
      </c>
      <c r="J11" s="12"/>
      <c r="K11" s="12"/>
      <c r="L11" s="12"/>
      <c r="M11" s="12"/>
      <c r="N11" s="12" t="s">
        <v>16</v>
      </c>
      <c r="O11" s="109" t="s">
        <v>502</v>
      </c>
      <c r="P11" s="38" t="s">
        <v>21</v>
      </c>
      <c r="Q11" s="11">
        <v>1</v>
      </c>
      <c r="R11" s="11">
        <v>1</v>
      </c>
      <c r="S11" s="11">
        <v>1</v>
      </c>
      <c r="T11" s="11">
        <v>1</v>
      </c>
      <c r="U11" s="11">
        <v>1</v>
      </c>
      <c r="V11" s="11">
        <v>1</v>
      </c>
      <c r="W11" s="11">
        <v>1</v>
      </c>
      <c r="X11" s="11">
        <v>1</v>
      </c>
      <c r="Y11" s="11">
        <v>1</v>
      </c>
      <c r="Z11" s="11">
        <v>1</v>
      </c>
      <c r="AA11" s="11">
        <v>1</v>
      </c>
      <c r="AB11" s="11">
        <v>1</v>
      </c>
      <c r="AC11" s="11">
        <v>1</v>
      </c>
    </row>
    <row r="12" spans="1:29" s="98" customFormat="1" ht="30" customHeight="1" x14ac:dyDescent="0.25">
      <c r="A12" s="12">
        <v>7000100511</v>
      </c>
      <c r="B12" s="12" t="s">
        <v>65</v>
      </c>
      <c r="C12" s="108" t="s">
        <v>66</v>
      </c>
      <c r="D12" s="12" t="s">
        <v>67</v>
      </c>
      <c r="E12" s="12" t="s">
        <v>68</v>
      </c>
      <c r="F12" s="56" t="s">
        <v>59</v>
      </c>
      <c r="G12" s="12" t="s">
        <v>69</v>
      </c>
      <c r="H12" s="12" t="s">
        <v>13</v>
      </c>
      <c r="I12" s="12" t="s">
        <v>14</v>
      </c>
      <c r="J12" s="12"/>
      <c r="K12" s="12"/>
      <c r="L12" s="12"/>
      <c r="M12" s="12"/>
      <c r="N12" s="12" t="s">
        <v>16</v>
      </c>
      <c r="O12" s="109" t="s">
        <v>503</v>
      </c>
      <c r="P12" s="38" t="s">
        <v>21</v>
      </c>
      <c r="Q12" s="11">
        <v>1</v>
      </c>
      <c r="R12" s="11">
        <v>1</v>
      </c>
      <c r="S12" s="11">
        <v>1</v>
      </c>
      <c r="T12" s="11">
        <v>1</v>
      </c>
      <c r="U12" s="11">
        <v>1</v>
      </c>
      <c r="V12" s="11">
        <v>1</v>
      </c>
      <c r="W12" s="11">
        <v>1</v>
      </c>
      <c r="X12" s="11">
        <v>1</v>
      </c>
      <c r="Y12" s="11">
        <v>1</v>
      </c>
      <c r="Z12" s="11">
        <v>1</v>
      </c>
      <c r="AA12" s="11">
        <v>1</v>
      </c>
      <c r="AB12" s="11">
        <v>1</v>
      </c>
      <c r="AC12" s="11">
        <v>1</v>
      </c>
    </row>
    <row r="13" spans="1:29" s="98" customFormat="1" ht="30" customHeight="1" x14ac:dyDescent="0.25">
      <c r="A13" s="12">
        <v>7000100511</v>
      </c>
      <c r="B13" s="12" t="s">
        <v>65</v>
      </c>
      <c r="C13" s="108" t="s">
        <v>66</v>
      </c>
      <c r="D13" s="12" t="s">
        <v>67</v>
      </c>
      <c r="E13" s="12" t="s">
        <v>68</v>
      </c>
      <c r="F13" s="56" t="s">
        <v>59</v>
      </c>
      <c r="G13" s="12" t="s">
        <v>69</v>
      </c>
      <c r="H13" s="12" t="s">
        <v>13</v>
      </c>
      <c r="I13" s="12" t="s">
        <v>14</v>
      </c>
      <c r="J13" s="12"/>
      <c r="K13" s="12"/>
      <c r="L13" s="12"/>
      <c r="M13" s="12"/>
      <c r="N13" s="12" t="s">
        <v>16</v>
      </c>
      <c r="O13" s="109" t="s">
        <v>504</v>
      </c>
      <c r="P13" s="38" t="s">
        <v>21</v>
      </c>
      <c r="Q13" s="11">
        <v>1</v>
      </c>
      <c r="R13" s="11">
        <v>1</v>
      </c>
      <c r="S13" s="11">
        <v>1</v>
      </c>
      <c r="T13" s="11">
        <v>1</v>
      </c>
      <c r="U13" s="11">
        <v>1</v>
      </c>
      <c r="V13" s="11">
        <v>1</v>
      </c>
      <c r="W13" s="11">
        <v>1</v>
      </c>
      <c r="X13" s="11">
        <v>1</v>
      </c>
      <c r="Y13" s="11">
        <v>1</v>
      </c>
      <c r="Z13" s="11">
        <v>1</v>
      </c>
      <c r="AA13" s="11">
        <v>1</v>
      </c>
      <c r="AB13" s="11">
        <v>1</v>
      </c>
      <c r="AC13" s="11">
        <v>1</v>
      </c>
    </row>
    <row r="14" spans="1:29" s="98" customFormat="1" ht="30" customHeight="1" x14ac:dyDescent="0.25">
      <c r="A14" s="12">
        <v>7000100511</v>
      </c>
      <c r="B14" s="12" t="s">
        <v>65</v>
      </c>
      <c r="C14" s="108" t="s">
        <v>66</v>
      </c>
      <c r="D14" s="12" t="s">
        <v>67</v>
      </c>
      <c r="E14" s="12" t="s">
        <v>68</v>
      </c>
      <c r="F14" s="56" t="s">
        <v>59</v>
      </c>
      <c r="G14" s="12" t="s">
        <v>69</v>
      </c>
      <c r="H14" s="12" t="s">
        <v>13</v>
      </c>
      <c r="I14" s="12" t="s">
        <v>14</v>
      </c>
      <c r="J14" s="12"/>
      <c r="K14" s="12"/>
      <c r="L14" s="12"/>
      <c r="M14" s="12"/>
      <c r="N14" s="12" t="s">
        <v>16</v>
      </c>
      <c r="O14" s="109" t="s">
        <v>505</v>
      </c>
      <c r="P14" s="38" t="s">
        <v>21</v>
      </c>
      <c r="Q14" s="11">
        <v>1</v>
      </c>
      <c r="R14" s="11">
        <v>1</v>
      </c>
      <c r="S14" s="11">
        <v>1</v>
      </c>
      <c r="T14" s="11">
        <v>1</v>
      </c>
      <c r="U14" s="11">
        <v>1</v>
      </c>
      <c r="V14" s="11">
        <v>1</v>
      </c>
      <c r="W14" s="11">
        <v>1</v>
      </c>
      <c r="X14" s="11">
        <v>1</v>
      </c>
      <c r="Y14" s="11">
        <v>1</v>
      </c>
      <c r="Z14" s="11">
        <v>1</v>
      </c>
      <c r="AA14" s="11">
        <v>1</v>
      </c>
      <c r="AB14" s="11">
        <v>1</v>
      </c>
      <c r="AC14" s="11">
        <v>1</v>
      </c>
    </row>
    <row r="15" spans="1:29" s="98" customFormat="1" ht="30" customHeight="1" x14ac:dyDescent="0.25">
      <c r="A15" s="12">
        <v>7000100511</v>
      </c>
      <c r="B15" s="12" t="s">
        <v>65</v>
      </c>
      <c r="C15" s="108" t="s">
        <v>66</v>
      </c>
      <c r="D15" s="12" t="s">
        <v>67</v>
      </c>
      <c r="E15" s="12" t="s">
        <v>68</v>
      </c>
      <c r="F15" s="56" t="s">
        <v>59</v>
      </c>
      <c r="G15" s="12" t="s">
        <v>69</v>
      </c>
      <c r="H15" s="12" t="s">
        <v>13</v>
      </c>
      <c r="I15" s="12" t="s">
        <v>14</v>
      </c>
      <c r="J15" s="12"/>
      <c r="K15" s="12"/>
      <c r="L15" s="12"/>
      <c r="M15" s="12"/>
      <c r="N15" s="12" t="s">
        <v>16</v>
      </c>
      <c r="O15" s="109" t="s">
        <v>506</v>
      </c>
      <c r="P15" s="38" t="s">
        <v>21</v>
      </c>
      <c r="Q15" s="11">
        <v>1</v>
      </c>
      <c r="R15" s="11">
        <v>1</v>
      </c>
      <c r="S15" s="11">
        <v>1</v>
      </c>
      <c r="T15" s="11">
        <v>1</v>
      </c>
      <c r="U15" s="11">
        <v>1</v>
      </c>
      <c r="V15" s="11">
        <v>1</v>
      </c>
      <c r="W15" s="11">
        <v>1</v>
      </c>
      <c r="X15" s="11">
        <v>1</v>
      </c>
      <c r="Y15" s="11">
        <v>1</v>
      </c>
      <c r="Z15" s="11">
        <v>1</v>
      </c>
      <c r="AA15" s="11">
        <v>1</v>
      </c>
      <c r="AB15" s="11">
        <v>1</v>
      </c>
      <c r="AC15" s="11">
        <v>1</v>
      </c>
    </row>
    <row r="16" spans="1:29" s="98" customFormat="1" ht="30" customHeight="1" x14ac:dyDescent="0.25">
      <c r="A16" s="12">
        <v>7000100511</v>
      </c>
      <c r="B16" s="12" t="s">
        <v>65</v>
      </c>
      <c r="C16" s="108" t="s">
        <v>66</v>
      </c>
      <c r="D16" s="12" t="s">
        <v>67</v>
      </c>
      <c r="E16" s="12" t="s">
        <v>68</v>
      </c>
      <c r="F16" s="56" t="s">
        <v>59</v>
      </c>
      <c r="G16" s="12" t="s">
        <v>69</v>
      </c>
      <c r="H16" s="12" t="s">
        <v>13</v>
      </c>
      <c r="I16" s="12" t="s">
        <v>14</v>
      </c>
      <c r="J16" s="12"/>
      <c r="K16" s="12"/>
      <c r="L16" s="12"/>
      <c r="M16" s="12"/>
      <c r="N16" s="12" t="s">
        <v>16</v>
      </c>
      <c r="O16" s="109" t="s">
        <v>507</v>
      </c>
      <c r="P16" s="38" t="s">
        <v>21</v>
      </c>
      <c r="Q16" s="11">
        <v>1</v>
      </c>
      <c r="R16" s="11">
        <v>1</v>
      </c>
      <c r="S16" s="11">
        <v>1</v>
      </c>
      <c r="T16" s="11">
        <v>1</v>
      </c>
      <c r="U16" s="11">
        <v>1</v>
      </c>
      <c r="V16" s="11">
        <v>1</v>
      </c>
      <c r="W16" s="11">
        <v>1</v>
      </c>
      <c r="X16" s="11">
        <v>1</v>
      </c>
      <c r="Y16" s="11">
        <v>1</v>
      </c>
      <c r="Z16" s="11">
        <v>1</v>
      </c>
      <c r="AA16" s="11">
        <v>1</v>
      </c>
      <c r="AB16" s="11">
        <v>1</v>
      </c>
      <c r="AC16" s="11">
        <v>1</v>
      </c>
    </row>
    <row r="17" spans="1:29" s="98" customFormat="1" ht="30" customHeight="1" x14ac:dyDescent="0.25">
      <c r="A17" s="12">
        <v>7000100511</v>
      </c>
      <c r="B17" s="12" t="s">
        <v>65</v>
      </c>
      <c r="C17" s="108" t="s">
        <v>66</v>
      </c>
      <c r="D17" s="12" t="s">
        <v>67</v>
      </c>
      <c r="E17" s="12" t="s">
        <v>68</v>
      </c>
      <c r="F17" s="56" t="s">
        <v>59</v>
      </c>
      <c r="G17" s="12" t="s">
        <v>69</v>
      </c>
      <c r="H17" s="12" t="s">
        <v>13</v>
      </c>
      <c r="I17" s="12" t="s">
        <v>14</v>
      </c>
      <c r="J17" s="12"/>
      <c r="K17" s="12"/>
      <c r="L17" s="12"/>
      <c r="M17" s="12"/>
      <c r="N17" s="12" t="s">
        <v>16</v>
      </c>
      <c r="O17" s="109" t="s">
        <v>508</v>
      </c>
      <c r="P17" s="38" t="s">
        <v>21</v>
      </c>
      <c r="Q17" s="11">
        <v>1</v>
      </c>
      <c r="R17" s="11">
        <v>1</v>
      </c>
      <c r="S17" s="11">
        <v>1</v>
      </c>
      <c r="T17" s="11">
        <v>1</v>
      </c>
      <c r="U17" s="11">
        <v>1</v>
      </c>
      <c r="V17" s="11">
        <v>1</v>
      </c>
      <c r="W17" s="11">
        <v>1</v>
      </c>
      <c r="X17" s="11">
        <v>1</v>
      </c>
      <c r="Y17" s="11">
        <v>1</v>
      </c>
      <c r="Z17" s="11">
        <v>1</v>
      </c>
      <c r="AA17" s="11">
        <v>1</v>
      </c>
      <c r="AB17" s="11">
        <v>1</v>
      </c>
      <c r="AC17" s="11">
        <v>1</v>
      </c>
    </row>
    <row r="18" spans="1:29" s="98" customFormat="1" ht="30" customHeight="1" x14ac:dyDescent="0.25">
      <c r="A18" s="12">
        <v>7000100511</v>
      </c>
      <c r="B18" s="12" t="s">
        <v>65</v>
      </c>
      <c r="C18" s="108" t="s">
        <v>66</v>
      </c>
      <c r="D18" s="12" t="s">
        <v>67</v>
      </c>
      <c r="E18" s="12" t="s">
        <v>68</v>
      </c>
      <c r="F18" s="56" t="s">
        <v>59</v>
      </c>
      <c r="G18" s="12" t="s">
        <v>69</v>
      </c>
      <c r="H18" s="12" t="s">
        <v>13</v>
      </c>
      <c r="I18" s="12" t="s">
        <v>14</v>
      </c>
      <c r="J18" s="12"/>
      <c r="K18" s="12"/>
      <c r="L18" s="12"/>
      <c r="M18" s="12"/>
      <c r="N18" s="12" t="s">
        <v>16</v>
      </c>
      <c r="O18" s="109" t="s">
        <v>509</v>
      </c>
      <c r="P18" s="38" t="s">
        <v>21</v>
      </c>
      <c r="Q18" s="11">
        <v>1</v>
      </c>
      <c r="R18" s="11">
        <v>1</v>
      </c>
      <c r="S18" s="11">
        <v>1</v>
      </c>
      <c r="T18" s="11">
        <v>1</v>
      </c>
      <c r="U18" s="11">
        <v>1</v>
      </c>
      <c r="V18" s="11">
        <v>1</v>
      </c>
      <c r="W18" s="11">
        <v>1</v>
      </c>
      <c r="X18" s="11">
        <v>1</v>
      </c>
      <c r="Y18" s="11">
        <v>1</v>
      </c>
      <c r="Z18" s="11">
        <v>1</v>
      </c>
      <c r="AA18" s="11">
        <v>1</v>
      </c>
      <c r="AB18" s="11">
        <v>1</v>
      </c>
      <c r="AC18" s="11">
        <v>1</v>
      </c>
    </row>
    <row r="19" spans="1:29" s="98" customFormat="1" ht="30" customHeight="1" x14ac:dyDescent="0.25">
      <c r="A19" s="12">
        <v>7000100511</v>
      </c>
      <c r="B19" s="12" t="s">
        <v>65</v>
      </c>
      <c r="C19" s="108" t="s">
        <v>66</v>
      </c>
      <c r="D19" s="12" t="s">
        <v>67</v>
      </c>
      <c r="E19" s="12" t="s">
        <v>68</v>
      </c>
      <c r="F19" s="56" t="s">
        <v>59</v>
      </c>
      <c r="G19" s="12" t="s">
        <v>69</v>
      </c>
      <c r="H19" s="12" t="s">
        <v>13</v>
      </c>
      <c r="I19" s="12" t="s">
        <v>14</v>
      </c>
      <c r="J19" s="12"/>
      <c r="K19" s="12"/>
      <c r="L19" s="12"/>
      <c r="M19" s="12"/>
      <c r="N19" s="12" t="s">
        <v>16</v>
      </c>
      <c r="O19" s="109" t="s">
        <v>510</v>
      </c>
      <c r="P19" s="38" t="s">
        <v>21</v>
      </c>
      <c r="Q19" s="11">
        <v>1</v>
      </c>
      <c r="R19" s="11">
        <v>1</v>
      </c>
      <c r="S19" s="11">
        <v>1</v>
      </c>
      <c r="T19" s="11">
        <v>1</v>
      </c>
      <c r="U19" s="11">
        <v>1</v>
      </c>
      <c r="V19" s="11">
        <v>1</v>
      </c>
      <c r="W19" s="11">
        <v>1</v>
      </c>
      <c r="X19" s="11">
        <v>1</v>
      </c>
      <c r="Y19" s="11">
        <v>1</v>
      </c>
      <c r="Z19" s="11">
        <v>1</v>
      </c>
      <c r="AA19" s="11">
        <v>1</v>
      </c>
      <c r="AB19" s="11">
        <v>1</v>
      </c>
      <c r="AC19" s="11">
        <v>1</v>
      </c>
    </row>
    <row r="20" spans="1:29" s="98" customFormat="1" ht="30" customHeight="1" x14ac:dyDescent="0.25">
      <c r="A20" s="12">
        <v>7000100511</v>
      </c>
      <c r="B20" s="12" t="s">
        <v>65</v>
      </c>
      <c r="C20" s="108" t="s">
        <v>66</v>
      </c>
      <c r="D20" s="12" t="s">
        <v>67</v>
      </c>
      <c r="E20" s="12" t="s">
        <v>68</v>
      </c>
      <c r="F20" s="56" t="s">
        <v>59</v>
      </c>
      <c r="G20" s="12" t="s">
        <v>69</v>
      </c>
      <c r="H20" s="12" t="s">
        <v>13</v>
      </c>
      <c r="I20" s="12" t="s">
        <v>14</v>
      </c>
      <c r="J20" s="12"/>
      <c r="K20" s="12"/>
      <c r="L20" s="12"/>
      <c r="M20" s="12"/>
      <c r="N20" s="12" t="s">
        <v>16</v>
      </c>
      <c r="O20" s="109" t="s">
        <v>511</v>
      </c>
      <c r="P20" s="38" t="s">
        <v>21</v>
      </c>
      <c r="Q20" s="11">
        <v>1</v>
      </c>
      <c r="R20" s="11">
        <v>1</v>
      </c>
      <c r="S20" s="11">
        <v>1</v>
      </c>
      <c r="T20" s="11">
        <v>1</v>
      </c>
      <c r="U20" s="11">
        <v>1</v>
      </c>
      <c r="V20" s="11">
        <v>1</v>
      </c>
      <c r="W20" s="11">
        <v>1</v>
      </c>
      <c r="X20" s="11">
        <v>1</v>
      </c>
      <c r="Y20" s="11">
        <v>1</v>
      </c>
      <c r="Z20" s="11">
        <v>1</v>
      </c>
      <c r="AA20" s="11">
        <v>1</v>
      </c>
      <c r="AB20" s="11">
        <v>1</v>
      </c>
      <c r="AC20" s="11">
        <v>1</v>
      </c>
    </row>
    <row r="21" spans="1:29" s="98" customFormat="1" ht="30" customHeight="1" x14ac:dyDescent="0.25">
      <c r="A21" s="12">
        <v>7000100511</v>
      </c>
      <c r="B21" s="12" t="s">
        <v>65</v>
      </c>
      <c r="C21" s="108" t="s">
        <v>66</v>
      </c>
      <c r="D21" s="12" t="s">
        <v>67</v>
      </c>
      <c r="E21" s="12" t="s">
        <v>68</v>
      </c>
      <c r="F21" s="56" t="s">
        <v>59</v>
      </c>
      <c r="G21" s="12" t="s">
        <v>69</v>
      </c>
      <c r="H21" s="12" t="s">
        <v>13</v>
      </c>
      <c r="I21" s="12" t="s">
        <v>14</v>
      </c>
      <c r="J21" s="12"/>
      <c r="K21" s="12"/>
      <c r="L21" s="12"/>
      <c r="M21" s="12"/>
      <c r="N21" s="12" t="s">
        <v>16</v>
      </c>
      <c r="O21" s="109" t="s">
        <v>512</v>
      </c>
      <c r="P21" s="38" t="s">
        <v>21</v>
      </c>
      <c r="Q21" s="11">
        <v>1</v>
      </c>
      <c r="R21" s="11">
        <v>1</v>
      </c>
      <c r="S21" s="11">
        <v>1</v>
      </c>
      <c r="T21" s="11">
        <v>1</v>
      </c>
      <c r="U21" s="11">
        <v>1</v>
      </c>
      <c r="V21" s="11">
        <v>1</v>
      </c>
      <c r="W21" s="11">
        <v>1</v>
      </c>
      <c r="X21" s="11">
        <v>1</v>
      </c>
      <c r="Y21" s="11">
        <v>1</v>
      </c>
      <c r="Z21" s="11">
        <v>1</v>
      </c>
      <c r="AA21" s="11">
        <v>1</v>
      </c>
      <c r="AB21" s="11">
        <v>1</v>
      </c>
      <c r="AC21" s="11">
        <v>1</v>
      </c>
    </row>
    <row r="22" spans="1:29" s="98" customFormat="1" ht="30" customHeight="1" x14ac:dyDescent="0.25">
      <c r="A22" s="12">
        <v>7000100511</v>
      </c>
      <c r="B22" s="12" t="s">
        <v>65</v>
      </c>
      <c r="C22" s="108" t="s">
        <v>66</v>
      </c>
      <c r="D22" s="12" t="s">
        <v>67</v>
      </c>
      <c r="E22" s="12" t="s">
        <v>68</v>
      </c>
      <c r="F22" s="56" t="s">
        <v>59</v>
      </c>
      <c r="G22" s="12" t="s">
        <v>69</v>
      </c>
      <c r="H22" s="12" t="s">
        <v>13</v>
      </c>
      <c r="I22" s="12" t="s">
        <v>14</v>
      </c>
      <c r="J22" s="12"/>
      <c r="K22" s="12"/>
      <c r="L22" s="12"/>
      <c r="M22" s="12"/>
      <c r="N22" s="12" t="s">
        <v>16</v>
      </c>
      <c r="O22" s="109" t="s">
        <v>513</v>
      </c>
      <c r="P22" s="38" t="s">
        <v>21</v>
      </c>
      <c r="Q22" s="11">
        <v>1</v>
      </c>
      <c r="R22" s="11">
        <v>1</v>
      </c>
      <c r="S22" s="11">
        <v>1</v>
      </c>
      <c r="T22" s="11">
        <v>1</v>
      </c>
      <c r="U22" s="11">
        <v>1</v>
      </c>
      <c r="V22" s="11">
        <v>1</v>
      </c>
      <c r="W22" s="11">
        <v>1</v>
      </c>
      <c r="X22" s="11">
        <v>1</v>
      </c>
      <c r="Y22" s="11">
        <v>1</v>
      </c>
      <c r="Z22" s="11">
        <v>1</v>
      </c>
      <c r="AA22" s="11">
        <v>1</v>
      </c>
      <c r="AB22" s="11">
        <v>1</v>
      </c>
      <c r="AC22" s="11">
        <v>1</v>
      </c>
    </row>
    <row r="23" spans="1:29" s="98" customFormat="1" ht="30" customHeight="1" x14ac:dyDescent="0.25">
      <c r="A23" s="12">
        <v>7000100511</v>
      </c>
      <c r="B23" s="12" t="s">
        <v>65</v>
      </c>
      <c r="C23" s="108" t="s">
        <v>66</v>
      </c>
      <c r="D23" s="12" t="s">
        <v>67</v>
      </c>
      <c r="E23" s="12" t="s">
        <v>68</v>
      </c>
      <c r="F23" s="56" t="s">
        <v>59</v>
      </c>
      <c r="G23" s="12" t="s">
        <v>69</v>
      </c>
      <c r="H23" s="12" t="s">
        <v>13</v>
      </c>
      <c r="I23" s="12" t="s">
        <v>14</v>
      </c>
      <c r="J23" s="12"/>
      <c r="K23" s="12"/>
      <c r="L23" s="12"/>
      <c r="M23" s="12"/>
      <c r="N23" s="12" t="s">
        <v>16</v>
      </c>
      <c r="O23" s="109" t="s">
        <v>514</v>
      </c>
      <c r="P23" s="38" t="s">
        <v>21</v>
      </c>
      <c r="Q23" s="11">
        <v>1</v>
      </c>
      <c r="R23" s="11">
        <v>1</v>
      </c>
      <c r="S23" s="11">
        <v>1</v>
      </c>
      <c r="T23" s="11">
        <v>1</v>
      </c>
      <c r="U23" s="11">
        <v>1</v>
      </c>
      <c r="V23" s="11">
        <v>1</v>
      </c>
      <c r="W23" s="11">
        <v>1</v>
      </c>
      <c r="X23" s="11">
        <v>1</v>
      </c>
      <c r="Y23" s="11">
        <v>1</v>
      </c>
      <c r="Z23" s="11">
        <v>1</v>
      </c>
      <c r="AA23" s="11">
        <v>1</v>
      </c>
      <c r="AB23" s="11">
        <v>1</v>
      </c>
      <c r="AC23" s="11">
        <v>1</v>
      </c>
    </row>
    <row r="24" spans="1:29" s="98" customFormat="1" ht="30" customHeight="1" x14ac:dyDescent="0.25">
      <c r="A24" s="12">
        <v>7000100511</v>
      </c>
      <c r="B24" s="12" t="s">
        <v>65</v>
      </c>
      <c r="C24" s="108" t="s">
        <v>66</v>
      </c>
      <c r="D24" s="12" t="s">
        <v>67</v>
      </c>
      <c r="E24" s="12" t="s">
        <v>68</v>
      </c>
      <c r="F24" s="56" t="s">
        <v>59</v>
      </c>
      <c r="G24" s="12" t="s">
        <v>69</v>
      </c>
      <c r="H24" s="12" t="s">
        <v>13</v>
      </c>
      <c r="I24" s="12" t="s">
        <v>14</v>
      </c>
      <c r="J24" s="12"/>
      <c r="K24" s="12"/>
      <c r="L24" s="12"/>
      <c r="M24" s="12"/>
      <c r="N24" s="12" t="s">
        <v>16</v>
      </c>
      <c r="O24" s="109" t="s">
        <v>515</v>
      </c>
      <c r="P24" s="38" t="s">
        <v>21</v>
      </c>
      <c r="Q24" s="11">
        <v>1</v>
      </c>
      <c r="R24" s="11">
        <v>1</v>
      </c>
      <c r="S24" s="11">
        <v>1</v>
      </c>
      <c r="T24" s="11">
        <v>1</v>
      </c>
      <c r="U24" s="11">
        <v>1</v>
      </c>
      <c r="V24" s="11">
        <v>1</v>
      </c>
      <c r="W24" s="11">
        <v>1</v>
      </c>
      <c r="X24" s="11">
        <v>1</v>
      </c>
      <c r="Y24" s="11">
        <v>1</v>
      </c>
      <c r="Z24" s="11">
        <v>1</v>
      </c>
      <c r="AA24" s="11">
        <v>1</v>
      </c>
      <c r="AB24" s="11">
        <v>1</v>
      </c>
      <c r="AC24" s="11">
        <v>1</v>
      </c>
    </row>
    <row r="25" spans="1:29" s="98" customFormat="1" ht="30" customHeight="1" x14ac:dyDescent="0.25">
      <c r="A25" s="12">
        <v>7000100511</v>
      </c>
      <c r="B25" s="12" t="s">
        <v>65</v>
      </c>
      <c r="C25" s="108" t="s">
        <v>66</v>
      </c>
      <c r="D25" s="12" t="s">
        <v>67</v>
      </c>
      <c r="E25" s="12" t="s">
        <v>68</v>
      </c>
      <c r="F25" s="56" t="s">
        <v>59</v>
      </c>
      <c r="G25" s="12" t="s">
        <v>69</v>
      </c>
      <c r="H25" s="12" t="s">
        <v>13</v>
      </c>
      <c r="I25" s="12" t="s">
        <v>14</v>
      </c>
      <c r="J25" s="12"/>
      <c r="K25" s="12"/>
      <c r="L25" s="12"/>
      <c r="M25" s="12"/>
      <c r="N25" s="12" t="s">
        <v>16</v>
      </c>
      <c r="O25" s="109" t="s">
        <v>516</v>
      </c>
      <c r="P25" s="38" t="s">
        <v>21</v>
      </c>
      <c r="Q25" s="11">
        <v>1</v>
      </c>
      <c r="R25" s="11">
        <v>1</v>
      </c>
      <c r="S25" s="11">
        <v>1</v>
      </c>
      <c r="T25" s="11">
        <v>1</v>
      </c>
      <c r="U25" s="11">
        <v>1</v>
      </c>
      <c r="V25" s="11">
        <v>1</v>
      </c>
      <c r="W25" s="11">
        <v>1</v>
      </c>
      <c r="X25" s="11">
        <v>1</v>
      </c>
      <c r="Y25" s="11">
        <v>1</v>
      </c>
      <c r="Z25" s="11">
        <v>1</v>
      </c>
      <c r="AA25" s="11">
        <v>1</v>
      </c>
      <c r="AB25" s="11">
        <v>1</v>
      </c>
      <c r="AC25" s="11">
        <v>1</v>
      </c>
    </row>
    <row r="26" spans="1:29" s="98" customFormat="1" ht="30" customHeight="1" x14ac:dyDescent="0.25">
      <c r="A26" s="12">
        <v>7000100511</v>
      </c>
      <c r="B26" s="12" t="s">
        <v>65</v>
      </c>
      <c r="C26" s="108" t="s">
        <v>66</v>
      </c>
      <c r="D26" s="12" t="s">
        <v>67</v>
      </c>
      <c r="E26" s="12" t="s">
        <v>68</v>
      </c>
      <c r="F26" s="56" t="s">
        <v>59</v>
      </c>
      <c r="G26" s="12" t="s">
        <v>69</v>
      </c>
      <c r="H26" s="12" t="s">
        <v>13</v>
      </c>
      <c r="I26" s="12" t="s">
        <v>14</v>
      </c>
      <c r="J26" s="12"/>
      <c r="K26" s="12"/>
      <c r="L26" s="12"/>
      <c r="M26" s="12"/>
      <c r="N26" s="12" t="s">
        <v>16</v>
      </c>
      <c r="O26" s="109" t="s">
        <v>517</v>
      </c>
      <c r="P26" s="38" t="s">
        <v>21</v>
      </c>
      <c r="Q26" s="11">
        <v>1</v>
      </c>
      <c r="R26" s="11">
        <v>1</v>
      </c>
      <c r="S26" s="11">
        <v>1</v>
      </c>
      <c r="T26" s="11">
        <v>1</v>
      </c>
      <c r="U26" s="11">
        <v>1</v>
      </c>
      <c r="V26" s="11">
        <v>1</v>
      </c>
      <c r="W26" s="11">
        <v>1</v>
      </c>
      <c r="X26" s="11">
        <v>1</v>
      </c>
      <c r="Y26" s="11">
        <v>1</v>
      </c>
      <c r="Z26" s="11">
        <v>1</v>
      </c>
      <c r="AA26" s="11">
        <v>1</v>
      </c>
      <c r="AB26" s="11">
        <v>1</v>
      </c>
      <c r="AC26" s="11">
        <v>1</v>
      </c>
    </row>
    <row r="27" spans="1:29" s="98" customFormat="1" ht="30" customHeight="1" x14ac:dyDescent="0.25">
      <c r="A27" s="12">
        <v>7000100511</v>
      </c>
      <c r="B27" s="12" t="s">
        <v>65</v>
      </c>
      <c r="C27" s="108" t="s">
        <v>66</v>
      </c>
      <c r="D27" s="12" t="s">
        <v>67</v>
      </c>
      <c r="E27" s="12" t="s">
        <v>68</v>
      </c>
      <c r="F27" s="56" t="s">
        <v>59</v>
      </c>
      <c r="G27" s="12" t="s">
        <v>69</v>
      </c>
      <c r="H27" s="12" t="s">
        <v>13</v>
      </c>
      <c r="I27" s="12" t="s">
        <v>14</v>
      </c>
      <c r="J27" s="12"/>
      <c r="K27" s="12"/>
      <c r="L27" s="12"/>
      <c r="M27" s="12"/>
      <c r="N27" s="12" t="s">
        <v>16</v>
      </c>
      <c r="O27" s="109" t="s">
        <v>518</v>
      </c>
      <c r="P27" s="38" t="s">
        <v>21</v>
      </c>
      <c r="Q27" s="11">
        <v>1</v>
      </c>
      <c r="R27" s="11">
        <v>1</v>
      </c>
      <c r="S27" s="11">
        <v>1</v>
      </c>
      <c r="T27" s="11">
        <v>1</v>
      </c>
      <c r="U27" s="11">
        <v>1</v>
      </c>
      <c r="V27" s="11">
        <v>1</v>
      </c>
      <c r="W27" s="11">
        <v>1</v>
      </c>
      <c r="X27" s="11">
        <v>1</v>
      </c>
      <c r="Y27" s="11">
        <v>1</v>
      </c>
      <c r="Z27" s="11">
        <v>1</v>
      </c>
      <c r="AA27" s="11">
        <v>1</v>
      </c>
      <c r="AB27" s="11">
        <v>1</v>
      </c>
      <c r="AC27" s="11">
        <v>1</v>
      </c>
    </row>
    <row r="28" spans="1:29" s="98" customFormat="1" ht="30" customHeight="1" x14ac:dyDescent="0.25">
      <c r="A28" s="12">
        <v>7000100511</v>
      </c>
      <c r="B28" s="12" t="s">
        <v>65</v>
      </c>
      <c r="C28" s="108" t="s">
        <v>66</v>
      </c>
      <c r="D28" s="12" t="s">
        <v>67</v>
      </c>
      <c r="E28" s="12" t="s">
        <v>68</v>
      </c>
      <c r="F28" s="56" t="s">
        <v>59</v>
      </c>
      <c r="G28" s="12" t="s">
        <v>69</v>
      </c>
      <c r="H28" s="12" t="s">
        <v>13</v>
      </c>
      <c r="I28" s="12" t="s">
        <v>14</v>
      </c>
      <c r="J28" s="12"/>
      <c r="K28" s="12"/>
      <c r="L28" s="12"/>
      <c r="M28" s="12"/>
      <c r="N28" s="12" t="s">
        <v>16</v>
      </c>
      <c r="O28" s="109" t="s">
        <v>519</v>
      </c>
      <c r="P28" s="38" t="s">
        <v>21</v>
      </c>
      <c r="Q28" s="11">
        <v>1</v>
      </c>
      <c r="R28" s="11">
        <v>1</v>
      </c>
      <c r="S28" s="11">
        <v>1</v>
      </c>
      <c r="T28" s="11">
        <v>1</v>
      </c>
      <c r="U28" s="11">
        <v>1</v>
      </c>
      <c r="V28" s="11">
        <v>1</v>
      </c>
      <c r="W28" s="11">
        <v>1</v>
      </c>
      <c r="X28" s="11">
        <v>1</v>
      </c>
      <c r="Y28" s="11">
        <v>1</v>
      </c>
      <c r="Z28" s="11">
        <v>1</v>
      </c>
      <c r="AA28" s="11">
        <v>1</v>
      </c>
      <c r="AB28" s="11">
        <v>1</v>
      </c>
      <c r="AC28" s="11">
        <v>1</v>
      </c>
    </row>
    <row r="29" spans="1:29" s="98" customFormat="1" ht="30" customHeight="1" x14ac:dyDescent="0.25">
      <c r="A29" s="12">
        <v>7000100511</v>
      </c>
      <c r="B29" s="12" t="s">
        <v>65</v>
      </c>
      <c r="C29" s="108" t="s">
        <v>66</v>
      </c>
      <c r="D29" s="12" t="s">
        <v>67</v>
      </c>
      <c r="E29" s="12" t="s">
        <v>68</v>
      </c>
      <c r="F29" s="56" t="s">
        <v>59</v>
      </c>
      <c r="G29" s="12" t="s">
        <v>69</v>
      </c>
      <c r="H29" s="12" t="s">
        <v>13</v>
      </c>
      <c r="I29" s="12" t="s">
        <v>14</v>
      </c>
      <c r="J29" s="12"/>
      <c r="K29" s="12"/>
      <c r="L29" s="12"/>
      <c r="M29" s="12"/>
      <c r="N29" s="12" t="s">
        <v>16</v>
      </c>
      <c r="O29" s="109" t="s">
        <v>520</v>
      </c>
      <c r="P29" s="38" t="s">
        <v>21</v>
      </c>
      <c r="Q29" s="11">
        <v>1</v>
      </c>
      <c r="R29" s="11">
        <v>1</v>
      </c>
      <c r="S29" s="11">
        <v>1</v>
      </c>
      <c r="T29" s="11">
        <v>1</v>
      </c>
      <c r="U29" s="11">
        <v>1</v>
      </c>
      <c r="V29" s="11">
        <v>1</v>
      </c>
      <c r="W29" s="11">
        <v>1</v>
      </c>
      <c r="X29" s="11">
        <v>1</v>
      </c>
      <c r="Y29" s="11">
        <v>1</v>
      </c>
      <c r="Z29" s="11">
        <v>1</v>
      </c>
      <c r="AA29" s="11">
        <v>1</v>
      </c>
      <c r="AB29" s="11">
        <v>1</v>
      </c>
      <c r="AC29" s="11">
        <v>1</v>
      </c>
    </row>
    <row r="30" spans="1:29" s="98" customFormat="1" ht="30" customHeight="1" x14ac:dyDescent="0.25">
      <c r="A30" s="12">
        <v>7000100511</v>
      </c>
      <c r="B30" s="12" t="s">
        <v>65</v>
      </c>
      <c r="C30" s="108" t="s">
        <v>66</v>
      </c>
      <c r="D30" s="12" t="s">
        <v>67</v>
      </c>
      <c r="E30" s="12" t="s">
        <v>68</v>
      </c>
      <c r="F30" s="56" t="s">
        <v>59</v>
      </c>
      <c r="G30" s="12" t="s">
        <v>69</v>
      </c>
      <c r="H30" s="12" t="s">
        <v>13</v>
      </c>
      <c r="I30" s="12" t="s">
        <v>14</v>
      </c>
      <c r="J30" s="12"/>
      <c r="K30" s="12"/>
      <c r="L30" s="12"/>
      <c r="M30" s="12"/>
      <c r="N30" s="12" t="s">
        <v>16</v>
      </c>
      <c r="O30" s="109" t="s">
        <v>521</v>
      </c>
      <c r="P30" s="38" t="s">
        <v>21</v>
      </c>
      <c r="Q30" s="11">
        <v>1</v>
      </c>
      <c r="R30" s="11">
        <v>1</v>
      </c>
      <c r="S30" s="11">
        <v>1</v>
      </c>
      <c r="T30" s="11">
        <v>1</v>
      </c>
      <c r="U30" s="11">
        <v>1</v>
      </c>
      <c r="V30" s="11">
        <v>1</v>
      </c>
      <c r="W30" s="11">
        <v>1</v>
      </c>
      <c r="X30" s="11">
        <v>1</v>
      </c>
      <c r="Y30" s="11">
        <v>1</v>
      </c>
      <c r="Z30" s="11">
        <v>1</v>
      </c>
      <c r="AA30" s="11">
        <v>1</v>
      </c>
      <c r="AB30" s="11">
        <v>1</v>
      </c>
      <c r="AC30" s="11">
        <v>1</v>
      </c>
    </row>
    <row r="31" spans="1:29" s="98" customFormat="1" ht="30" customHeight="1" x14ac:dyDescent="0.25">
      <c r="A31" s="12">
        <v>7000100511</v>
      </c>
      <c r="B31" s="12" t="s">
        <v>65</v>
      </c>
      <c r="C31" s="108" t="s">
        <v>66</v>
      </c>
      <c r="D31" s="12" t="s">
        <v>67</v>
      </c>
      <c r="E31" s="12" t="s">
        <v>68</v>
      </c>
      <c r="F31" s="56" t="s">
        <v>59</v>
      </c>
      <c r="G31" s="12" t="s">
        <v>69</v>
      </c>
      <c r="H31" s="12" t="s">
        <v>13</v>
      </c>
      <c r="I31" s="12" t="s">
        <v>14</v>
      </c>
      <c r="J31" s="12"/>
      <c r="K31" s="12"/>
      <c r="L31" s="12"/>
      <c r="M31" s="12"/>
      <c r="N31" s="12" t="s">
        <v>16</v>
      </c>
      <c r="O31" s="109" t="s">
        <v>522</v>
      </c>
      <c r="P31" s="38" t="s">
        <v>21</v>
      </c>
      <c r="Q31" s="11">
        <v>1</v>
      </c>
      <c r="R31" s="11">
        <v>1</v>
      </c>
      <c r="S31" s="11">
        <v>1</v>
      </c>
      <c r="T31" s="11">
        <v>1</v>
      </c>
      <c r="U31" s="11">
        <v>1</v>
      </c>
      <c r="V31" s="11">
        <v>1</v>
      </c>
      <c r="W31" s="11">
        <v>1</v>
      </c>
      <c r="X31" s="11">
        <v>1</v>
      </c>
      <c r="Y31" s="11">
        <v>1</v>
      </c>
      <c r="Z31" s="11">
        <v>1</v>
      </c>
      <c r="AA31" s="11">
        <v>1</v>
      </c>
      <c r="AB31" s="11">
        <v>1</v>
      </c>
      <c r="AC31" s="11">
        <v>1</v>
      </c>
    </row>
    <row r="32" spans="1:29" s="98" customFormat="1" ht="30" customHeight="1" x14ac:dyDescent="0.25">
      <c r="A32" s="12">
        <v>7000100511</v>
      </c>
      <c r="B32" s="12" t="s">
        <v>65</v>
      </c>
      <c r="C32" s="108" t="s">
        <v>66</v>
      </c>
      <c r="D32" s="12" t="s">
        <v>67</v>
      </c>
      <c r="E32" s="12" t="s">
        <v>68</v>
      </c>
      <c r="F32" s="56" t="s">
        <v>59</v>
      </c>
      <c r="G32" s="12" t="s">
        <v>69</v>
      </c>
      <c r="H32" s="12" t="s">
        <v>13</v>
      </c>
      <c r="I32" s="12" t="s">
        <v>14</v>
      </c>
      <c r="J32" s="12"/>
      <c r="K32" s="12"/>
      <c r="L32" s="12"/>
      <c r="M32" s="12"/>
      <c r="N32" s="12" t="s">
        <v>16</v>
      </c>
      <c r="O32" s="109" t="s">
        <v>523</v>
      </c>
      <c r="P32" s="38" t="s">
        <v>21</v>
      </c>
      <c r="Q32" s="11">
        <v>1</v>
      </c>
      <c r="R32" s="11">
        <v>1</v>
      </c>
      <c r="S32" s="11">
        <v>1</v>
      </c>
      <c r="T32" s="11">
        <v>1</v>
      </c>
      <c r="U32" s="11">
        <v>1</v>
      </c>
      <c r="V32" s="11">
        <v>1</v>
      </c>
      <c r="W32" s="11">
        <v>1</v>
      </c>
      <c r="X32" s="11">
        <v>1</v>
      </c>
      <c r="Y32" s="11">
        <v>1</v>
      </c>
      <c r="Z32" s="11">
        <v>1</v>
      </c>
      <c r="AA32" s="11">
        <v>1</v>
      </c>
      <c r="AB32" s="11">
        <v>1</v>
      </c>
      <c r="AC32" s="11">
        <v>1</v>
      </c>
    </row>
    <row r="33" spans="1:29" s="98" customFormat="1" ht="30" customHeight="1" x14ac:dyDescent="0.25">
      <c r="A33" s="12">
        <v>7000100511</v>
      </c>
      <c r="B33" s="12" t="s">
        <v>65</v>
      </c>
      <c r="C33" s="108" t="s">
        <v>66</v>
      </c>
      <c r="D33" s="12" t="s">
        <v>67</v>
      </c>
      <c r="E33" s="12" t="s">
        <v>68</v>
      </c>
      <c r="F33" s="56" t="s">
        <v>59</v>
      </c>
      <c r="G33" s="12" t="s">
        <v>69</v>
      </c>
      <c r="H33" s="12" t="s">
        <v>13</v>
      </c>
      <c r="I33" s="12" t="s">
        <v>14</v>
      </c>
      <c r="J33" s="12"/>
      <c r="K33" s="12"/>
      <c r="L33" s="12"/>
      <c r="M33" s="12"/>
      <c r="N33" s="12" t="s">
        <v>16</v>
      </c>
      <c r="O33" s="109" t="s">
        <v>524</v>
      </c>
      <c r="P33" s="38" t="s">
        <v>21</v>
      </c>
      <c r="Q33" s="11">
        <v>1</v>
      </c>
      <c r="R33" s="11">
        <v>1</v>
      </c>
      <c r="S33" s="11">
        <v>1</v>
      </c>
      <c r="T33" s="11">
        <v>1</v>
      </c>
      <c r="U33" s="11">
        <v>1</v>
      </c>
      <c r="V33" s="11">
        <v>1</v>
      </c>
      <c r="W33" s="11">
        <v>1</v>
      </c>
      <c r="X33" s="11">
        <v>1</v>
      </c>
      <c r="Y33" s="11">
        <v>1</v>
      </c>
      <c r="Z33" s="11">
        <v>1</v>
      </c>
      <c r="AA33" s="11">
        <v>1</v>
      </c>
      <c r="AB33" s="11">
        <v>1</v>
      </c>
      <c r="AC33" s="11">
        <v>1</v>
      </c>
    </row>
    <row r="34" spans="1:29" s="98" customFormat="1" ht="30" customHeight="1" x14ac:dyDescent="0.25">
      <c r="A34" s="12">
        <v>7000100511</v>
      </c>
      <c r="B34" s="12" t="s">
        <v>65</v>
      </c>
      <c r="C34" s="108" t="s">
        <v>66</v>
      </c>
      <c r="D34" s="12" t="s">
        <v>67</v>
      </c>
      <c r="E34" s="12" t="s">
        <v>68</v>
      </c>
      <c r="F34" s="56" t="s">
        <v>59</v>
      </c>
      <c r="G34" s="12" t="s">
        <v>69</v>
      </c>
      <c r="H34" s="12" t="s">
        <v>13</v>
      </c>
      <c r="I34" s="12" t="s">
        <v>14</v>
      </c>
      <c r="J34" s="12"/>
      <c r="K34" s="12"/>
      <c r="L34" s="12"/>
      <c r="M34" s="12"/>
      <c r="N34" s="12" t="s">
        <v>16</v>
      </c>
      <c r="O34" s="109" t="s">
        <v>525</v>
      </c>
      <c r="P34" s="38" t="s">
        <v>21</v>
      </c>
      <c r="Q34" s="11">
        <v>1</v>
      </c>
      <c r="R34" s="11">
        <v>1</v>
      </c>
      <c r="S34" s="11">
        <v>1</v>
      </c>
      <c r="T34" s="11">
        <v>1</v>
      </c>
      <c r="U34" s="11">
        <v>1</v>
      </c>
      <c r="V34" s="11">
        <v>1</v>
      </c>
      <c r="W34" s="11">
        <v>1</v>
      </c>
      <c r="X34" s="11">
        <v>1</v>
      </c>
      <c r="Y34" s="11">
        <v>1</v>
      </c>
      <c r="Z34" s="11">
        <v>1</v>
      </c>
      <c r="AA34" s="11">
        <v>1</v>
      </c>
      <c r="AB34" s="11">
        <v>1</v>
      </c>
      <c r="AC34" s="11">
        <v>1</v>
      </c>
    </row>
    <row r="35" spans="1:29" s="98" customFormat="1" ht="30" customHeight="1" x14ac:dyDescent="0.25">
      <c r="A35" s="12">
        <v>7000100511</v>
      </c>
      <c r="B35" s="12" t="s">
        <v>65</v>
      </c>
      <c r="C35" s="108" t="s">
        <v>66</v>
      </c>
      <c r="D35" s="12" t="s">
        <v>67</v>
      </c>
      <c r="E35" s="12" t="s">
        <v>68</v>
      </c>
      <c r="F35" s="56" t="s">
        <v>59</v>
      </c>
      <c r="G35" s="12" t="s">
        <v>69</v>
      </c>
      <c r="H35" s="12" t="s">
        <v>13</v>
      </c>
      <c r="I35" s="12" t="s">
        <v>14</v>
      </c>
      <c r="J35" s="12"/>
      <c r="K35" s="12"/>
      <c r="L35" s="12"/>
      <c r="M35" s="12"/>
      <c r="N35" s="12" t="s">
        <v>16</v>
      </c>
      <c r="O35" s="109" t="s">
        <v>526</v>
      </c>
      <c r="P35" s="38" t="s">
        <v>21</v>
      </c>
      <c r="Q35" s="11">
        <v>1</v>
      </c>
      <c r="R35" s="11">
        <v>1</v>
      </c>
      <c r="S35" s="11">
        <v>1</v>
      </c>
      <c r="T35" s="11">
        <v>1</v>
      </c>
      <c r="U35" s="11">
        <v>1</v>
      </c>
      <c r="V35" s="11">
        <v>1</v>
      </c>
      <c r="W35" s="11">
        <v>1</v>
      </c>
      <c r="X35" s="11">
        <v>1</v>
      </c>
      <c r="Y35" s="11">
        <v>1</v>
      </c>
      <c r="Z35" s="11">
        <v>1</v>
      </c>
      <c r="AA35" s="11">
        <v>1</v>
      </c>
      <c r="AB35" s="11">
        <v>1</v>
      </c>
      <c r="AC35" s="11">
        <v>1</v>
      </c>
    </row>
    <row r="36" spans="1:29" s="98" customFormat="1" ht="30" customHeight="1" x14ac:dyDescent="0.25">
      <c r="A36" s="12">
        <v>7000100511</v>
      </c>
      <c r="B36" s="12" t="s">
        <v>65</v>
      </c>
      <c r="C36" s="108" t="s">
        <v>66</v>
      </c>
      <c r="D36" s="12" t="s">
        <v>67</v>
      </c>
      <c r="E36" s="12" t="s">
        <v>68</v>
      </c>
      <c r="F36" s="56" t="s">
        <v>59</v>
      </c>
      <c r="G36" s="12" t="s">
        <v>69</v>
      </c>
      <c r="H36" s="12" t="s">
        <v>13</v>
      </c>
      <c r="I36" s="12" t="s">
        <v>14</v>
      </c>
      <c r="J36" s="12"/>
      <c r="K36" s="12"/>
      <c r="L36" s="12"/>
      <c r="M36" s="12"/>
      <c r="N36" s="12" t="s">
        <v>16</v>
      </c>
      <c r="O36" s="109" t="s">
        <v>527</v>
      </c>
      <c r="P36" s="38" t="s">
        <v>21</v>
      </c>
      <c r="Q36" s="11">
        <v>1</v>
      </c>
      <c r="R36" s="11">
        <v>1</v>
      </c>
      <c r="S36" s="11">
        <v>1</v>
      </c>
      <c r="T36" s="11">
        <v>1</v>
      </c>
      <c r="U36" s="11">
        <v>1</v>
      </c>
      <c r="V36" s="11">
        <v>1</v>
      </c>
      <c r="W36" s="11">
        <v>1</v>
      </c>
      <c r="X36" s="11">
        <v>1</v>
      </c>
      <c r="Y36" s="11">
        <v>1</v>
      </c>
      <c r="Z36" s="11">
        <v>1</v>
      </c>
      <c r="AA36" s="11">
        <v>1</v>
      </c>
      <c r="AB36" s="11">
        <v>1</v>
      </c>
      <c r="AC36" s="11">
        <v>1</v>
      </c>
    </row>
    <row r="37" spans="1:29" s="98" customFormat="1" ht="30" customHeight="1" x14ac:dyDescent="0.25">
      <c r="A37" s="12">
        <v>7000100511</v>
      </c>
      <c r="B37" s="12" t="s">
        <v>65</v>
      </c>
      <c r="C37" s="108" t="s">
        <v>66</v>
      </c>
      <c r="D37" s="12" t="s">
        <v>67</v>
      </c>
      <c r="E37" s="12" t="s">
        <v>68</v>
      </c>
      <c r="F37" s="56" t="s">
        <v>59</v>
      </c>
      <c r="G37" s="12" t="s">
        <v>69</v>
      </c>
      <c r="H37" s="12" t="s">
        <v>13</v>
      </c>
      <c r="I37" s="12" t="s">
        <v>14</v>
      </c>
      <c r="J37" s="12"/>
      <c r="K37" s="12"/>
      <c r="L37" s="12"/>
      <c r="M37" s="12"/>
      <c r="N37" s="12" t="s">
        <v>16</v>
      </c>
      <c r="O37" s="109" t="s">
        <v>528</v>
      </c>
      <c r="P37" s="38" t="s">
        <v>21</v>
      </c>
      <c r="Q37" s="11">
        <v>1</v>
      </c>
      <c r="R37" s="11">
        <v>1</v>
      </c>
      <c r="S37" s="11">
        <v>1</v>
      </c>
      <c r="T37" s="11">
        <v>1</v>
      </c>
      <c r="U37" s="11">
        <v>1</v>
      </c>
      <c r="V37" s="11">
        <v>1</v>
      </c>
      <c r="W37" s="11">
        <v>1</v>
      </c>
      <c r="X37" s="11">
        <v>1</v>
      </c>
      <c r="Y37" s="11">
        <v>1</v>
      </c>
      <c r="Z37" s="11">
        <v>1</v>
      </c>
      <c r="AA37" s="11">
        <v>1</v>
      </c>
      <c r="AB37" s="11">
        <v>1</v>
      </c>
      <c r="AC37" s="11">
        <v>1</v>
      </c>
    </row>
    <row r="38" spans="1:29" s="98" customFormat="1" ht="30" customHeight="1" x14ac:dyDescent="0.25">
      <c r="A38" s="12">
        <v>7000100511</v>
      </c>
      <c r="B38" s="12" t="s">
        <v>65</v>
      </c>
      <c r="C38" s="108" t="s">
        <v>66</v>
      </c>
      <c r="D38" s="12" t="s">
        <v>67</v>
      </c>
      <c r="E38" s="12" t="s">
        <v>68</v>
      </c>
      <c r="F38" s="56" t="s">
        <v>59</v>
      </c>
      <c r="G38" s="12" t="s">
        <v>69</v>
      </c>
      <c r="H38" s="12" t="s">
        <v>13</v>
      </c>
      <c r="I38" s="12" t="s">
        <v>14</v>
      </c>
      <c r="J38" s="12"/>
      <c r="K38" s="12"/>
      <c r="L38" s="12"/>
      <c r="M38" s="12"/>
      <c r="N38" s="12" t="s">
        <v>16</v>
      </c>
      <c r="O38" s="109" t="s">
        <v>529</v>
      </c>
      <c r="P38" s="38" t="s">
        <v>21</v>
      </c>
      <c r="Q38" s="11">
        <v>1</v>
      </c>
      <c r="R38" s="11">
        <v>1</v>
      </c>
      <c r="S38" s="11">
        <v>1</v>
      </c>
      <c r="T38" s="11">
        <v>1</v>
      </c>
      <c r="U38" s="11">
        <v>1</v>
      </c>
      <c r="V38" s="11">
        <v>1</v>
      </c>
      <c r="W38" s="11">
        <v>1</v>
      </c>
      <c r="X38" s="11">
        <v>1</v>
      </c>
      <c r="Y38" s="11">
        <v>1</v>
      </c>
      <c r="Z38" s="11">
        <v>1</v>
      </c>
      <c r="AA38" s="11">
        <v>1</v>
      </c>
      <c r="AB38" s="11">
        <v>1</v>
      </c>
      <c r="AC38" s="11">
        <v>1</v>
      </c>
    </row>
    <row r="39" spans="1:29" s="98" customFormat="1" ht="30" customHeight="1" x14ac:dyDescent="0.25">
      <c r="A39" s="12">
        <v>7000100511</v>
      </c>
      <c r="B39" s="12" t="s">
        <v>65</v>
      </c>
      <c r="C39" s="108" t="s">
        <v>66</v>
      </c>
      <c r="D39" s="12" t="s">
        <v>67</v>
      </c>
      <c r="E39" s="12" t="s">
        <v>68</v>
      </c>
      <c r="F39" s="56" t="s">
        <v>59</v>
      </c>
      <c r="G39" s="12" t="s">
        <v>69</v>
      </c>
      <c r="H39" s="12" t="s">
        <v>13</v>
      </c>
      <c r="I39" s="12" t="s">
        <v>14</v>
      </c>
      <c r="J39" s="12"/>
      <c r="K39" s="12"/>
      <c r="L39" s="12"/>
      <c r="M39" s="12"/>
      <c r="N39" s="12" t="s">
        <v>16</v>
      </c>
      <c r="O39" s="109" t="s">
        <v>530</v>
      </c>
      <c r="P39" s="38" t="s">
        <v>21</v>
      </c>
      <c r="Q39" s="11">
        <v>1</v>
      </c>
      <c r="R39" s="11">
        <v>1</v>
      </c>
      <c r="S39" s="11">
        <v>1</v>
      </c>
      <c r="T39" s="11">
        <v>1</v>
      </c>
      <c r="U39" s="11">
        <v>1</v>
      </c>
      <c r="V39" s="11">
        <v>1</v>
      </c>
      <c r="W39" s="11">
        <v>1</v>
      </c>
      <c r="X39" s="11">
        <v>1</v>
      </c>
      <c r="Y39" s="11">
        <v>1</v>
      </c>
      <c r="Z39" s="11">
        <v>1</v>
      </c>
      <c r="AA39" s="11">
        <v>1</v>
      </c>
      <c r="AB39" s="11">
        <v>1</v>
      </c>
      <c r="AC39" s="11">
        <v>1</v>
      </c>
    </row>
    <row r="40" spans="1:29" s="98" customFormat="1" ht="30" customHeight="1" x14ac:dyDescent="0.25">
      <c r="A40" s="12">
        <v>7000100511</v>
      </c>
      <c r="B40" s="12" t="s">
        <v>65</v>
      </c>
      <c r="C40" s="108" t="s">
        <v>66</v>
      </c>
      <c r="D40" s="12" t="s">
        <v>67</v>
      </c>
      <c r="E40" s="12" t="s">
        <v>68</v>
      </c>
      <c r="F40" s="56" t="s">
        <v>59</v>
      </c>
      <c r="G40" s="12" t="s">
        <v>69</v>
      </c>
      <c r="H40" s="12" t="s">
        <v>13</v>
      </c>
      <c r="I40" s="12" t="s">
        <v>14</v>
      </c>
      <c r="J40" s="12"/>
      <c r="K40" s="12"/>
      <c r="L40" s="12"/>
      <c r="M40" s="12"/>
      <c r="N40" s="12" t="s">
        <v>16</v>
      </c>
      <c r="O40" s="109" t="s">
        <v>531</v>
      </c>
      <c r="P40" s="38" t="s">
        <v>21</v>
      </c>
      <c r="Q40" s="11">
        <v>1</v>
      </c>
      <c r="R40" s="11">
        <v>1</v>
      </c>
      <c r="S40" s="11">
        <v>1</v>
      </c>
      <c r="T40" s="11">
        <v>1</v>
      </c>
      <c r="U40" s="11">
        <v>1</v>
      </c>
      <c r="V40" s="11">
        <v>1</v>
      </c>
      <c r="W40" s="11">
        <v>1</v>
      </c>
      <c r="X40" s="11">
        <v>1</v>
      </c>
      <c r="Y40" s="11">
        <v>1</v>
      </c>
      <c r="Z40" s="11">
        <v>1</v>
      </c>
      <c r="AA40" s="11">
        <v>1</v>
      </c>
      <c r="AB40" s="11">
        <v>1</v>
      </c>
      <c r="AC40" s="11">
        <v>1</v>
      </c>
    </row>
    <row r="41" spans="1:29" s="98" customFormat="1" ht="30" customHeight="1" x14ac:dyDescent="0.25">
      <c r="A41" s="12">
        <v>7000100511</v>
      </c>
      <c r="B41" s="12" t="s">
        <v>65</v>
      </c>
      <c r="C41" s="108" t="s">
        <v>66</v>
      </c>
      <c r="D41" s="12" t="s">
        <v>67</v>
      </c>
      <c r="E41" s="12" t="s">
        <v>68</v>
      </c>
      <c r="F41" s="56" t="s">
        <v>59</v>
      </c>
      <c r="G41" s="12" t="s">
        <v>69</v>
      </c>
      <c r="H41" s="12" t="s">
        <v>13</v>
      </c>
      <c r="I41" s="12" t="s">
        <v>14</v>
      </c>
      <c r="J41" s="12"/>
      <c r="K41" s="12"/>
      <c r="L41" s="12"/>
      <c r="M41" s="12"/>
      <c r="N41" s="12" t="s">
        <v>16</v>
      </c>
      <c r="O41" s="109" t="s">
        <v>536</v>
      </c>
      <c r="P41" s="38" t="s">
        <v>21</v>
      </c>
      <c r="Q41" s="11">
        <v>1</v>
      </c>
      <c r="R41" s="11">
        <v>1</v>
      </c>
      <c r="S41" s="11">
        <v>1</v>
      </c>
      <c r="T41" s="11">
        <v>1</v>
      </c>
      <c r="U41" s="11">
        <v>1</v>
      </c>
      <c r="V41" s="11">
        <v>1</v>
      </c>
      <c r="W41" s="11">
        <v>1</v>
      </c>
      <c r="X41" s="11">
        <v>1</v>
      </c>
      <c r="Y41" s="11">
        <v>1</v>
      </c>
      <c r="Z41" s="11">
        <v>1</v>
      </c>
      <c r="AA41" s="11">
        <v>1</v>
      </c>
      <c r="AB41" s="11">
        <v>1</v>
      </c>
      <c r="AC41" s="11">
        <v>1</v>
      </c>
    </row>
    <row r="42" spans="1:29" s="98" customFormat="1" ht="30" customHeight="1" x14ac:dyDescent="0.25">
      <c r="A42" s="12">
        <v>7000100511</v>
      </c>
      <c r="B42" s="12" t="s">
        <v>65</v>
      </c>
      <c r="C42" s="108" t="s">
        <v>66</v>
      </c>
      <c r="D42" s="12" t="s">
        <v>67</v>
      </c>
      <c r="E42" s="12" t="s">
        <v>68</v>
      </c>
      <c r="F42" s="56" t="s">
        <v>59</v>
      </c>
      <c r="G42" s="12" t="s">
        <v>69</v>
      </c>
      <c r="H42" s="12" t="s">
        <v>13</v>
      </c>
      <c r="I42" s="12" t="s">
        <v>14</v>
      </c>
      <c r="J42" s="12"/>
      <c r="K42" s="12"/>
      <c r="L42" s="12"/>
      <c r="M42" s="12"/>
      <c r="N42" s="12" t="s">
        <v>16</v>
      </c>
      <c r="O42" s="109" t="s">
        <v>535</v>
      </c>
      <c r="P42" s="38" t="s">
        <v>21</v>
      </c>
      <c r="Q42" s="11">
        <v>1</v>
      </c>
      <c r="R42" s="11">
        <v>1</v>
      </c>
      <c r="S42" s="11">
        <v>1</v>
      </c>
      <c r="T42" s="11">
        <v>1</v>
      </c>
      <c r="U42" s="11">
        <v>1</v>
      </c>
      <c r="V42" s="11">
        <v>1</v>
      </c>
      <c r="W42" s="11">
        <v>1</v>
      </c>
      <c r="X42" s="11">
        <v>1</v>
      </c>
      <c r="Y42" s="11">
        <v>1</v>
      </c>
      <c r="Z42" s="11">
        <v>1</v>
      </c>
      <c r="AA42" s="11">
        <v>1</v>
      </c>
      <c r="AB42" s="11">
        <v>1</v>
      </c>
      <c r="AC42" s="11">
        <v>1</v>
      </c>
    </row>
    <row r="43" spans="1:29" s="98" customFormat="1" ht="30" customHeight="1" x14ac:dyDescent="0.25">
      <c r="A43" s="12">
        <v>7000100511</v>
      </c>
      <c r="B43" s="12" t="s">
        <v>65</v>
      </c>
      <c r="C43" s="108" t="s">
        <v>66</v>
      </c>
      <c r="D43" s="12" t="s">
        <v>67</v>
      </c>
      <c r="E43" s="12" t="s">
        <v>68</v>
      </c>
      <c r="F43" s="56" t="s">
        <v>59</v>
      </c>
      <c r="G43" s="12" t="s">
        <v>69</v>
      </c>
      <c r="H43" s="12" t="s">
        <v>13</v>
      </c>
      <c r="I43" s="12" t="s">
        <v>14</v>
      </c>
      <c r="J43" s="12"/>
      <c r="K43" s="12"/>
      <c r="L43" s="12"/>
      <c r="M43" s="12"/>
      <c r="N43" s="12" t="s">
        <v>16</v>
      </c>
      <c r="O43" s="109" t="s">
        <v>533</v>
      </c>
      <c r="P43" s="38" t="s">
        <v>21</v>
      </c>
      <c r="Q43" s="11">
        <v>1</v>
      </c>
      <c r="R43" s="11">
        <v>1</v>
      </c>
      <c r="S43" s="11">
        <v>1</v>
      </c>
      <c r="T43" s="11">
        <v>1</v>
      </c>
      <c r="U43" s="11">
        <v>1</v>
      </c>
      <c r="V43" s="11">
        <v>1</v>
      </c>
      <c r="W43" s="11">
        <v>1</v>
      </c>
      <c r="X43" s="11">
        <v>1</v>
      </c>
      <c r="Y43" s="11">
        <v>1</v>
      </c>
      <c r="Z43" s="11">
        <v>1</v>
      </c>
      <c r="AA43" s="11">
        <v>1</v>
      </c>
      <c r="AB43" s="11">
        <v>1</v>
      </c>
      <c r="AC43" s="11">
        <v>1</v>
      </c>
    </row>
    <row r="44" spans="1:29" s="98" customFormat="1" ht="30" customHeight="1" x14ac:dyDescent="0.25">
      <c r="A44" s="12">
        <v>7000100511</v>
      </c>
      <c r="B44" s="12" t="s">
        <v>65</v>
      </c>
      <c r="C44" s="108" t="s">
        <v>66</v>
      </c>
      <c r="D44" s="12" t="s">
        <v>67</v>
      </c>
      <c r="E44" s="12" t="s">
        <v>68</v>
      </c>
      <c r="F44" s="56" t="s">
        <v>59</v>
      </c>
      <c r="G44" s="12" t="s">
        <v>69</v>
      </c>
      <c r="H44" s="12" t="s">
        <v>13</v>
      </c>
      <c r="I44" s="12" t="s">
        <v>14</v>
      </c>
      <c r="J44" s="12"/>
      <c r="K44" s="12"/>
      <c r="L44" s="12"/>
      <c r="M44" s="12"/>
      <c r="N44" s="12" t="s">
        <v>16</v>
      </c>
      <c r="O44" s="109" t="s">
        <v>534</v>
      </c>
      <c r="P44" s="38" t="s">
        <v>21</v>
      </c>
      <c r="Q44" s="11">
        <v>1</v>
      </c>
      <c r="R44" s="11">
        <v>1</v>
      </c>
      <c r="S44" s="11">
        <v>1</v>
      </c>
      <c r="T44" s="11">
        <v>1</v>
      </c>
      <c r="U44" s="11">
        <v>1</v>
      </c>
      <c r="V44" s="11">
        <v>1</v>
      </c>
      <c r="W44" s="11">
        <v>1</v>
      </c>
      <c r="X44" s="11">
        <v>1</v>
      </c>
      <c r="Y44" s="11">
        <v>1</v>
      </c>
      <c r="Z44" s="11">
        <v>1</v>
      </c>
      <c r="AA44" s="11">
        <v>1</v>
      </c>
      <c r="AB44" s="11">
        <v>1</v>
      </c>
      <c r="AC44" s="11">
        <v>1</v>
      </c>
    </row>
    <row r="45" spans="1:29" s="98" customFormat="1" ht="30" customHeight="1" x14ac:dyDescent="0.25">
      <c r="A45" s="12">
        <v>7000100511</v>
      </c>
      <c r="B45" s="12" t="s">
        <v>65</v>
      </c>
      <c r="C45" s="108" t="s">
        <v>66</v>
      </c>
      <c r="D45" s="12" t="s">
        <v>67</v>
      </c>
      <c r="E45" s="12" t="s">
        <v>68</v>
      </c>
      <c r="F45" s="56" t="s">
        <v>59</v>
      </c>
      <c r="G45" s="12" t="s">
        <v>69</v>
      </c>
      <c r="H45" s="12" t="s">
        <v>13</v>
      </c>
      <c r="I45" s="12" t="s">
        <v>14</v>
      </c>
      <c r="J45" s="12"/>
      <c r="K45" s="12"/>
      <c r="L45" s="12"/>
      <c r="M45" s="12"/>
      <c r="N45" s="12" t="s">
        <v>16</v>
      </c>
      <c r="O45" s="109" t="s">
        <v>532</v>
      </c>
      <c r="P45" s="38" t="s">
        <v>21</v>
      </c>
      <c r="Q45" s="11">
        <v>1</v>
      </c>
      <c r="R45" s="11">
        <v>1</v>
      </c>
      <c r="S45" s="11">
        <v>1</v>
      </c>
      <c r="T45" s="11">
        <v>1</v>
      </c>
      <c r="U45" s="11">
        <v>1</v>
      </c>
      <c r="V45" s="11">
        <v>1</v>
      </c>
      <c r="W45" s="11">
        <v>1</v>
      </c>
      <c r="X45" s="11">
        <v>1</v>
      </c>
      <c r="Y45" s="11">
        <v>1</v>
      </c>
      <c r="Z45" s="11">
        <v>1</v>
      </c>
      <c r="AA45" s="11">
        <v>1</v>
      </c>
      <c r="AB45" s="11">
        <v>1</v>
      </c>
      <c r="AC45" s="11">
        <v>1</v>
      </c>
    </row>
  </sheetData>
  <hyperlinks>
    <hyperlink ref="C3" r:id="rId1" xr:uid="{547C2B79-E9AF-4A20-B6E6-AAB024A48E51}"/>
    <hyperlink ref="C4" r:id="rId2" xr:uid="{AED9E183-3E04-422E-ABD5-F19BF147ABD4}"/>
    <hyperlink ref="C5" r:id="rId3" xr:uid="{5C7E6495-A9B7-4EA6-9A45-995D3891E65F}"/>
    <hyperlink ref="C6" r:id="rId4" xr:uid="{321D36AD-50B3-4CC5-8EF7-14AC2B8548FF}"/>
    <hyperlink ref="C7" r:id="rId5" xr:uid="{A1B839F9-4447-480E-A374-B84F2C28D49C}"/>
    <hyperlink ref="C9" r:id="rId6" xr:uid="{76575507-137B-4BDD-A862-F97062EDD360}"/>
    <hyperlink ref="C10" r:id="rId7" xr:uid="{DE73807B-97E5-433E-A67D-FB72EBCA33AA}"/>
    <hyperlink ref="C11" r:id="rId8" xr:uid="{5BEF170A-B05C-4E10-BBBD-EE718024F35B}"/>
    <hyperlink ref="C12" r:id="rId9" xr:uid="{C0804FDA-6E24-47CB-B6C8-83851F53ED5C}"/>
    <hyperlink ref="C13" r:id="rId10" xr:uid="{40C2554E-FDC3-4CA3-911B-9469DA8C178B}"/>
    <hyperlink ref="C14" r:id="rId11" xr:uid="{66426DF3-EA7F-48D1-831D-6BA399C54BA7}"/>
    <hyperlink ref="C15" r:id="rId12" xr:uid="{7A65F4DC-22B4-4484-A202-772E258908CD}"/>
    <hyperlink ref="C16" r:id="rId13" xr:uid="{DE560956-2C21-4F0E-A994-E79182123961}"/>
    <hyperlink ref="C17" r:id="rId14" xr:uid="{99A6228E-34CC-4DFF-BB18-7D8348A448B5}"/>
    <hyperlink ref="C18" r:id="rId15" xr:uid="{FF69F118-438C-423A-B8AC-3F89253044B4}"/>
    <hyperlink ref="C19" r:id="rId16" xr:uid="{6AF5B744-F289-4870-A4E9-4AA61C2F74D4}"/>
    <hyperlink ref="C20" r:id="rId17" xr:uid="{845BEB0A-0829-434D-A255-0AFF524D3454}"/>
    <hyperlink ref="C21" r:id="rId18" xr:uid="{67DA7401-1C76-445B-80E3-6C91968A463F}"/>
    <hyperlink ref="C22" r:id="rId19" xr:uid="{66241079-8ACE-4FD7-A676-500DF4E22B56}"/>
    <hyperlink ref="C23" r:id="rId20" xr:uid="{29BC2F7F-6620-43AF-A343-2BCC6A8212D8}"/>
    <hyperlink ref="C24" r:id="rId21" xr:uid="{BB9EC5B4-C6CA-4AF5-A274-1BF57F4F5AF1}"/>
    <hyperlink ref="C25" r:id="rId22" xr:uid="{C516340D-2A64-4B4A-92E4-35EE90581CA7}"/>
    <hyperlink ref="C26" r:id="rId23" xr:uid="{8A15D01C-5EC9-4DE5-92B1-B1AA217C6499}"/>
    <hyperlink ref="C27" r:id="rId24" xr:uid="{A9F8B6E7-2A39-4CA8-BD4E-EC3BC49381D9}"/>
    <hyperlink ref="C28" r:id="rId25" xr:uid="{34C1E5F9-8A5B-4F8A-B29B-8A82CB86D131}"/>
    <hyperlink ref="C29" r:id="rId26" xr:uid="{1FC0FCD2-D35B-414C-81EE-78D840AA619D}"/>
    <hyperlink ref="C30" r:id="rId27" xr:uid="{289CCA81-E7D1-47BB-B0B9-8287D00B286A}"/>
    <hyperlink ref="C31" r:id="rId28" xr:uid="{92E9C9C8-F9B9-460C-ACDB-240BF0DBC259}"/>
    <hyperlink ref="C32" r:id="rId29" xr:uid="{51A01247-166A-441C-8C0D-B96466C899A5}"/>
    <hyperlink ref="C33" r:id="rId30" xr:uid="{23AB4817-1F4A-48B4-997E-6F6CE4615377}"/>
    <hyperlink ref="C34" r:id="rId31" xr:uid="{69A478A5-00FC-4021-AB59-E6C2A8C0D498}"/>
    <hyperlink ref="C35" r:id="rId32" xr:uid="{7A914426-B4FE-46A8-B09F-625A968D696A}"/>
    <hyperlink ref="C36" r:id="rId33" xr:uid="{365818BC-C0C6-4AFE-A0CC-1527A1D8C8FB}"/>
    <hyperlink ref="C37" r:id="rId34" xr:uid="{AB73CD40-76E6-4E24-A213-883661FD2FCE}"/>
    <hyperlink ref="C38" r:id="rId35" xr:uid="{335155E1-F936-4941-BE50-CA208142075B}"/>
    <hyperlink ref="C39" r:id="rId36" xr:uid="{75A76E04-4ED7-4261-B93E-9B1BEC2EA66D}"/>
    <hyperlink ref="C40" r:id="rId37" xr:uid="{2A26C480-B143-4E6C-A27B-2BCC1C963AB1}"/>
    <hyperlink ref="C41" r:id="rId38" xr:uid="{03DEB8F5-29DD-4298-95F0-0A4141E9D351}"/>
    <hyperlink ref="C42" r:id="rId39" xr:uid="{E8294961-D419-43F6-895D-076665FCF87E}"/>
    <hyperlink ref="C43" r:id="rId40" xr:uid="{5FEECE6C-B710-4516-86E4-0BCDBD3C5AAD}"/>
    <hyperlink ref="C44" r:id="rId41" xr:uid="{128F8EAB-F173-40BB-AD30-C26EA8CE8B71}"/>
    <hyperlink ref="C45" r:id="rId42" xr:uid="{09FBDD03-AEDA-46B0-B9AD-C55F784820CA}"/>
    <hyperlink ref="C8" r:id="rId43" xr:uid="{886A27AF-B744-4D20-A188-9FC6B3C889F4}"/>
    <hyperlink ref="C2" r:id="rId44" xr:uid="{999B6C1F-7A2C-4E47-9D7B-845D8592FCC4}"/>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3D933-4172-405F-97ED-E63EE1FBD746}">
  <dimension ref="A1:AC31"/>
  <sheetViews>
    <sheetView topLeftCell="E1" workbookViewId="0">
      <selection activeCell="F2" sqref="F2"/>
    </sheetView>
  </sheetViews>
  <sheetFormatPr defaultRowHeight="13.8" x14ac:dyDescent="0.25"/>
  <cols>
    <col min="1" max="1" width="13.33203125" style="111" customWidth="1"/>
    <col min="2" max="2" width="20.5546875" style="111" customWidth="1"/>
    <col min="3" max="3" width="40.33203125" style="111" bestFit="1" customWidth="1"/>
    <col min="4" max="4" width="11.5546875" style="111" customWidth="1"/>
    <col min="5" max="5" width="9.6640625" style="111" customWidth="1"/>
    <col min="6" max="6" width="12.5546875" style="111" customWidth="1"/>
    <col min="7" max="7" width="15.44140625" style="111" customWidth="1"/>
    <col min="8" max="8" width="10.21875" style="111" customWidth="1"/>
    <col min="9" max="9" width="18.77734375" style="111" bestFit="1" customWidth="1"/>
    <col min="10" max="13" width="11.44140625" style="111" bestFit="1" customWidth="1"/>
    <col min="14" max="14" width="14.5546875" style="111" bestFit="1" customWidth="1"/>
    <col min="15" max="15" width="72" style="115" customWidth="1"/>
    <col min="16" max="16" width="21.77734375" style="111" bestFit="1" customWidth="1"/>
    <col min="17" max="17" width="14.109375" style="111" bestFit="1" customWidth="1"/>
    <col min="18" max="24" width="8.88671875" style="111"/>
    <col min="25" max="29" width="11.44140625" style="111" customWidth="1"/>
    <col min="30" max="16384" width="8.88671875" style="111"/>
  </cols>
  <sheetData>
    <row r="1" spans="1:29" ht="27.6" x14ac:dyDescent="0.25">
      <c r="A1" s="35" t="s">
        <v>123</v>
      </c>
      <c r="B1" s="58" t="s">
        <v>1</v>
      </c>
      <c r="C1" s="35" t="s">
        <v>2</v>
      </c>
      <c r="D1" s="58" t="s">
        <v>3</v>
      </c>
      <c r="E1" s="35" t="s">
        <v>4</v>
      </c>
      <c r="F1" s="35" t="s">
        <v>5</v>
      </c>
      <c r="G1" s="35" t="s">
        <v>6</v>
      </c>
      <c r="H1" s="35" t="s">
        <v>7</v>
      </c>
      <c r="I1" s="58" t="s">
        <v>8</v>
      </c>
      <c r="J1" s="35" t="s">
        <v>9</v>
      </c>
      <c r="K1" s="35" t="s">
        <v>10</v>
      </c>
      <c r="L1" s="35" t="s">
        <v>126</v>
      </c>
      <c r="M1" s="35" t="s">
        <v>127</v>
      </c>
      <c r="N1" s="35"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30" customHeight="1" x14ac:dyDescent="0.25">
      <c r="A2" s="36" t="s">
        <v>571</v>
      </c>
      <c r="B2" s="56" t="s">
        <v>567</v>
      </c>
      <c r="C2" s="43" t="s">
        <v>568</v>
      </c>
      <c r="D2" s="56" t="s">
        <v>569</v>
      </c>
      <c r="E2" s="56" t="s">
        <v>234</v>
      </c>
      <c r="F2" s="56" t="s">
        <v>59</v>
      </c>
      <c r="G2" s="56" t="s">
        <v>570</v>
      </c>
      <c r="H2" s="56" t="s">
        <v>67</v>
      </c>
      <c r="I2" s="56" t="s">
        <v>65</v>
      </c>
      <c r="J2" s="56"/>
      <c r="K2" s="56"/>
      <c r="L2" s="56"/>
      <c r="M2" s="56"/>
      <c r="N2" s="56" t="s">
        <v>16</v>
      </c>
      <c r="O2" s="114" t="s">
        <v>537</v>
      </c>
      <c r="P2" s="12" t="s">
        <v>21</v>
      </c>
      <c r="Q2" s="96">
        <v>1</v>
      </c>
      <c r="R2" s="96">
        <v>1</v>
      </c>
      <c r="S2" s="96">
        <v>1</v>
      </c>
      <c r="T2" s="96">
        <v>1</v>
      </c>
      <c r="U2" s="96">
        <v>1</v>
      </c>
      <c r="V2" s="96">
        <v>1</v>
      </c>
      <c r="W2" s="96">
        <v>1</v>
      </c>
      <c r="X2" s="96">
        <v>1</v>
      </c>
      <c r="Y2" s="96">
        <v>1</v>
      </c>
      <c r="Z2" s="96">
        <v>1</v>
      </c>
      <c r="AA2" s="96">
        <v>1</v>
      </c>
      <c r="AB2" s="96">
        <v>1</v>
      </c>
      <c r="AC2" s="96">
        <v>1</v>
      </c>
    </row>
    <row r="3" spans="1:29" ht="30" customHeight="1" x14ac:dyDescent="0.25">
      <c r="A3" s="36" t="s">
        <v>571</v>
      </c>
      <c r="B3" s="56" t="s">
        <v>567</v>
      </c>
      <c r="C3" s="43" t="s">
        <v>568</v>
      </c>
      <c r="D3" s="56" t="s">
        <v>569</v>
      </c>
      <c r="E3" s="56" t="s">
        <v>234</v>
      </c>
      <c r="F3" s="56" t="s">
        <v>59</v>
      </c>
      <c r="G3" s="56" t="s">
        <v>570</v>
      </c>
      <c r="H3" s="56" t="s">
        <v>67</v>
      </c>
      <c r="I3" s="56" t="s">
        <v>65</v>
      </c>
      <c r="J3" s="56"/>
      <c r="K3" s="56"/>
      <c r="L3" s="56"/>
      <c r="M3" s="56"/>
      <c r="N3" s="56" t="s">
        <v>16</v>
      </c>
      <c r="O3" s="114" t="s">
        <v>538</v>
      </c>
      <c r="P3" s="12" t="s">
        <v>21</v>
      </c>
      <c r="Q3" s="96">
        <v>1</v>
      </c>
      <c r="R3" s="96">
        <v>1</v>
      </c>
      <c r="S3" s="96">
        <v>1</v>
      </c>
      <c r="T3" s="96">
        <v>1</v>
      </c>
      <c r="U3" s="96">
        <v>1</v>
      </c>
      <c r="V3" s="96">
        <v>1</v>
      </c>
      <c r="W3" s="96">
        <v>1</v>
      </c>
      <c r="X3" s="96">
        <v>1</v>
      </c>
      <c r="Y3" s="96">
        <v>1</v>
      </c>
      <c r="Z3" s="96">
        <v>1</v>
      </c>
      <c r="AA3" s="96">
        <v>1</v>
      </c>
      <c r="AB3" s="96">
        <v>1</v>
      </c>
      <c r="AC3" s="96">
        <v>1</v>
      </c>
    </row>
    <row r="4" spans="1:29" ht="30" customHeight="1" x14ac:dyDescent="0.25">
      <c r="A4" s="36" t="s">
        <v>571</v>
      </c>
      <c r="B4" s="56" t="s">
        <v>567</v>
      </c>
      <c r="C4" s="43" t="s">
        <v>568</v>
      </c>
      <c r="D4" s="56" t="s">
        <v>569</v>
      </c>
      <c r="E4" s="56" t="s">
        <v>234</v>
      </c>
      <c r="F4" s="56" t="s">
        <v>59</v>
      </c>
      <c r="G4" s="56" t="s">
        <v>570</v>
      </c>
      <c r="H4" s="56" t="s">
        <v>67</v>
      </c>
      <c r="I4" s="56" t="s">
        <v>65</v>
      </c>
      <c r="J4" s="56"/>
      <c r="K4" s="56"/>
      <c r="L4" s="56"/>
      <c r="M4" s="56"/>
      <c r="N4" s="56" t="s">
        <v>16</v>
      </c>
      <c r="O4" s="114" t="s">
        <v>539</v>
      </c>
      <c r="P4" s="12" t="s">
        <v>21</v>
      </c>
      <c r="Q4" s="96">
        <v>1</v>
      </c>
      <c r="R4" s="96">
        <v>1</v>
      </c>
      <c r="S4" s="96">
        <v>1</v>
      </c>
      <c r="T4" s="96">
        <v>1</v>
      </c>
      <c r="U4" s="96">
        <v>1</v>
      </c>
      <c r="V4" s="96">
        <v>1</v>
      </c>
      <c r="W4" s="96">
        <v>1</v>
      </c>
      <c r="X4" s="96">
        <v>1</v>
      </c>
      <c r="Y4" s="96">
        <v>1</v>
      </c>
      <c r="Z4" s="96">
        <v>1</v>
      </c>
      <c r="AA4" s="96">
        <v>1</v>
      </c>
      <c r="AB4" s="96">
        <v>1</v>
      </c>
      <c r="AC4" s="96">
        <v>1</v>
      </c>
    </row>
    <row r="5" spans="1:29" ht="30" customHeight="1" x14ac:dyDescent="0.25">
      <c r="A5" s="36" t="s">
        <v>571</v>
      </c>
      <c r="B5" s="56" t="s">
        <v>567</v>
      </c>
      <c r="C5" s="43" t="s">
        <v>568</v>
      </c>
      <c r="D5" s="56" t="s">
        <v>569</v>
      </c>
      <c r="E5" s="56" t="s">
        <v>234</v>
      </c>
      <c r="F5" s="56" t="s">
        <v>59</v>
      </c>
      <c r="G5" s="56" t="s">
        <v>570</v>
      </c>
      <c r="H5" s="56" t="s">
        <v>67</v>
      </c>
      <c r="I5" s="56" t="s">
        <v>65</v>
      </c>
      <c r="J5" s="56"/>
      <c r="K5" s="56"/>
      <c r="L5" s="56"/>
      <c r="M5" s="56"/>
      <c r="N5" s="56" t="s">
        <v>16</v>
      </c>
      <c r="O5" s="114" t="s">
        <v>540</v>
      </c>
      <c r="P5" s="12" t="s">
        <v>21</v>
      </c>
      <c r="Q5" s="96">
        <v>1</v>
      </c>
      <c r="R5" s="96">
        <v>1</v>
      </c>
      <c r="S5" s="96">
        <v>1</v>
      </c>
      <c r="T5" s="96">
        <v>1</v>
      </c>
      <c r="U5" s="96">
        <v>1</v>
      </c>
      <c r="V5" s="96">
        <v>1</v>
      </c>
      <c r="W5" s="96">
        <v>1</v>
      </c>
      <c r="X5" s="96">
        <v>1</v>
      </c>
      <c r="Y5" s="96">
        <v>1</v>
      </c>
      <c r="Z5" s="96">
        <v>1</v>
      </c>
      <c r="AA5" s="96">
        <v>1</v>
      </c>
      <c r="AB5" s="96">
        <v>1</v>
      </c>
      <c r="AC5" s="96">
        <v>1</v>
      </c>
    </row>
    <row r="6" spans="1:29" ht="30" customHeight="1" x14ac:dyDescent="0.25">
      <c r="A6" s="36" t="s">
        <v>571</v>
      </c>
      <c r="B6" s="56" t="s">
        <v>567</v>
      </c>
      <c r="C6" s="43" t="s">
        <v>568</v>
      </c>
      <c r="D6" s="56" t="s">
        <v>569</v>
      </c>
      <c r="E6" s="56" t="s">
        <v>234</v>
      </c>
      <c r="F6" s="56" t="s">
        <v>59</v>
      </c>
      <c r="G6" s="56" t="s">
        <v>570</v>
      </c>
      <c r="H6" s="56" t="s">
        <v>67</v>
      </c>
      <c r="I6" s="56" t="s">
        <v>65</v>
      </c>
      <c r="J6" s="56"/>
      <c r="K6" s="56"/>
      <c r="L6" s="56"/>
      <c r="M6" s="56"/>
      <c r="N6" s="56" t="s">
        <v>16</v>
      </c>
      <c r="O6" s="114" t="s">
        <v>541</v>
      </c>
      <c r="P6" s="12" t="s">
        <v>21</v>
      </c>
      <c r="Q6" s="96">
        <v>1</v>
      </c>
      <c r="R6" s="96">
        <v>1</v>
      </c>
      <c r="S6" s="96">
        <v>1</v>
      </c>
      <c r="T6" s="96">
        <v>1</v>
      </c>
      <c r="U6" s="96">
        <v>1</v>
      </c>
      <c r="V6" s="96">
        <v>1</v>
      </c>
      <c r="W6" s="96">
        <v>1</v>
      </c>
      <c r="X6" s="96">
        <v>1</v>
      </c>
      <c r="Y6" s="96">
        <v>1</v>
      </c>
      <c r="Z6" s="96">
        <v>1</v>
      </c>
      <c r="AA6" s="96">
        <v>1</v>
      </c>
      <c r="AB6" s="96">
        <v>1</v>
      </c>
      <c r="AC6" s="96">
        <v>1</v>
      </c>
    </row>
    <row r="7" spans="1:29" ht="30" customHeight="1" x14ac:dyDescent="0.25">
      <c r="A7" s="36" t="s">
        <v>571</v>
      </c>
      <c r="B7" s="56" t="s">
        <v>567</v>
      </c>
      <c r="C7" s="43" t="s">
        <v>568</v>
      </c>
      <c r="D7" s="56" t="s">
        <v>569</v>
      </c>
      <c r="E7" s="56" t="s">
        <v>234</v>
      </c>
      <c r="F7" s="56" t="s">
        <v>59</v>
      </c>
      <c r="G7" s="56" t="s">
        <v>570</v>
      </c>
      <c r="H7" s="56" t="s">
        <v>67</v>
      </c>
      <c r="I7" s="56" t="s">
        <v>65</v>
      </c>
      <c r="J7" s="56"/>
      <c r="K7" s="56"/>
      <c r="L7" s="56"/>
      <c r="M7" s="56"/>
      <c r="N7" s="56" t="s">
        <v>16</v>
      </c>
      <c r="O7" s="114" t="s">
        <v>542</v>
      </c>
      <c r="P7" s="12" t="s">
        <v>21</v>
      </c>
      <c r="Q7" s="96">
        <v>1</v>
      </c>
      <c r="R7" s="96">
        <v>1</v>
      </c>
      <c r="S7" s="96">
        <v>1</v>
      </c>
      <c r="T7" s="96">
        <v>1</v>
      </c>
      <c r="U7" s="96">
        <v>1</v>
      </c>
      <c r="V7" s="96">
        <v>1</v>
      </c>
      <c r="W7" s="96">
        <v>1</v>
      </c>
      <c r="X7" s="96">
        <v>1</v>
      </c>
      <c r="Y7" s="96">
        <v>1</v>
      </c>
      <c r="Z7" s="96">
        <v>1</v>
      </c>
      <c r="AA7" s="96">
        <v>1</v>
      </c>
      <c r="AB7" s="96">
        <v>1</v>
      </c>
      <c r="AC7" s="96">
        <v>1</v>
      </c>
    </row>
    <row r="8" spans="1:29" ht="30" customHeight="1" x14ac:dyDescent="0.25">
      <c r="A8" s="36" t="s">
        <v>571</v>
      </c>
      <c r="B8" s="56" t="s">
        <v>567</v>
      </c>
      <c r="C8" s="43" t="s">
        <v>568</v>
      </c>
      <c r="D8" s="56" t="s">
        <v>569</v>
      </c>
      <c r="E8" s="56" t="s">
        <v>234</v>
      </c>
      <c r="F8" s="56" t="s">
        <v>59</v>
      </c>
      <c r="G8" s="56" t="s">
        <v>570</v>
      </c>
      <c r="H8" s="56" t="s">
        <v>67</v>
      </c>
      <c r="I8" s="56" t="s">
        <v>65</v>
      </c>
      <c r="J8" s="56"/>
      <c r="K8" s="56"/>
      <c r="L8" s="56"/>
      <c r="M8" s="56"/>
      <c r="N8" s="56" t="s">
        <v>16</v>
      </c>
      <c r="O8" s="114" t="s">
        <v>543</v>
      </c>
      <c r="P8" s="12" t="s">
        <v>21</v>
      </c>
      <c r="Q8" s="96">
        <v>1</v>
      </c>
      <c r="R8" s="96">
        <v>1</v>
      </c>
      <c r="S8" s="96">
        <v>1</v>
      </c>
      <c r="T8" s="96">
        <v>1</v>
      </c>
      <c r="U8" s="96">
        <v>1</v>
      </c>
      <c r="V8" s="96">
        <v>1</v>
      </c>
      <c r="W8" s="96">
        <v>1</v>
      </c>
      <c r="X8" s="96">
        <v>1</v>
      </c>
      <c r="Y8" s="96">
        <v>1</v>
      </c>
      <c r="Z8" s="96">
        <v>1</v>
      </c>
      <c r="AA8" s="96">
        <v>1</v>
      </c>
      <c r="AB8" s="96">
        <v>1</v>
      </c>
      <c r="AC8" s="96">
        <v>1</v>
      </c>
    </row>
    <row r="9" spans="1:29" ht="30" customHeight="1" x14ac:dyDescent="0.25">
      <c r="A9" s="36" t="s">
        <v>571</v>
      </c>
      <c r="B9" s="56" t="s">
        <v>567</v>
      </c>
      <c r="C9" s="43" t="s">
        <v>568</v>
      </c>
      <c r="D9" s="56" t="s">
        <v>569</v>
      </c>
      <c r="E9" s="56" t="s">
        <v>234</v>
      </c>
      <c r="F9" s="56" t="s">
        <v>59</v>
      </c>
      <c r="G9" s="56" t="s">
        <v>570</v>
      </c>
      <c r="H9" s="56" t="s">
        <v>67</v>
      </c>
      <c r="I9" s="56" t="s">
        <v>65</v>
      </c>
      <c r="J9" s="56"/>
      <c r="K9" s="56"/>
      <c r="L9" s="56"/>
      <c r="M9" s="56"/>
      <c r="N9" s="56" t="s">
        <v>16</v>
      </c>
      <c r="O9" s="114" t="s">
        <v>544</v>
      </c>
      <c r="P9" s="12" t="s">
        <v>21</v>
      </c>
      <c r="Q9" s="96">
        <v>1</v>
      </c>
      <c r="R9" s="96">
        <v>1</v>
      </c>
      <c r="S9" s="96">
        <v>1</v>
      </c>
      <c r="T9" s="96">
        <v>1</v>
      </c>
      <c r="U9" s="96">
        <v>1</v>
      </c>
      <c r="V9" s="96">
        <v>1</v>
      </c>
      <c r="W9" s="96">
        <v>1</v>
      </c>
      <c r="X9" s="96">
        <v>1</v>
      </c>
      <c r="Y9" s="96">
        <v>1</v>
      </c>
      <c r="Z9" s="96">
        <v>1</v>
      </c>
      <c r="AA9" s="96">
        <v>1</v>
      </c>
      <c r="AB9" s="96">
        <v>1</v>
      </c>
      <c r="AC9" s="96">
        <v>1</v>
      </c>
    </row>
    <row r="10" spans="1:29" ht="30" customHeight="1" x14ac:dyDescent="0.25">
      <c r="A10" s="36" t="s">
        <v>571</v>
      </c>
      <c r="B10" s="56" t="s">
        <v>567</v>
      </c>
      <c r="C10" s="43" t="s">
        <v>568</v>
      </c>
      <c r="D10" s="56" t="s">
        <v>569</v>
      </c>
      <c r="E10" s="56" t="s">
        <v>234</v>
      </c>
      <c r="F10" s="56" t="s">
        <v>59</v>
      </c>
      <c r="G10" s="56" t="s">
        <v>570</v>
      </c>
      <c r="H10" s="56" t="s">
        <v>67</v>
      </c>
      <c r="I10" s="56" t="s">
        <v>65</v>
      </c>
      <c r="J10" s="56"/>
      <c r="K10" s="56"/>
      <c r="L10" s="56"/>
      <c r="M10" s="56"/>
      <c r="N10" s="56" t="s">
        <v>16</v>
      </c>
      <c r="O10" s="114" t="s">
        <v>545</v>
      </c>
      <c r="P10" s="12" t="s">
        <v>21</v>
      </c>
      <c r="Q10" s="96">
        <v>1</v>
      </c>
      <c r="R10" s="96">
        <v>1</v>
      </c>
      <c r="S10" s="96">
        <v>1</v>
      </c>
      <c r="T10" s="96">
        <v>1</v>
      </c>
      <c r="U10" s="96">
        <v>1</v>
      </c>
      <c r="V10" s="96">
        <v>1</v>
      </c>
      <c r="W10" s="96">
        <v>1</v>
      </c>
      <c r="X10" s="96">
        <v>1</v>
      </c>
      <c r="Y10" s="96">
        <v>1</v>
      </c>
      <c r="Z10" s="96">
        <v>1</v>
      </c>
      <c r="AA10" s="96">
        <v>1</v>
      </c>
      <c r="AB10" s="96">
        <v>1</v>
      </c>
      <c r="AC10" s="96">
        <v>1</v>
      </c>
    </row>
    <row r="11" spans="1:29" ht="30" customHeight="1" x14ac:dyDescent="0.25">
      <c r="A11" s="36" t="s">
        <v>571</v>
      </c>
      <c r="B11" s="56" t="s">
        <v>567</v>
      </c>
      <c r="C11" s="43" t="s">
        <v>568</v>
      </c>
      <c r="D11" s="56" t="s">
        <v>569</v>
      </c>
      <c r="E11" s="56" t="s">
        <v>234</v>
      </c>
      <c r="F11" s="56" t="s">
        <v>59</v>
      </c>
      <c r="G11" s="56" t="s">
        <v>570</v>
      </c>
      <c r="H11" s="56" t="s">
        <v>67</v>
      </c>
      <c r="I11" s="56" t="s">
        <v>65</v>
      </c>
      <c r="J11" s="56"/>
      <c r="K11" s="56"/>
      <c r="L11" s="56"/>
      <c r="M11" s="56"/>
      <c r="N11" s="56" t="s">
        <v>16</v>
      </c>
      <c r="O11" s="114" t="s">
        <v>546</v>
      </c>
      <c r="P11" s="12" t="s">
        <v>21</v>
      </c>
      <c r="Q11" s="96">
        <v>1</v>
      </c>
      <c r="R11" s="96">
        <v>1</v>
      </c>
      <c r="S11" s="96">
        <v>1</v>
      </c>
      <c r="T11" s="96">
        <v>1</v>
      </c>
      <c r="U11" s="96">
        <v>1</v>
      </c>
      <c r="V11" s="96">
        <v>1</v>
      </c>
      <c r="W11" s="96">
        <v>1</v>
      </c>
      <c r="X11" s="96">
        <v>1</v>
      </c>
      <c r="Y11" s="96">
        <v>1</v>
      </c>
      <c r="Z11" s="96">
        <v>1</v>
      </c>
      <c r="AA11" s="96">
        <v>1</v>
      </c>
      <c r="AB11" s="96">
        <v>1</v>
      </c>
      <c r="AC11" s="96">
        <v>1</v>
      </c>
    </row>
    <row r="12" spans="1:29" ht="30" customHeight="1" x14ac:dyDescent="0.25">
      <c r="A12" s="36" t="s">
        <v>571</v>
      </c>
      <c r="B12" s="56" t="s">
        <v>567</v>
      </c>
      <c r="C12" s="43" t="s">
        <v>568</v>
      </c>
      <c r="D12" s="56" t="s">
        <v>569</v>
      </c>
      <c r="E12" s="56" t="s">
        <v>234</v>
      </c>
      <c r="F12" s="56" t="s">
        <v>59</v>
      </c>
      <c r="G12" s="56" t="s">
        <v>570</v>
      </c>
      <c r="H12" s="56" t="s">
        <v>67</v>
      </c>
      <c r="I12" s="56" t="s">
        <v>65</v>
      </c>
      <c r="J12" s="56"/>
      <c r="K12" s="56"/>
      <c r="L12" s="56"/>
      <c r="M12" s="56"/>
      <c r="N12" s="56" t="s">
        <v>16</v>
      </c>
      <c r="O12" s="114" t="s">
        <v>547</v>
      </c>
      <c r="P12" s="12" t="s">
        <v>21</v>
      </c>
      <c r="Q12" s="96">
        <v>1</v>
      </c>
      <c r="R12" s="96">
        <v>1</v>
      </c>
      <c r="S12" s="96">
        <v>1</v>
      </c>
      <c r="T12" s="96">
        <v>1</v>
      </c>
      <c r="U12" s="96">
        <v>1</v>
      </c>
      <c r="V12" s="96">
        <v>1</v>
      </c>
      <c r="W12" s="96">
        <v>1</v>
      </c>
      <c r="X12" s="96">
        <v>1</v>
      </c>
      <c r="Y12" s="96">
        <v>1</v>
      </c>
      <c r="Z12" s="96">
        <v>1</v>
      </c>
      <c r="AA12" s="96">
        <v>1</v>
      </c>
      <c r="AB12" s="96">
        <v>1</v>
      </c>
      <c r="AC12" s="96">
        <v>1</v>
      </c>
    </row>
    <row r="13" spans="1:29" ht="30" customHeight="1" x14ac:dyDescent="0.25">
      <c r="A13" s="36" t="s">
        <v>571</v>
      </c>
      <c r="B13" s="56" t="s">
        <v>567</v>
      </c>
      <c r="C13" s="43" t="s">
        <v>568</v>
      </c>
      <c r="D13" s="56" t="s">
        <v>569</v>
      </c>
      <c r="E13" s="56" t="s">
        <v>234</v>
      </c>
      <c r="F13" s="56" t="s">
        <v>59</v>
      </c>
      <c r="G13" s="56" t="s">
        <v>570</v>
      </c>
      <c r="H13" s="56" t="s">
        <v>67</v>
      </c>
      <c r="I13" s="56" t="s">
        <v>65</v>
      </c>
      <c r="J13" s="56"/>
      <c r="K13" s="56"/>
      <c r="L13" s="56"/>
      <c r="M13" s="56"/>
      <c r="N13" s="56" t="s">
        <v>16</v>
      </c>
      <c r="O13" s="114" t="s">
        <v>548</v>
      </c>
      <c r="P13" s="12" t="s">
        <v>21</v>
      </c>
      <c r="Q13" s="96">
        <v>1</v>
      </c>
      <c r="R13" s="96">
        <v>1</v>
      </c>
      <c r="S13" s="96">
        <v>1</v>
      </c>
      <c r="T13" s="96">
        <v>1</v>
      </c>
      <c r="U13" s="96">
        <v>1</v>
      </c>
      <c r="V13" s="96">
        <v>1</v>
      </c>
      <c r="W13" s="96">
        <v>1</v>
      </c>
      <c r="X13" s="96">
        <v>1</v>
      </c>
      <c r="Y13" s="96">
        <v>1</v>
      </c>
      <c r="Z13" s="96">
        <v>1</v>
      </c>
      <c r="AA13" s="96">
        <v>1</v>
      </c>
      <c r="AB13" s="96">
        <v>1</v>
      </c>
      <c r="AC13" s="96">
        <v>1</v>
      </c>
    </row>
    <row r="14" spans="1:29" ht="30" customHeight="1" x14ac:dyDescent="0.25">
      <c r="A14" s="36" t="s">
        <v>571</v>
      </c>
      <c r="B14" s="56" t="s">
        <v>567</v>
      </c>
      <c r="C14" s="43" t="s">
        <v>568</v>
      </c>
      <c r="D14" s="56" t="s">
        <v>569</v>
      </c>
      <c r="E14" s="56" t="s">
        <v>234</v>
      </c>
      <c r="F14" s="56" t="s">
        <v>59</v>
      </c>
      <c r="G14" s="56" t="s">
        <v>570</v>
      </c>
      <c r="H14" s="56" t="s">
        <v>67</v>
      </c>
      <c r="I14" s="56" t="s">
        <v>65</v>
      </c>
      <c r="J14" s="56"/>
      <c r="K14" s="56"/>
      <c r="L14" s="56"/>
      <c r="M14" s="56"/>
      <c r="N14" s="56" t="s">
        <v>16</v>
      </c>
      <c r="O14" s="114" t="s">
        <v>549</v>
      </c>
      <c r="P14" s="12" t="s">
        <v>21</v>
      </c>
      <c r="Q14" s="96">
        <v>1</v>
      </c>
      <c r="R14" s="96">
        <v>1</v>
      </c>
      <c r="S14" s="96">
        <v>1</v>
      </c>
      <c r="T14" s="96">
        <v>1</v>
      </c>
      <c r="U14" s="96">
        <v>1</v>
      </c>
      <c r="V14" s="96">
        <v>1</v>
      </c>
      <c r="W14" s="96">
        <v>1</v>
      </c>
      <c r="X14" s="96">
        <v>1</v>
      </c>
      <c r="Y14" s="96">
        <v>1</v>
      </c>
      <c r="Z14" s="96">
        <v>1</v>
      </c>
      <c r="AA14" s="96">
        <v>1</v>
      </c>
      <c r="AB14" s="96">
        <v>1</v>
      </c>
      <c r="AC14" s="96">
        <v>1</v>
      </c>
    </row>
    <row r="15" spans="1:29" ht="30" customHeight="1" x14ac:dyDescent="0.25">
      <c r="A15" s="36" t="s">
        <v>571</v>
      </c>
      <c r="B15" s="56" t="s">
        <v>567</v>
      </c>
      <c r="C15" s="43" t="s">
        <v>568</v>
      </c>
      <c r="D15" s="56" t="s">
        <v>569</v>
      </c>
      <c r="E15" s="56" t="s">
        <v>234</v>
      </c>
      <c r="F15" s="56" t="s">
        <v>59</v>
      </c>
      <c r="G15" s="56" t="s">
        <v>570</v>
      </c>
      <c r="H15" s="56" t="s">
        <v>67</v>
      </c>
      <c r="I15" s="56" t="s">
        <v>65</v>
      </c>
      <c r="J15" s="56"/>
      <c r="K15" s="56"/>
      <c r="L15" s="56"/>
      <c r="M15" s="56"/>
      <c r="N15" s="56" t="s">
        <v>16</v>
      </c>
      <c r="O15" s="114" t="s">
        <v>550</v>
      </c>
      <c r="P15" s="12" t="s">
        <v>21</v>
      </c>
      <c r="Q15" s="96">
        <v>1</v>
      </c>
      <c r="R15" s="96">
        <v>1</v>
      </c>
      <c r="S15" s="96">
        <v>1</v>
      </c>
      <c r="T15" s="96">
        <v>1</v>
      </c>
      <c r="U15" s="96">
        <v>1</v>
      </c>
      <c r="V15" s="96">
        <v>1</v>
      </c>
      <c r="W15" s="96">
        <v>1</v>
      </c>
      <c r="X15" s="96">
        <v>1</v>
      </c>
      <c r="Y15" s="96">
        <v>1</v>
      </c>
      <c r="Z15" s="96">
        <v>1</v>
      </c>
      <c r="AA15" s="96">
        <v>1</v>
      </c>
      <c r="AB15" s="96">
        <v>1</v>
      </c>
      <c r="AC15" s="96">
        <v>1</v>
      </c>
    </row>
    <row r="16" spans="1:29" ht="30" customHeight="1" x14ac:dyDescent="0.25">
      <c r="A16" s="36" t="s">
        <v>571</v>
      </c>
      <c r="B16" s="56" t="s">
        <v>567</v>
      </c>
      <c r="C16" s="43" t="s">
        <v>568</v>
      </c>
      <c r="D16" s="56" t="s">
        <v>569</v>
      </c>
      <c r="E16" s="56" t="s">
        <v>234</v>
      </c>
      <c r="F16" s="56" t="s">
        <v>59</v>
      </c>
      <c r="G16" s="56" t="s">
        <v>570</v>
      </c>
      <c r="H16" s="56" t="s">
        <v>67</v>
      </c>
      <c r="I16" s="56" t="s">
        <v>65</v>
      </c>
      <c r="J16" s="56"/>
      <c r="K16" s="56"/>
      <c r="L16" s="56"/>
      <c r="M16" s="56"/>
      <c r="N16" s="56" t="s">
        <v>16</v>
      </c>
      <c r="O16" s="114" t="s">
        <v>551</v>
      </c>
      <c r="P16" s="12" t="s">
        <v>21</v>
      </c>
      <c r="Q16" s="96">
        <v>1</v>
      </c>
      <c r="R16" s="96">
        <v>1</v>
      </c>
      <c r="S16" s="96">
        <v>1</v>
      </c>
      <c r="T16" s="96">
        <v>1</v>
      </c>
      <c r="U16" s="96">
        <v>1</v>
      </c>
      <c r="V16" s="96">
        <v>1</v>
      </c>
      <c r="W16" s="96">
        <v>1</v>
      </c>
      <c r="X16" s="96">
        <v>1</v>
      </c>
      <c r="Y16" s="96">
        <v>1</v>
      </c>
      <c r="Z16" s="96">
        <v>1</v>
      </c>
      <c r="AA16" s="96">
        <v>1</v>
      </c>
      <c r="AB16" s="96">
        <v>1</v>
      </c>
      <c r="AC16" s="96">
        <v>1</v>
      </c>
    </row>
    <row r="17" spans="1:29" ht="30" customHeight="1" x14ac:dyDescent="0.25">
      <c r="A17" s="36" t="s">
        <v>571</v>
      </c>
      <c r="B17" s="56" t="s">
        <v>567</v>
      </c>
      <c r="C17" s="43" t="s">
        <v>568</v>
      </c>
      <c r="D17" s="56" t="s">
        <v>569</v>
      </c>
      <c r="E17" s="56" t="s">
        <v>234</v>
      </c>
      <c r="F17" s="56" t="s">
        <v>59</v>
      </c>
      <c r="G17" s="56" t="s">
        <v>570</v>
      </c>
      <c r="H17" s="56" t="s">
        <v>67</v>
      </c>
      <c r="I17" s="56" t="s">
        <v>65</v>
      </c>
      <c r="J17" s="56"/>
      <c r="K17" s="56"/>
      <c r="L17" s="56"/>
      <c r="M17" s="56"/>
      <c r="N17" s="56" t="s">
        <v>16</v>
      </c>
      <c r="O17" s="114" t="s">
        <v>552</v>
      </c>
      <c r="P17" s="12" t="s">
        <v>21</v>
      </c>
      <c r="Q17" s="96">
        <v>1</v>
      </c>
      <c r="R17" s="96">
        <v>1</v>
      </c>
      <c r="S17" s="96">
        <v>1</v>
      </c>
      <c r="T17" s="96">
        <v>1</v>
      </c>
      <c r="U17" s="96">
        <v>1</v>
      </c>
      <c r="V17" s="96">
        <v>1</v>
      </c>
      <c r="W17" s="96">
        <v>1</v>
      </c>
      <c r="X17" s="96">
        <v>1</v>
      </c>
      <c r="Y17" s="96">
        <v>1</v>
      </c>
      <c r="Z17" s="96">
        <v>1</v>
      </c>
      <c r="AA17" s="96">
        <v>1</v>
      </c>
      <c r="AB17" s="96">
        <v>1</v>
      </c>
      <c r="AC17" s="96">
        <v>1</v>
      </c>
    </row>
    <row r="18" spans="1:29" ht="30" customHeight="1" x14ac:dyDescent="0.25">
      <c r="A18" s="36" t="s">
        <v>571</v>
      </c>
      <c r="B18" s="56" t="s">
        <v>567</v>
      </c>
      <c r="C18" s="43" t="s">
        <v>568</v>
      </c>
      <c r="D18" s="56" t="s">
        <v>569</v>
      </c>
      <c r="E18" s="56" t="s">
        <v>234</v>
      </c>
      <c r="F18" s="56" t="s">
        <v>59</v>
      </c>
      <c r="G18" s="56" t="s">
        <v>570</v>
      </c>
      <c r="H18" s="56" t="s">
        <v>67</v>
      </c>
      <c r="I18" s="56" t="s">
        <v>65</v>
      </c>
      <c r="J18" s="56"/>
      <c r="K18" s="56"/>
      <c r="L18" s="56"/>
      <c r="M18" s="56"/>
      <c r="N18" s="56" t="s">
        <v>16</v>
      </c>
      <c r="O18" s="114" t="s">
        <v>553</v>
      </c>
      <c r="P18" s="12" t="s">
        <v>21</v>
      </c>
      <c r="Q18" s="96">
        <v>1</v>
      </c>
      <c r="R18" s="96">
        <v>1</v>
      </c>
      <c r="S18" s="96">
        <v>1</v>
      </c>
      <c r="T18" s="96">
        <v>1</v>
      </c>
      <c r="U18" s="96">
        <v>1</v>
      </c>
      <c r="V18" s="96">
        <v>1</v>
      </c>
      <c r="W18" s="96">
        <v>1</v>
      </c>
      <c r="X18" s="96">
        <v>1</v>
      </c>
      <c r="Y18" s="96">
        <v>1</v>
      </c>
      <c r="Z18" s="96">
        <v>1</v>
      </c>
      <c r="AA18" s="96">
        <v>1</v>
      </c>
      <c r="AB18" s="96">
        <v>1</v>
      </c>
      <c r="AC18" s="96">
        <v>1</v>
      </c>
    </row>
    <row r="19" spans="1:29" ht="30" customHeight="1" x14ac:dyDescent="0.25">
      <c r="A19" s="36" t="s">
        <v>571</v>
      </c>
      <c r="B19" s="56" t="s">
        <v>567</v>
      </c>
      <c r="C19" s="43" t="s">
        <v>568</v>
      </c>
      <c r="D19" s="56" t="s">
        <v>569</v>
      </c>
      <c r="E19" s="56" t="s">
        <v>234</v>
      </c>
      <c r="F19" s="56" t="s">
        <v>59</v>
      </c>
      <c r="G19" s="56" t="s">
        <v>570</v>
      </c>
      <c r="H19" s="56" t="s">
        <v>67</v>
      </c>
      <c r="I19" s="56" t="s">
        <v>65</v>
      </c>
      <c r="J19" s="56"/>
      <c r="K19" s="56"/>
      <c r="L19" s="56"/>
      <c r="M19" s="56"/>
      <c r="N19" s="56" t="s">
        <v>16</v>
      </c>
      <c r="O19" s="114" t="s">
        <v>554</v>
      </c>
      <c r="P19" s="12" t="s">
        <v>21</v>
      </c>
      <c r="Q19" s="96">
        <v>1</v>
      </c>
      <c r="R19" s="96">
        <v>1</v>
      </c>
      <c r="S19" s="96">
        <v>1</v>
      </c>
      <c r="T19" s="96">
        <v>1</v>
      </c>
      <c r="U19" s="96">
        <v>1</v>
      </c>
      <c r="V19" s="96">
        <v>1</v>
      </c>
      <c r="W19" s="96">
        <v>1</v>
      </c>
      <c r="X19" s="96">
        <v>1</v>
      </c>
      <c r="Y19" s="96">
        <v>1</v>
      </c>
      <c r="Z19" s="96">
        <v>1</v>
      </c>
      <c r="AA19" s="96">
        <v>1</v>
      </c>
      <c r="AB19" s="96">
        <v>1</v>
      </c>
      <c r="AC19" s="96">
        <v>1</v>
      </c>
    </row>
    <row r="20" spans="1:29" ht="30" customHeight="1" x14ac:dyDescent="0.25">
      <c r="A20" s="36" t="s">
        <v>571</v>
      </c>
      <c r="B20" s="56" t="s">
        <v>567</v>
      </c>
      <c r="C20" s="43" t="s">
        <v>568</v>
      </c>
      <c r="D20" s="56" t="s">
        <v>569</v>
      </c>
      <c r="E20" s="56" t="s">
        <v>234</v>
      </c>
      <c r="F20" s="56" t="s">
        <v>59</v>
      </c>
      <c r="G20" s="56" t="s">
        <v>570</v>
      </c>
      <c r="H20" s="56" t="s">
        <v>67</v>
      </c>
      <c r="I20" s="56" t="s">
        <v>65</v>
      </c>
      <c r="J20" s="56"/>
      <c r="K20" s="56"/>
      <c r="L20" s="56"/>
      <c r="M20" s="56"/>
      <c r="N20" s="56" t="s">
        <v>16</v>
      </c>
      <c r="O20" s="114" t="s">
        <v>555</v>
      </c>
      <c r="P20" s="12" t="s">
        <v>21</v>
      </c>
      <c r="Q20" s="96">
        <v>1</v>
      </c>
      <c r="R20" s="96">
        <v>1</v>
      </c>
      <c r="S20" s="96">
        <v>1</v>
      </c>
      <c r="T20" s="96">
        <v>1</v>
      </c>
      <c r="U20" s="96">
        <v>1</v>
      </c>
      <c r="V20" s="96">
        <v>1</v>
      </c>
      <c r="W20" s="96">
        <v>1</v>
      </c>
      <c r="X20" s="96">
        <v>1</v>
      </c>
      <c r="Y20" s="96">
        <v>1</v>
      </c>
      <c r="Z20" s="96">
        <v>1</v>
      </c>
      <c r="AA20" s="96">
        <v>1</v>
      </c>
      <c r="AB20" s="96">
        <v>1</v>
      </c>
      <c r="AC20" s="96">
        <v>1</v>
      </c>
    </row>
    <row r="21" spans="1:29" ht="30" customHeight="1" x14ac:dyDescent="0.25">
      <c r="A21" s="36" t="s">
        <v>571</v>
      </c>
      <c r="B21" s="56" t="s">
        <v>567</v>
      </c>
      <c r="C21" s="43" t="s">
        <v>568</v>
      </c>
      <c r="D21" s="56" t="s">
        <v>569</v>
      </c>
      <c r="E21" s="56" t="s">
        <v>234</v>
      </c>
      <c r="F21" s="56" t="s">
        <v>59</v>
      </c>
      <c r="G21" s="56" t="s">
        <v>570</v>
      </c>
      <c r="H21" s="56" t="s">
        <v>67</v>
      </c>
      <c r="I21" s="56" t="s">
        <v>65</v>
      </c>
      <c r="J21" s="56"/>
      <c r="K21" s="56"/>
      <c r="L21" s="56"/>
      <c r="M21" s="56"/>
      <c r="N21" s="56" t="s">
        <v>16</v>
      </c>
      <c r="O21" s="114" t="s">
        <v>556</v>
      </c>
      <c r="P21" s="12" t="s">
        <v>21</v>
      </c>
      <c r="Q21" s="96">
        <v>1</v>
      </c>
      <c r="R21" s="96">
        <v>1</v>
      </c>
      <c r="S21" s="96">
        <v>1</v>
      </c>
      <c r="T21" s="96">
        <v>1</v>
      </c>
      <c r="U21" s="96">
        <v>1</v>
      </c>
      <c r="V21" s="96">
        <v>1</v>
      </c>
      <c r="W21" s="96">
        <v>1</v>
      </c>
      <c r="X21" s="96">
        <v>1</v>
      </c>
      <c r="Y21" s="96">
        <v>1</v>
      </c>
      <c r="Z21" s="96">
        <v>1</v>
      </c>
      <c r="AA21" s="96">
        <v>1</v>
      </c>
      <c r="AB21" s="96">
        <v>1</v>
      </c>
      <c r="AC21" s="96">
        <v>1</v>
      </c>
    </row>
    <row r="22" spans="1:29" ht="30" customHeight="1" x14ac:dyDescent="0.25">
      <c r="A22" s="36" t="s">
        <v>571</v>
      </c>
      <c r="B22" s="56" t="s">
        <v>567</v>
      </c>
      <c r="C22" s="43" t="s">
        <v>568</v>
      </c>
      <c r="D22" s="56" t="s">
        <v>569</v>
      </c>
      <c r="E22" s="56" t="s">
        <v>234</v>
      </c>
      <c r="F22" s="56" t="s">
        <v>59</v>
      </c>
      <c r="G22" s="56" t="s">
        <v>570</v>
      </c>
      <c r="H22" s="56" t="s">
        <v>67</v>
      </c>
      <c r="I22" s="56" t="s">
        <v>65</v>
      </c>
      <c r="J22" s="56"/>
      <c r="K22" s="56"/>
      <c r="L22" s="56"/>
      <c r="M22" s="56"/>
      <c r="N22" s="56" t="s">
        <v>16</v>
      </c>
      <c r="O22" s="114" t="s">
        <v>557</v>
      </c>
      <c r="P22" s="12" t="s">
        <v>21</v>
      </c>
      <c r="Q22" s="96">
        <v>1</v>
      </c>
      <c r="R22" s="96">
        <v>1</v>
      </c>
      <c r="S22" s="96">
        <v>1</v>
      </c>
      <c r="T22" s="96">
        <v>1</v>
      </c>
      <c r="U22" s="96">
        <v>1</v>
      </c>
      <c r="V22" s="96">
        <v>1</v>
      </c>
      <c r="W22" s="96">
        <v>1</v>
      </c>
      <c r="X22" s="96">
        <v>1</v>
      </c>
      <c r="Y22" s="96">
        <v>1</v>
      </c>
      <c r="Z22" s="96">
        <v>1</v>
      </c>
      <c r="AA22" s="96">
        <v>1</v>
      </c>
      <c r="AB22" s="96">
        <v>1</v>
      </c>
      <c r="AC22" s="96">
        <v>1</v>
      </c>
    </row>
    <row r="23" spans="1:29" ht="30" customHeight="1" x14ac:dyDescent="0.25">
      <c r="A23" s="36" t="s">
        <v>571</v>
      </c>
      <c r="B23" s="56" t="s">
        <v>567</v>
      </c>
      <c r="C23" s="43" t="s">
        <v>568</v>
      </c>
      <c r="D23" s="56" t="s">
        <v>569</v>
      </c>
      <c r="E23" s="56" t="s">
        <v>234</v>
      </c>
      <c r="F23" s="56" t="s">
        <v>59</v>
      </c>
      <c r="G23" s="56" t="s">
        <v>570</v>
      </c>
      <c r="H23" s="56" t="s">
        <v>67</v>
      </c>
      <c r="I23" s="56" t="s">
        <v>65</v>
      </c>
      <c r="J23" s="56"/>
      <c r="K23" s="56"/>
      <c r="L23" s="56"/>
      <c r="M23" s="56"/>
      <c r="N23" s="56" t="s">
        <v>16</v>
      </c>
      <c r="O23" s="114" t="s">
        <v>558</v>
      </c>
      <c r="P23" s="12" t="s">
        <v>21</v>
      </c>
      <c r="Q23" s="96">
        <v>1</v>
      </c>
      <c r="R23" s="96">
        <v>1</v>
      </c>
      <c r="S23" s="96">
        <v>1</v>
      </c>
      <c r="T23" s="96">
        <v>1</v>
      </c>
      <c r="U23" s="96">
        <v>1</v>
      </c>
      <c r="V23" s="96">
        <v>1</v>
      </c>
      <c r="W23" s="96">
        <v>1</v>
      </c>
      <c r="X23" s="96">
        <v>1</v>
      </c>
      <c r="Y23" s="96">
        <v>1</v>
      </c>
      <c r="Z23" s="96">
        <v>1</v>
      </c>
      <c r="AA23" s="96">
        <v>1</v>
      </c>
      <c r="AB23" s="96">
        <v>1</v>
      </c>
      <c r="AC23" s="96">
        <v>1</v>
      </c>
    </row>
    <row r="24" spans="1:29" ht="30" customHeight="1" x14ac:dyDescent="0.25">
      <c r="A24" s="36" t="s">
        <v>571</v>
      </c>
      <c r="B24" s="56" t="s">
        <v>567</v>
      </c>
      <c r="C24" s="43" t="s">
        <v>568</v>
      </c>
      <c r="D24" s="56" t="s">
        <v>569</v>
      </c>
      <c r="E24" s="56" t="s">
        <v>234</v>
      </c>
      <c r="F24" s="56" t="s">
        <v>59</v>
      </c>
      <c r="G24" s="56" t="s">
        <v>570</v>
      </c>
      <c r="H24" s="56" t="s">
        <v>67</v>
      </c>
      <c r="I24" s="56" t="s">
        <v>65</v>
      </c>
      <c r="J24" s="56"/>
      <c r="K24" s="56"/>
      <c r="L24" s="56"/>
      <c r="M24" s="56"/>
      <c r="N24" s="56" t="s">
        <v>16</v>
      </c>
      <c r="O24" s="114" t="s">
        <v>559</v>
      </c>
      <c r="P24" s="12" t="s">
        <v>21</v>
      </c>
      <c r="Q24" s="96">
        <v>1</v>
      </c>
      <c r="R24" s="96">
        <v>1</v>
      </c>
      <c r="S24" s="96">
        <v>1</v>
      </c>
      <c r="T24" s="96">
        <v>1</v>
      </c>
      <c r="U24" s="96">
        <v>1</v>
      </c>
      <c r="V24" s="96">
        <v>1</v>
      </c>
      <c r="W24" s="96">
        <v>1</v>
      </c>
      <c r="X24" s="96">
        <v>1</v>
      </c>
      <c r="Y24" s="96">
        <v>1</v>
      </c>
      <c r="Z24" s="96">
        <v>1</v>
      </c>
      <c r="AA24" s="96">
        <v>1</v>
      </c>
      <c r="AB24" s="96">
        <v>1</v>
      </c>
      <c r="AC24" s="96">
        <v>1</v>
      </c>
    </row>
    <row r="25" spans="1:29" ht="30" customHeight="1" x14ac:dyDescent="0.25">
      <c r="A25" s="36" t="s">
        <v>571</v>
      </c>
      <c r="B25" s="56" t="s">
        <v>567</v>
      </c>
      <c r="C25" s="43" t="s">
        <v>568</v>
      </c>
      <c r="D25" s="56" t="s">
        <v>569</v>
      </c>
      <c r="E25" s="56" t="s">
        <v>234</v>
      </c>
      <c r="F25" s="56" t="s">
        <v>59</v>
      </c>
      <c r="G25" s="56" t="s">
        <v>570</v>
      </c>
      <c r="H25" s="56" t="s">
        <v>67</v>
      </c>
      <c r="I25" s="56" t="s">
        <v>65</v>
      </c>
      <c r="J25" s="56"/>
      <c r="K25" s="56"/>
      <c r="L25" s="56"/>
      <c r="M25" s="56"/>
      <c r="N25" s="56" t="s">
        <v>16</v>
      </c>
      <c r="O25" s="114" t="s">
        <v>560</v>
      </c>
      <c r="P25" s="12" t="s">
        <v>21</v>
      </c>
      <c r="Q25" s="96">
        <v>1</v>
      </c>
      <c r="R25" s="96">
        <v>1</v>
      </c>
      <c r="S25" s="96">
        <v>1</v>
      </c>
      <c r="T25" s="96">
        <v>1</v>
      </c>
      <c r="U25" s="96">
        <v>1</v>
      </c>
      <c r="V25" s="96">
        <v>1</v>
      </c>
      <c r="W25" s="96">
        <v>1</v>
      </c>
      <c r="X25" s="96">
        <v>1</v>
      </c>
      <c r="Y25" s="96">
        <v>1</v>
      </c>
      <c r="Z25" s="96">
        <v>1</v>
      </c>
      <c r="AA25" s="96">
        <v>1</v>
      </c>
      <c r="AB25" s="96">
        <v>1</v>
      </c>
      <c r="AC25" s="96">
        <v>1</v>
      </c>
    </row>
    <row r="26" spans="1:29" ht="30" customHeight="1" x14ac:dyDescent="0.25">
      <c r="A26" s="36" t="s">
        <v>571</v>
      </c>
      <c r="B26" s="56" t="s">
        <v>567</v>
      </c>
      <c r="C26" s="43" t="s">
        <v>568</v>
      </c>
      <c r="D26" s="56" t="s">
        <v>569</v>
      </c>
      <c r="E26" s="56" t="s">
        <v>234</v>
      </c>
      <c r="F26" s="56" t="s">
        <v>59</v>
      </c>
      <c r="G26" s="56" t="s">
        <v>570</v>
      </c>
      <c r="H26" s="56" t="s">
        <v>67</v>
      </c>
      <c r="I26" s="56" t="s">
        <v>65</v>
      </c>
      <c r="J26" s="56"/>
      <c r="K26" s="56"/>
      <c r="L26" s="56"/>
      <c r="M26" s="56"/>
      <c r="N26" s="56" t="s">
        <v>16</v>
      </c>
      <c r="O26" s="114" t="s">
        <v>561</v>
      </c>
      <c r="P26" s="12" t="s">
        <v>21</v>
      </c>
      <c r="Q26" s="96">
        <v>1</v>
      </c>
      <c r="R26" s="96">
        <v>1</v>
      </c>
      <c r="S26" s="96">
        <v>1</v>
      </c>
      <c r="T26" s="96">
        <v>1</v>
      </c>
      <c r="U26" s="96">
        <v>1</v>
      </c>
      <c r="V26" s="96">
        <v>1</v>
      </c>
      <c r="W26" s="96">
        <v>1</v>
      </c>
      <c r="X26" s="96">
        <v>1</v>
      </c>
      <c r="Y26" s="96">
        <v>1</v>
      </c>
      <c r="Z26" s="96">
        <v>1</v>
      </c>
      <c r="AA26" s="96">
        <v>1</v>
      </c>
      <c r="AB26" s="96">
        <v>1</v>
      </c>
      <c r="AC26" s="96">
        <v>1</v>
      </c>
    </row>
    <row r="27" spans="1:29" ht="30" customHeight="1" x14ac:dyDescent="0.25">
      <c r="A27" s="36" t="s">
        <v>571</v>
      </c>
      <c r="B27" s="56" t="s">
        <v>567</v>
      </c>
      <c r="C27" s="43" t="s">
        <v>568</v>
      </c>
      <c r="D27" s="56" t="s">
        <v>569</v>
      </c>
      <c r="E27" s="56" t="s">
        <v>234</v>
      </c>
      <c r="F27" s="56" t="s">
        <v>59</v>
      </c>
      <c r="G27" s="56" t="s">
        <v>570</v>
      </c>
      <c r="H27" s="56" t="s">
        <v>67</v>
      </c>
      <c r="I27" s="56" t="s">
        <v>65</v>
      </c>
      <c r="J27" s="56"/>
      <c r="K27" s="56"/>
      <c r="L27" s="56"/>
      <c r="M27" s="56"/>
      <c r="N27" s="56" t="s">
        <v>16</v>
      </c>
      <c r="O27" s="114" t="s">
        <v>562</v>
      </c>
      <c r="P27" s="12" t="s">
        <v>21</v>
      </c>
      <c r="Q27" s="96">
        <v>1</v>
      </c>
      <c r="R27" s="96">
        <v>1</v>
      </c>
      <c r="S27" s="96">
        <v>1</v>
      </c>
      <c r="T27" s="96">
        <v>1</v>
      </c>
      <c r="U27" s="96">
        <v>1</v>
      </c>
      <c r="V27" s="96">
        <v>1</v>
      </c>
      <c r="W27" s="96">
        <v>1</v>
      </c>
      <c r="X27" s="96">
        <v>1</v>
      </c>
      <c r="Y27" s="96">
        <v>1</v>
      </c>
      <c r="Z27" s="96">
        <v>1</v>
      </c>
      <c r="AA27" s="96">
        <v>1</v>
      </c>
      <c r="AB27" s="96">
        <v>1</v>
      </c>
      <c r="AC27" s="96">
        <v>1</v>
      </c>
    </row>
    <row r="28" spans="1:29" ht="30" customHeight="1" x14ac:dyDescent="0.25">
      <c r="A28" s="36" t="s">
        <v>571</v>
      </c>
      <c r="B28" s="56" t="s">
        <v>567</v>
      </c>
      <c r="C28" s="43" t="s">
        <v>568</v>
      </c>
      <c r="D28" s="56" t="s">
        <v>569</v>
      </c>
      <c r="E28" s="56" t="s">
        <v>234</v>
      </c>
      <c r="F28" s="56" t="s">
        <v>59</v>
      </c>
      <c r="G28" s="56" t="s">
        <v>570</v>
      </c>
      <c r="H28" s="56" t="s">
        <v>67</v>
      </c>
      <c r="I28" s="56" t="s">
        <v>65</v>
      </c>
      <c r="J28" s="56"/>
      <c r="K28" s="56"/>
      <c r="L28" s="56"/>
      <c r="M28" s="56"/>
      <c r="N28" s="56" t="s">
        <v>16</v>
      </c>
      <c r="O28" s="114" t="s">
        <v>563</v>
      </c>
      <c r="P28" s="12" t="s">
        <v>21</v>
      </c>
      <c r="Q28" s="96">
        <v>1</v>
      </c>
      <c r="R28" s="96">
        <v>1</v>
      </c>
      <c r="S28" s="96">
        <v>1</v>
      </c>
      <c r="T28" s="96">
        <v>1</v>
      </c>
      <c r="U28" s="96">
        <v>1</v>
      </c>
      <c r="V28" s="96">
        <v>1</v>
      </c>
      <c r="W28" s="96">
        <v>1</v>
      </c>
      <c r="X28" s="96">
        <v>1</v>
      </c>
      <c r="Y28" s="96">
        <v>1</v>
      </c>
      <c r="Z28" s="96">
        <v>1</v>
      </c>
      <c r="AA28" s="96">
        <v>1</v>
      </c>
      <c r="AB28" s="96">
        <v>1</v>
      </c>
      <c r="AC28" s="96">
        <v>1</v>
      </c>
    </row>
    <row r="29" spans="1:29" ht="30" customHeight="1" x14ac:dyDescent="0.25">
      <c r="A29" s="36" t="s">
        <v>571</v>
      </c>
      <c r="B29" s="56" t="s">
        <v>567</v>
      </c>
      <c r="C29" s="43" t="s">
        <v>568</v>
      </c>
      <c r="D29" s="56" t="s">
        <v>569</v>
      </c>
      <c r="E29" s="56" t="s">
        <v>234</v>
      </c>
      <c r="F29" s="56" t="s">
        <v>59</v>
      </c>
      <c r="G29" s="56" t="s">
        <v>570</v>
      </c>
      <c r="H29" s="56" t="s">
        <v>67</v>
      </c>
      <c r="I29" s="56" t="s">
        <v>65</v>
      </c>
      <c r="J29" s="56"/>
      <c r="K29" s="56"/>
      <c r="L29" s="56"/>
      <c r="M29" s="56"/>
      <c r="N29" s="56" t="s">
        <v>16</v>
      </c>
      <c r="O29" s="114" t="s">
        <v>564</v>
      </c>
      <c r="P29" s="12" t="s">
        <v>21</v>
      </c>
      <c r="Q29" s="96">
        <v>1</v>
      </c>
      <c r="R29" s="96">
        <v>1</v>
      </c>
      <c r="S29" s="96">
        <v>1</v>
      </c>
      <c r="T29" s="96">
        <v>1</v>
      </c>
      <c r="U29" s="96">
        <v>1</v>
      </c>
      <c r="V29" s="96">
        <v>1</v>
      </c>
      <c r="W29" s="96">
        <v>1</v>
      </c>
      <c r="X29" s="96">
        <v>1</v>
      </c>
      <c r="Y29" s="96">
        <v>1</v>
      </c>
      <c r="Z29" s="96">
        <v>1</v>
      </c>
      <c r="AA29" s="96">
        <v>1</v>
      </c>
      <c r="AB29" s="96">
        <v>1</v>
      </c>
      <c r="AC29" s="96">
        <v>1</v>
      </c>
    </row>
    <row r="30" spans="1:29" ht="30" customHeight="1" x14ac:dyDescent="0.25">
      <c r="A30" s="36" t="s">
        <v>571</v>
      </c>
      <c r="B30" s="56" t="s">
        <v>567</v>
      </c>
      <c r="C30" s="43" t="s">
        <v>568</v>
      </c>
      <c r="D30" s="56" t="s">
        <v>569</v>
      </c>
      <c r="E30" s="56" t="s">
        <v>234</v>
      </c>
      <c r="F30" s="56" t="s">
        <v>59</v>
      </c>
      <c r="G30" s="56" t="s">
        <v>570</v>
      </c>
      <c r="H30" s="56" t="s">
        <v>67</v>
      </c>
      <c r="I30" s="56" t="s">
        <v>65</v>
      </c>
      <c r="J30" s="56"/>
      <c r="K30" s="56"/>
      <c r="L30" s="56"/>
      <c r="M30" s="56"/>
      <c r="N30" s="56" t="s">
        <v>16</v>
      </c>
      <c r="O30" s="114" t="s">
        <v>565</v>
      </c>
      <c r="P30" s="12" t="s">
        <v>21</v>
      </c>
      <c r="Q30" s="96">
        <v>1</v>
      </c>
      <c r="R30" s="96">
        <v>1</v>
      </c>
      <c r="S30" s="96">
        <v>1</v>
      </c>
      <c r="T30" s="96">
        <v>1</v>
      </c>
      <c r="U30" s="96">
        <v>1</v>
      </c>
      <c r="V30" s="96">
        <v>1</v>
      </c>
      <c r="W30" s="96">
        <v>1</v>
      </c>
      <c r="X30" s="96">
        <v>1</v>
      </c>
      <c r="Y30" s="96">
        <v>1</v>
      </c>
      <c r="Z30" s="96">
        <v>1</v>
      </c>
      <c r="AA30" s="96">
        <v>1</v>
      </c>
      <c r="AB30" s="96">
        <v>1</v>
      </c>
      <c r="AC30" s="96">
        <v>1</v>
      </c>
    </row>
    <row r="31" spans="1:29" ht="30" customHeight="1" x14ac:dyDescent="0.25">
      <c r="A31" s="36" t="s">
        <v>571</v>
      </c>
      <c r="B31" s="56" t="s">
        <v>567</v>
      </c>
      <c r="C31" s="43" t="s">
        <v>568</v>
      </c>
      <c r="D31" s="56" t="s">
        <v>569</v>
      </c>
      <c r="E31" s="56" t="s">
        <v>234</v>
      </c>
      <c r="F31" s="56" t="s">
        <v>59</v>
      </c>
      <c r="G31" s="56" t="s">
        <v>570</v>
      </c>
      <c r="H31" s="56" t="s">
        <v>67</v>
      </c>
      <c r="I31" s="56" t="s">
        <v>65</v>
      </c>
      <c r="J31" s="56"/>
      <c r="K31" s="56"/>
      <c r="L31" s="56"/>
      <c r="M31" s="56"/>
      <c r="N31" s="56" t="s">
        <v>16</v>
      </c>
      <c r="O31" s="114" t="s">
        <v>566</v>
      </c>
      <c r="P31" s="12" t="s">
        <v>21</v>
      </c>
      <c r="Q31" s="96">
        <v>1</v>
      </c>
      <c r="R31" s="96">
        <v>1</v>
      </c>
      <c r="S31" s="96">
        <v>1</v>
      </c>
      <c r="T31" s="96">
        <v>1</v>
      </c>
      <c r="U31" s="96">
        <v>1</v>
      </c>
      <c r="V31" s="96">
        <v>1</v>
      </c>
      <c r="W31" s="96">
        <v>1</v>
      </c>
      <c r="X31" s="96">
        <v>1</v>
      </c>
      <c r="Y31" s="96">
        <v>1</v>
      </c>
      <c r="Z31" s="96">
        <v>1</v>
      </c>
      <c r="AA31" s="96">
        <v>1</v>
      </c>
      <c r="AB31" s="96">
        <v>1</v>
      </c>
      <c r="AC31" s="96">
        <v>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B5094-486B-4F62-A6DA-F432A1CAED2C}">
  <dimension ref="A1:AC16"/>
  <sheetViews>
    <sheetView topLeftCell="F1" workbookViewId="0">
      <selection activeCell="F2" sqref="F2"/>
    </sheetView>
  </sheetViews>
  <sheetFormatPr defaultRowHeight="13.2" x14ac:dyDescent="0.25"/>
  <cols>
    <col min="1" max="1" width="12.109375" bestFit="1" customWidth="1"/>
    <col min="2" max="2" width="21" bestFit="1" customWidth="1"/>
    <col min="3" max="3" width="29.88671875" bestFit="1" customWidth="1"/>
    <col min="4" max="4" width="11.6640625" customWidth="1"/>
    <col min="5" max="5" width="13.21875" bestFit="1" customWidth="1"/>
    <col min="6" max="6" width="11.33203125" bestFit="1" customWidth="1"/>
    <col min="7" max="7" width="12.44140625" bestFit="1" customWidth="1"/>
    <col min="8" max="8" width="8.88671875" bestFit="1" customWidth="1"/>
    <col min="9" max="9" width="16.88671875" bestFit="1" customWidth="1"/>
    <col min="10" max="13" width="16.21875" customWidth="1"/>
    <col min="14" max="14" width="14.5546875" bestFit="1" customWidth="1"/>
    <col min="15" max="15" width="68.21875" customWidth="1"/>
    <col min="16" max="16" width="9.5546875" customWidth="1"/>
    <col min="17" max="17" width="11.77734375" customWidth="1"/>
    <col min="25" max="29" width="11.109375" customWidth="1"/>
  </cols>
  <sheetData>
    <row r="1" spans="1:29" ht="27.6" x14ac:dyDescent="0.25">
      <c r="A1" s="35" t="s">
        <v>123</v>
      </c>
      <c r="B1" s="58" t="s">
        <v>1</v>
      </c>
      <c r="C1" s="35" t="s">
        <v>2</v>
      </c>
      <c r="D1" s="58" t="s">
        <v>3</v>
      </c>
      <c r="E1" s="35" t="s">
        <v>4</v>
      </c>
      <c r="F1" s="35" t="s">
        <v>5</v>
      </c>
      <c r="G1" s="35" t="s">
        <v>6</v>
      </c>
      <c r="H1" s="35" t="s">
        <v>7</v>
      </c>
      <c r="I1" s="58" t="s">
        <v>8</v>
      </c>
      <c r="J1" s="35" t="s">
        <v>9</v>
      </c>
      <c r="K1" s="35" t="s">
        <v>10</v>
      </c>
      <c r="L1" s="35" t="s">
        <v>126</v>
      </c>
      <c r="M1" s="35" t="s">
        <v>127</v>
      </c>
      <c r="N1" s="35"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25.05" customHeight="1" x14ac:dyDescent="0.25">
      <c r="A2" s="36" t="s">
        <v>572</v>
      </c>
      <c r="B2" s="56" t="s">
        <v>573</v>
      </c>
      <c r="C2" s="43" t="s">
        <v>574</v>
      </c>
      <c r="D2" s="56" t="s">
        <v>575</v>
      </c>
      <c r="E2" s="56" t="s">
        <v>576</v>
      </c>
      <c r="F2" s="56" t="s">
        <v>59</v>
      </c>
      <c r="G2" s="56" t="s">
        <v>577</v>
      </c>
      <c r="H2" s="56" t="s">
        <v>67</v>
      </c>
      <c r="I2" s="56" t="s">
        <v>65</v>
      </c>
      <c r="J2" s="56"/>
      <c r="K2" s="56"/>
      <c r="L2" s="56"/>
      <c r="M2" s="56"/>
      <c r="N2" s="56" t="s">
        <v>16</v>
      </c>
      <c r="O2" s="64" t="s">
        <v>578</v>
      </c>
      <c r="P2" s="12" t="s">
        <v>21</v>
      </c>
      <c r="Q2" s="96">
        <v>1</v>
      </c>
      <c r="R2" s="96">
        <v>1</v>
      </c>
      <c r="S2" s="96">
        <v>1</v>
      </c>
      <c r="T2" s="96">
        <v>1</v>
      </c>
      <c r="U2" s="96">
        <v>1</v>
      </c>
      <c r="V2" s="96">
        <v>1</v>
      </c>
      <c r="W2" s="96">
        <v>1</v>
      </c>
      <c r="X2" s="96">
        <v>1</v>
      </c>
      <c r="Y2" s="96">
        <v>1</v>
      </c>
      <c r="Z2" s="96">
        <v>1</v>
      </c>
      <c r="AA2" s="96">
        <v>1</v>
      </c>
      <c r="AB2" s="96">
        <v>1</v>
      </c>
      <c r="AC2" s="96">
        <v>1</v>
      </c>
    </row>
    <row r="3" spans="1:29" ht="25.05" customHeight="1" x14ac:dyDescent="0.25">
      <c r="A3" s="36" t="s">
        <v>572</v>
      </c>
      <c r="B3" s="56" t="s">
        <v>573</v>
      </c>
      <c r="C3" s="43" t="s">
        <v>574</v>
      </c>
      <c r="D3" s="56" t="s">
        <v>575</v>
      </c>
      <c r="E3" s="56" t="s">
        <v>576</v>
      </c>
      <c r="F3" s="56" t="s">
        <v>59</v>
      </c>
      <c r="G3" s="56" t="s">
        <v>577</v>
      </c>
      <c r="H3" s="56" t="s">
        <v>67</v>
      </c>
      <c r="I3" s="56" t="s">
        <v>65</v>
      </c>
      <c r="J3" s="56"/>
      <c r="K3" s="56"/>
      <c r="L3" s="56"/>
      <c r="M3" s="56"/>
      <c r="N3" s="56" t="s">
        <v>16</v>
      </c>
      <c r="O3" s="64" t="s">
        <v>579</v>
      </c>
      <c r="P3" s="12" t="s">
        <v>21</v>
      </c>
      <c r="Q3" s="96">
        <v>1</v>
      </c>
      <c r="R3" s="96">
        <v>1</v>
      </c>
      <c r="S3" s="96">
        <v>1</v>
      </c>
      <c r="T3" s="96">
        <v>1</v>
      </c>
      <c r="U3" s="96">
        <v>1</v>
      </c>
      <c r="V3" s="96">
        <v>1</v>
      </c>
      <c r="W3" s="96">
        <v>1</v>
      </c>
      <c r="X3" s="96">
        <v>1</v>
      </c>
      <c r="Y3" s="96">
        <v>1</v>
      </c>
      <c r="Z3" s="96">
        <v>1</v>
      </c>
      <c r="AA3" s="96">
        <v>1</v>
      </c>
      <c r="AB3" s="96">
        <v>1</v>
      </c>
      <c r="AC3" s="96">
        <v>1</v>
      </c>
    </row>
    <row r="4" spans="1:29" ht="25.05" customHeight="1" x14ac:dyDescent="0.25">
      <c r="A4" s="36" t="s">
        <v>572</v>
      </c>
      <c r="B4" s="56" t="s">
        <v>573</v>
      </c>
      <c r="C4" s="43" t="s">
        <v>574</v>
      </c>
      <c r="D4" s="56" t="s">
        <v>575</v>
      </c>
      <c r="E4" s="56" t="s">
        <v>576</v>
      </c>
      <c r="F4" s="56" t="s">
        <v>59</v>
      </c>
      <c r="G4" s="56" t="s">
        <v>577</v>
      </c>
      <c r="H4" s="56" t="s">
        <v>67</v>
      </c>
      <c r="I4" s="56" t="s">
        <v>65</v>
      </c>
      <c r="J4" s="56"/>
      <c r="K4" s="56"/>
      <c r="L4" s="56"/>
      <c r="M4" s="56"/>
      <c r="N4" s="56" t="s">
        <v>16</v>
      </c>
      <c r="O4" s="64" t="s">
        <v>580</v>
      </c>
      <c r="P4" s="12" t="s">
        <v>21</v>
      </c>
      <c r="Q4" s="96">
        <v>1</v>
      </c>
      <c r="R4" s="96">
        <v>1</v>
      </c>
      <c r="S4" s="96">
        <v>1</v>
      </c>
      <c r="T4" s="96">
        <v>1</v>
      </c>
      <c r="U4" s="96">
        <v>1</v>
      </c>
      <c r="V4" s="96">
        <v>1</v>
      </c>
      <c r="W4" s="96">
        <v>1</v>
      </c>
      <c r="X4" s="96">
        <v>1</v>
      </c>
      <c r="Y4" s="96">
        <v>1</v>
      </c>
      <c r="Z4" s="96">
        <v>1</v>
      </c>
      <c r="AA4" s="96">
        <v>1</v>
      </c>
      <c r="AB4" s="96">
        <v>1</v>
      </c>
      <c r="AC4" s="96">
        <v>1</v>
      </c>
    </row>
    <row r="5" spans="1:29" ht="25.05" customHeight="1" x14ac:dyDescent="0.25">
      <c r="A5" s="36" t="s">
        <v>572</v>
      </c>
      <c r="B5" s="56" t="s">
        <v>573</v>
      </c>
      <c r="C5" s="43" t="s">
        <v>574</v>
      </c>
      <c r="D5" s="56" t="s">
        <v>575</v>
      </c>
      <c r="E5" s="56" t="s">
        <v>576</v>
      </c>
      <c r="F5" s="56" t="s">
        <v>59</v>
      </c>
      <c r="G5" s="56" t="s">
        <v>577</v>
      </c>
      <c r="H5" s="56" t="s">
        <v>67</v>
      </c>
      <c r="I5" s="56" t="s">
        <v>65</v>
      </c>
      <c r="J5" s="56"/>
      <c r="K5" s="56"/>
      <c r="L5" s="56"/>
      <c r="M5" s="56"/>
      <c r="N5" s="56" t="s">
        <v>16</v>
      </c>
      <c r="O5" s="64" t="s">
        <v>581</v>
      </c>
      <c r="P5" s="12" t="s">
        <v>21</v>
      </c>
      <c r="Q5" s="96">
        <v>1</v>
      </c>
      <c r="R5" s="96">
        <v>1</v>
      </c>
      <c r="S5" s="96">
        <v>1</v>
      </c>
      <c r="T5" s="96">
        <v>1</v>
      </c>
      <c r="U5" s="96">
        <v>1</v>
      </c>
      <c r="V5" s="96">
        <v>1</v>
      </c>
      <c r="W5" s="96">
        <v>1</v>
      </c>
      <c r="X5" s="96">
        <v>1</v>
      </c>
      <c r="Y5" s="96">
        <v>1</v>
      </c>
      <c r="Z5" s="96">
        <v>1</v>
      </c>
      <c r="AA5" s="96">
        <v>1</v>
      </c>
      <c r="AB5" s="96">
        <v>1</v>
      </c>
      <c r="AC5" s="96">
        <v>1</v>
      </c>
    </row>
    <row r="6" spans="1:29" ht="41.4" x14ac:dyDescent="0.25">
      <c r="A6" s="36" t="s">
        <v>572</v>
      </c>
      <c r="B6" s="56" t="s">
        <v>573</v>
      </c>
      <c r="C6" s="43" t="s">
        <v>574</v>
      </c>
      <c r="D6" s="56" t="s">
        <v>575</v>
      </c>
      <c r="E6" s="56" t="s">
        <v>576</v>
      </c>
      <c r="F6" s="56" t="s">
        <v>59</v>
      </c>
      <c r="G6" s="56" t="s">
        <v>577</v>
      </c>
      <c r="H6" s="56" t="s">
        <v>67</v>
      </c>
      <c r="I6" s="56" t="s">
        <v>65</v>
      </c>
      <c r="J6" s="56"/>
      <c r="K6" s="56"/>
      <c r="L6" s="56"/>
      <c r="M6" s="56"/>
      <c r="N6" s="56" t="s">
        <v>16</v>
      </c>
      <c r="O6" s="114" t="s">
        <v>582</v>
      </c>
      <c r="P6" s="12" t="s">
        <v>21</v>
      </c>
      <c r="Q6" s="96">
        <v>1</v>
      </c>
      <c r="R6" s="96">
        <v>1</v>
      </c>
      <c r="S6" s="96">
        <v>1</v>
      </c>
      <c r="T6" s="96">
        <v>1</v>
      </c>
      <c r="U6" s="96">
        <v>1</v>
      </c>
      <c r="V6" s="96">
        <v>1</v>
      </c>
      <c r="W6" s="96">
        <v>1</v>
      </c>
      <c r="X6" s="96">
        <v>1</v>
      </c>
      <c r="Y6" s="96">
        <v>1</v>
      </c>
      <c r="Z6" s="96">
        <v>1</v>
      </c>
      <c r="AA6" s="96">
        <v>1</v>
      </c>
      <c r="AB6" s="96">
        <v>1</v>
      </c>
      <c r="AC6" s="96">
        <v>1</v>
      </c>
    </row>
    <row r="7" spans="1:29" ht="25.05" customHeight="1" x14ac:dyDescent="0.25">
      <c r="A7" s="36" t="s">
        <v>572</v>
      </c>
      <c r="B7" s="56" t="s">
        <v>573</v>
      </c>
      <c r="C7" s="43" t="s">
        <v>574</v>
      </c>
      <c r="D7" s="56" t="s">
        <v>575</v>
      </c>
      <c r="E7" s="56" t="s">
        <v>576</v>
      </c>
      <c r="F7" s="56" t="s">
        <v>59</v>
      </c>
      <c r="G7" s="56" t="s">
        <v>577</v>
      </c>
      <c r="H7" s="56" t="s">
        <v>67</v>
      </c>
      <c r="I7" s="56" t="s">
        <v>65</v>
      </c>
      <c r="J7" s="56"/>
      <c r="K7" s="56"/>
      <c r="L7" s="56"/>
      <c r="M7" s="56"/>
      <c r="N7" s="56" t="s">
        <v>16</v>
      </c>
      <c r="O7" s="64" t="s">
        <v>583</v>
      </c>
      <c r="P7" s="12" t="s">
        <v>21</v>
      </c>
      <c r="Q7" s="96">
        <v>1</v>
      </c>
      <c r="R7" s="96">
        <v>1</v>
      </c>
      <c r="S7" s="96">
        <v>1</v>
      </c>
      <c r="T7" s="96">
        <v>1</v>
      </c>
      <c r="U7" s="96">
        <v>1</v>
      </c>
      <c r="V7" s="96">
        <v>1</v>
      </c>
      <c r="W7" s="96">
        <v>1</v>
      </c>
      <c r="X7" s="96">
        <v>1</v>
      </c>
      <c r="Y7" s="96">
        <v>1</v>
      </c>
      <c r="Z7" s="96">
        <v>1</v>
      </c>
      <c r="AA7" s="96">
        <v>1</v>
      </c>
      <c r="AB7" s="96">
        <v>1</v>
      </c>
      <c r="AC7" s="96">
        <v>1</v>
      </c>
    </row>
    <row r="8" spans="1:29" ht="25.05" customHeight="1" x14ac:dyDescent="0.25">
      <c r="A8" s="36" t="s">
        <v>572</v>
      </c>
      <c r="B8" s="56" t="s">
        <v>573</v>
      </c>
      <c r="C8" s="43" t="s">
        <v>574</v>
      </c>
      <c r="D8" s="56" t="s">
        <v>575</v>
      </c>
      <c r="E8" s="56" t="s">
        <v>576</v>
      </c>
      <c r="F8" s="56" t="s">
        <v>59</v>
      </c>
      <c r="G8" s="56" t="s">
        <v>577</v>
      </c>
      <c r="H8" s="56" t="s">
        <v>67</v>
      </c>
      <c r="I8" s="56" t="s">
        <v>65</v>
      </c>
      <c r="J8" s="56"/>
      <c r="K8" s="56"/>
      <c r="L8" s="56"/>
      <c r="M8" s="56"/>
      <c r="N8" s="56" t="s">
        <v>16</v>
      </c>
      <c r="O8" s="64" t="s">
        <v>584</v>
      </c>
      <c r="P8" s="12" t="s">
        <v>21</v>
      </c>
      <c r="Q8" s="96">
        <v>1</v>
      </c>
      <c r="R8" s="96">
        <v>1</v>
      </c>
      <c r="S8" s="96">
        <v>1</v>
      </c>
      <c r="T8" s="96">
        <v>1</v>
      </c>
      <c r="U8" s="96">
        <v>1</v>
      </c>
      <c r="V8" s="96">
        <v>1</v>
      </c>
      <c r="W8" s="96">
        <v>1</v>
      </c>
      <c r="X8" s="96">
        <v>1</v>
      </c>
      <c r="Y8" s="96">
        <v>1</v>
      </c>
      <c r="Z8" s="96">
        <v>1</v>
      </c>
      <c r="AA8" s="96">
        <v>1</v>
      </c>
      <c r="AB8" s="96">
        <v>1</v>
      </c>
      <c r="AC8" s="96">
        <v>1</v>
      </c>
    </row>
    <row r="9" spans="1:29" ht="25.05" customHeight="1" x14ac:dyDescent="0.25">
      <c r="A9" s="36" t="s">
        <v>572</v>
      </c>
      <c r="B9" s="56" t="s">
        <v>573</v>
      </c>
      <c r="C9" s="43" t="s">
        <v>574</v>
      </c>
      <c r="D9" s="56" t="s">
        <v>575</v>
      </c>
      <c r="E9" s="56" t="s">
        <v>576</v>
      </c>
      <c r="F9" s="56" t="s">
        <v>59</v>
      </c>
      <c r="G9" s="56" t="s">
        <v>577</v>
      </c>
      <c r="H9" s="56" t="s">
        <v>67</v>
      </c>
      <c r="I9" s="56" t="s">
        <v>65</v>
      </c>
      <c r="J9" s="56"/>
      <c r="K9" s="56"/>
      <c r="L9" s="56"/>
      <c r="M9" s="56"/>
      <c r="N9" s="56" t="s">
        <v>16</v>
      </c>
      <c r="O9" s="64" t="s">
        <v>585</v>
      </c>
      <c r="P9" s="12" t="s">
        <v>21</v>
      </c>
      <c r="Q9" s="96">
        <v>1</v>
      </c>
      <c r="R9" s="96">
        <v>1</v>
      </c>
      <c r="S9" s="96">
        <v>1</v>
      </c>
      <c r="T9" s="96">
        <v>1</v>
      </c>
      <c r="U9" s="96">
        <v>1</v>
      </c>
      <c r="V9" s="96">
        <v>1</v>
      </c>
      <c r="W9" s="96">
        <v>1</v>
      </c>
      <c r="X9" s="96">
        <v>1</v>
      </c>
      <c r="Y9" s="96">
        <v>1</v>
      </c>
      <c r="Z9" s="96">
        <v>1</v>
      </c>
      <c r="AA9" s="96">
        <v>1</v>
      </c>
      <c r="AB9" s="96">
        <v>1</v>
      </c>
      <c r="AC9" s="96">
        <v>1</v>
      </c>
    </row>
    <row r="10" spans="1:29" ht="25.05" customHeight="1" x14ac:dyDescent="0.25">
      <c r="A10" s="36" t="s">
        <v>572</v>
      </c>
      <c r="B10" s="56" t="s">
        <v>573</v>
      </c>
      <c r="C10" s="43" t="s">
        <v>574</v>
      </c>
      <c r="D10" s="56" t="s">
        <v>575</v>
      </c>
      <c r="E10" s="56" t="s">
        <v>576</v>
      </c>
      <c r="F10" s="56" t="s">
        <v>59</v>
      </c>
      <c r="G10" s="56" t="s">
        <v>577</v>
      </c>
      <c r="H10" s="56" t="s">
        <v>67</v>
      </c>
      <c r="I10" s="56" t="s">
        <v>65</v>
      </c>
      <c r="J10" s="56"/>
      <c r="K10" s="56"/>
      <c r="L10" s="56"/>
      <c r="M10" s="56"/>
      <c r="N10" s="56" t="s">
        <v>16</v>
      </c>
      <c r="O10" s="64" t="s">
        <v>586</v>
      </c>
      <c r="P10" s="12" t="s">
        <v>21</v>
      </c>
      <c r="Q10" s="96">
        <v>1</v>
      </c>
      <c r="R10" s="96">
        <v>1</v>
      </c>
      <c r="S10" s="96">
        <v>1</v>
      </c>
      <c r="T10" s="96">
        <v>1</v>
      </c>
      <c r="U10" s="96">
        <v>1</v>
      </c>
      <c r="V10" s="96">
        <v>1</v>
      </c>
      <c r="W10" s="96">
        <v>1</v>
      </c>
      <c r="X10" s="96">
        <v>1</v>
      </c>
      <c r="Y10" s="96">
        <v>1</v>
      </c>
      <c r="Z10" s="96">
        <v>1</v>
      </c>
      <c r="AA10" s="96">
        <v>1</v>
      </c>
      <c r="AB10" s="96">
        <v>1</v>
      </c>
      <c r="AC10" s="96">
        <v>1</v>
      </c>
    </row>
    <row r="11" spans="1:29" ht="25.05" customHeight="1" x14ac:dyDescent="0.25">
      <c r="A11" s="36" t="s">
        <v>572</v>
      </c>
      <c r="B11" s="56" t="s">
        <v>573</v>
      </c>
      <c r="C11" s="43" t="s">
        <v>574</v>
      </c>
      <c r="D11" s="56" t="s">
        <v>575</v>
      </c>
      <c r="E11" s="56" t="s">
        <v>576</v>
      </c>
      <c r="F11" s="56" t="s">
        <v>59</v>
      </c>
      <c r="G11" s="56" t="s">
        <v>577</v>
      </c>
      <c r="H11" s="56" t="s">
        <v>67</v>
      </c>
      <c r="I11" s="56" t="s">
        <v>65</v>
      </c>
      <c r="J11" s="56"/>
      <c r="K11" s="56"/>
      <c r="L11" s="56"/>
      <c r="M11" s="56"/>
      <c r="N11" s="56" t="s">
        <v>16</v>
      </c>
      <c r="O11" s="64" t="s">
        <v>587</v>
      </c>
      <c r="P11" s="12" t="s">
        <v>21</v>
      </c>
      <c r="Q11" s="96">
        <v>1</v>
      </c>
      <c r="R11" s="96">
        <v>1</v>
      </c>
      <c r="S11" s="96">
        <v>1</v>
      </c>
      <c r="T11" s="96">
        <v>1</v>
      </c>
      <c r="U11" s="96">
        <v>1</v>
      </c>
      <c r="V11" s="96">
        <v>1</v>
      </c>
      <c r="W11" s="96">
        <v>1</v>
      </c>
      <c r="X11" s="96">
        <v>1</v>
      </c>
      <c r="Y11" s="96">
        <v>1</v>
      </c>
      <c r="Z11" s="96">
        <v>1</v>
      </c>
      <c r="AA11" s="96">
        <v>1</v>
      </c>
      <c r="AB11" s="96">
        <v>1</v>
      </c>
      <c r="AC11" s="96">
        <v>1</v>
      </c>
    </row>
    <row r="12" spans="1:29" ht="25.05" customHeight="1" x14ac:dyDescent="0.25">
      <c r="A12" s="36" t="s">
        <v>572</v>
      </c>
      <c r="B12" s="56" t="s">
        <v>573</v>
      </c>
      <c r="C12" s="43" t="s">
        <v>574</v>
      </c>
      <c r="D12" s="56" t="s">
        <v>575</v>
      </c>
      <c r="E12" s="56" t="s">
        <v>576</v>
      </c>
      <c r="F12" s="56" t="s">
        <v>59</v>
      </c>
      <c r="G12" s="56" t="s">
        <v>577</v>
      </c>
      <c r="H12" s="56" t="s">
        <v>67</v>
      </c>
      <c r="I12" s="56" t="s">
        <v>65</v>
      </c>
      <c r="J12" s="56"/>
      <c r="K12" s="56"/>
      <c r="L12" s="56"/>
      <c r="M12" s="56"/>
      <c r="N12" s="56" t="s">
        <v>16</v>
      </c>
      <c r="O12" s="64" t="s">
        <v>588</v>
      </c>
      <c r="P12" s="12" t="s">
        <v>21</v>
      </c>
      <c r="Q12" s="96">
        <v>1</v>
      </c>
      <c r="R12" s="96">
        <v>1</v>
      </c>
      <c r="S12" s="96">
        <v>1</v>
      </c>
      <c r="T12" s="96">
        <v>1</v>
      </c>
      <c r="U12" s="96">
        <v>1</v>
      </c>
      <c r="V12" s="96">
        <v>1</v>
      </c>
      <c r="W12" s="96">
        <v>1</v>
      </c>
      <c r="X12" s="96">
        <v>1</v>
      </c>
      <c r="Y12" s="96">
        <v>1</v>
      </c>
      <c r="Z12" s="96">
        <v>1</v>
      </c>
      <c r="AA12" s="96">
        <v>1</v>
      </c>
      <c r="AB12" s="96">
        <v>1</v>
      </c>
      <c r="AC12" s="96">
        <v>1</v>
      </c>
    </row>
    <row r="13" spans="1:29" ht="25.05" customHeight="1" x14ac:dyDescent="0.25">
      <c r="A13" s="36" t="s">
        <v>572</v>
      </c>
      <c r="B13" s="56" t="s">
        <v>573</v>
      </c>
      <c r="C13" s="43" t="s">
        <v>574</v>
      </c>
      <c r="D13" s="56" t="s">
        <v>575</v>
      </c>
      <c r="E13" s="56" t="s">
        <v>576</v>
      </c>
      <c r="F13" s="56" t="s">
        <v>59</v>
      </c>
      <c r="G13" s="56" t="s">
        <v>577</v>
      </c>
      <c r="H13" s="56" t="s">
        <v>67</v>
      </c>
      <c r="I13" s="56" t="s">
        <v>65</v>
      </c>
      <c r="J13" s="56"/>
      <c r="K13" s="56"/>
      <c r="L13" s="56"/>
      <c r="M13" s="56"/>
      <c r="N13" s="56" t="s">
        <v>16</v>
      </c>
      <c r="O13" s="64" t="s">
        <v>589</v>
      </c>
      <c r="P13" s="12" t="s">
        <v>21</v>
      </c>
      <c r="Q13" s="96">
        <v>1</v>
      </c>
      <c r="R13" s="96">
        <v>1</v>
      </c>
      <c r="S13" s="96">
        <v>1</v>
      </c>
      <c r="T13" s="96">
        <v>1</v>
      </c>
      <c r="U13" s="96">
        <v>1</v>
      </c>
      <c r="V13" s="96">
        <v>1</v>
      </c>
      <c r="W13" s="96">
        <v>1</v>
      </c>
      <c r="X13" s="96">
        <v>1</v>
      </c>
      <c r="Y13" s="96">
        <v>1</v>
      </c>
      <c r="Z13" s="96">
        <v>1</v>
      </c>
      <c r="AA13" s="96">
        <v>1</v>
      </c>
      <c r="AB13" s="96">
        <v>1</v>
      </c>
      <c r="AC13" s="96">
        <v>1</v>
      </c>
    </row>
    <row r="14" spans="1:29" ht="25.05" customHeight="1" x14ac:dyDescent="0.25">
      <c r="A14" s="36" t="s">
        <v>572</v>
      </c>
      <c r="B14" s="56" t="s">
        <v>573</v>
      </c>
      <c r="C14" s="43" t="s">
        <v>574</v>
      </c>
      <c r="D14" s="56" t="s">
        <v>575</v>
      </c>
      <c r="E14" s="56" t="s">
        <v>576</v>
      </c>
      <c r="F14" s="56" t="s">
        <v>59</v>
      </c>
      <c r="G14" s="56" t="s">
        <v>577</v>
      </c>
      <c r="H14" s="56" t="s">
        <v>67</v>
      </c>
      <c r="I14" s="56" t="s">
        <v>65</v>
      </c>
      <c r="J14" s="56"/>
      <c r="K14" s="56"/>
      <c r="L14" s="56"/>
      <c r="M14" s="56"/>
      <c r="N14" s="56" t="s">
        <v>16</v>
      </c>
      <c r="O14" s="64" t="s">
        <v>590</v>
      </c>
      <c r="P14" s="12" t="s">
        <v>21</v>
      </c>
      <c r="Q14" s="96">
        <v>1</v>
      </c>
      <c r="R14" s="96">
        <v>1</v>
      </c>
      <c r="S14" s="96">
        <v>1</v>
      </c>
      <c r="T14" s="96">
        <v>1</v>
      </c>
      <c r="U14" s="96">
        <v>1</v>
      </c>
      <c r="V14" s="96">
        <v>1</v>
      </c>
      <c r="W14" s="96">
        <v>1</v>
      </c>
      <c r="X14" s="96">
        <v>1</v>
      </c>
      <c r="Y14" s="96">
        <v>1</v>
      </c>
      <c r="Z14" s="96">
        <v>1</v>
      </c>
      <c r="AA14" s="96">
        <v>1</v>
      </c>
      <c r="AB14" s="96">
        <v>1</v>
      </c>
      <c r="AC14" s="96">
        <v>1</v>
      </c>
    </row>
    <row r="15" spans="1:29" ht="25.05" customHeight="1" x14ac:dyDescent="0.25">
      <c r="A15" s="36" t="s">
        <v>572</v>
      </c>
      <c r="B15" s="56" t="s">
        <v>573</v>
      </c>
      <c r="C15" s="43" t="s">
        <v>574</v>
      </c>
      <c r="D15" s="56" t="s">
        <v>575</v>
      </c>
      <c r="E15" s="56" t="s">
        <v>576</v>
      </c>
      <c r="F15" s="56" t="s">
        <v>59</v>
      </c>
      <c r="G15" s="56" t="s">
        <v>577</v>
      </c>
      <c r="H15" s="56" t="s">
        <v>67</v>
      </c>
      <c r="I15" s="56" t="s">
        <v>65</v>
      </c>
      <c r="J15" s="56"/>
      <c r="K15" s="56"/>
      <c r="L15" s="56"/>
      <c r="M15" s="56"/>
      <c r="N15" s="56" t="s">
        <v>16</v>
      </c>
      <c r="O15" s="64" t="s">
        <v>591</v>
      </c>
      <c r="P15" s="12" t="s">
        <v>21</v>
      </c>
      <c r="Q15" s="96">
        <v>1</v>
      </c>
      <c r="R15" s="96">
        <v>1</v>
      </c>
      <c r="S15" s="96">
        <v>1</v>
      </c>
      <c r="T15" s="96">
        <v>1</v>
      </c>
      <c r="U15" s="96">
        <v>1</v>
      </c>
      <c r="V15" s="96">
        <v>1</v>
      </c>
      <c r="W15" s="96">
        <v>1</v>
      </c>
      <c r="X15" s="96">
        <v>1</v>
      </c>
      <c r="Y15" s="96">
        <v>1</v>
      </c>
      <c r="Z15" s="96">
        <v>1</v>
      </c>
      <c r="AA15" s="96">
        <v>1</v>
      </c>
      <c r="AB15" s="96">
        <v>1</v>
      </c>
      <c r="AC15" s="96">
        <v>1</v>
      </c>
    </row>
    <row r="16" spans="1:29" ht="25.05" customHeight="1" x14ac:dyDescent="0.25">
      <c r="A16" s="36" t="s">
        <v>572</v>
      </c>
      <c r="B16" s="56" t="s">
        <v>573</v>
      </c>
      <c r="C16" s="43" t="s">
        <v>574</v>
      </c>
      <c r="D16" s="56" t="s">
        <v>575</v>
      </c>
      <c r="E16" s="56" t="s">
        <v>576</v>
      </c>
      <c r="F16" s="56" t="s">
        <v>59</v>
      </c>
      <c r="G16" s="56" t="s">
        <v>577</v>
      </c>
      <c r="H16" s="56" t="s">
        <v>67</v>
      </c>
      <c r="I16" s="56" t="s">
        <v>65</v>
      </c>
      <c r="J16" s="56"/>
      <c r="K16" s="56"/>
      <c r="L16" s="56"/>
      <c r="M16" s="56"/>
      <c r="N16" s="56" t="s">
        <v>16</v>
      </c>
      <c r="O16" s="120" t="s">
        <v>592</v>
      </c>
      <c r="P16" s="12" t="s">
        <v>21</v>
      </c>
      <c r="Q16" s="96">
        <v>1</v>
      </c>
      <c r="R16" s="96">
        <v>1</v>
      </c>
      <c r="S16" s="96">
        <v>1</v>
      </c>
      <c r="T16" s="96">
        <v>1</v>
      </c>
      <c r="U16" s="96">
        <v>1</v>
      </c>
      <c r="V16" s="96">
        <v>1</v>
      </c>
      <c r="W16" s="96">
        <v>1</v>
      </c>
      <c r="X16" s="96">
        <v>1</v>
      </c>
      <c r="Y16" s="96">
        <v>1</v>
      </c>
      <c r="Z16" s="96">
        <v>1</v>
      </c>
      <c r="AA16" s="96">
        <v>1</v>
      </c>
      <c r="AB16" s="96">
        <v>1</v>
      </c>
      <c r="AC16" s="96">
        <v>1</v>
      </c>
    </row>
  </sheetData>
  <hyperlinks>
    <hyperlink ref="C2" r:id="rId1" xr:uid="{3F7B320F-F96E-452E-AB09-0EFBA094F5DA}"/>
    <hyperlink ref="C3" r:id="rId2" xr:uid="{7DAA54CD-FE68-4640-906C-54C9437CA050}"/>
    <hyperlink ref="C4" r:id="rId3" xr:uid="{48CDB6CA-3A02-420F-A672-920D2B9734A5}"/>
    <hyperlink ref="C5" r:id="rId4" xr:uid="{EDAEE7CD-0FB6-45EE-8E4B-2117F7D7C50C}"/>
    <hyperlink ref="C6" r:id="rId5" xr:uid="{03D2EF62-4441-41E0-BFB6-B3DFF55EC1E4}"/>
    <hyperlink ref="C7" r:id="rId6" xr:uid="{764B0879-D62F-4478-9A95-7B9F740081C4}"/>
    <hyperlink ref="C8" r:id="rId7" xr:uid="{75AC5783-40CB-460C-ACE8-4D89C147EA28}"/>
    <hyperlink ref="C9" r:id="rId8" xr:uid="{4B9DF7B7-735B-465D-AF8B-87411AC5695C}"/>
    <hyperlink ref="C10" r:id="rId9" xr:uid="{15972B5D-F17B-4442-B70B-683C8B3BE72F}"/>
    <hyperlink ref="C11" r:id="rId10" xr:uid="{667C5361-98A1-455A-BB39-925F0C911A0E}"/>
    <hyperlink ref="C12" r:id="rId11" xr:uid="{354124F6-D11C-4C26-B92A-9F10F17D9B14}"/>
    <hyperlink ref="C13" r:id="rId12" xr:uid="{6B2F50CD-AA0A-465A-A58C-CECEDE0BB28D}"/>
    <hyperlink ref="C14" r:id="rId13" xr:uid="{36A66C09-28C0-4643-910B-11C182DC4396}"/>
    <hyperlink ref="C15" r:id="rId14" xr:uid="{53E7F53B-8475-4AD1-A4B7-D2F04E694E47}"/>
    <hyperlink ref="C16" r:id="rId15" xr:uid="{6EEA2B74-41A9-41E7-AD2D-3399210322EF}"/>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B3901-B5CA-4AAA-972C-FE8C761330FB}">
  <dimension ref="A1:AC15"/>
  <sheetViews>
    <sheetView topLeftCell="E1" workbookViewId="0">
      <selection activeCell="F2" sqref="F2"/>
    </sheetView>
  </sheetViews>
  <sheetFormatPr defaultRowHeight="13.2" x14ac:dyDescent="0.25"/>
  <cols>
    <col min="1" max="1" width="12.109375" bestFit="1" customWidth="1"/>
    <col min="2" max="2" width="13.88671875" bestFit="1" customWidth="1"/>
    <col min="3" max="3" width="24" bestFit="1" customWidth="1"/>
    <col min="4" max="4" width="10.21875" bestFit="1" customWidth="1"/>
    <col min="5" max="5" width="9.33203125" bestFit="1" customWidth="1"/>
    <col min="6" max="6" width="11.33203125" bestFit="1" customWidth="1"/>
    <col min="7" max="7" width="12.44140625" bestFit="1" customWidth="1"/>
    <col min="8" max="8" width="8.88671875" bestFit="1" customWidth="1"/>
    <col min="9" max="9" width="12.21875" bestFit="1" customWidth="1"/>
    <col min="10" max="13" width="11.44140625" bestFit="1" customWidth="1"/>
    <col min="14" max="14" width="14.5546875" bestFit="1" customWidth="1"/>
    <col min="15" max="15" width="71" customWidth="1"/>
  </cols>
  <sheetData>
    <row r="1" spans="1:29" ht="41.4" x14ac:dyDescent="0.25">
      <c r="A1" s="35" t="s">
        <v>123</v>
      </c>
      <c r="B1" s="58" t="s">
        <v>1</v>
      </c>
      <c r="C1" s="35" t="s">
        <v>2</v>
      </c>
      <c r="D1" s="58" t="s">
        <v>3</v>
      </c>
      <c r="E1" s="35" t="s">
        <v>4</v>
      </c>
      <c r="F1" s="35" t="s">
        <v>5</v>
      </c>
      <c r="G1" s="35" t="s">
        <v>6</v>
      </c>
      <c r="H1" s="35" t="s">
        <v>7</v>
      </c>
      <c r="I1" s="58" t="s">
        <v>8</v>
      </c>
      <c r="J1" s="35" t="s">
        <v>9</v>
      </c>
      <c r="K1" s="35" t="s">
        <v>10</v>
      </c>
      <c r="L1" s="35" t="s">
        <v>126</v>
      </c>
      <c r="M1" s="35" t="s">
        <v>127</v>
      </c>
      <c r="N1" s="35"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38">
        <v>8602509080</v>
      </c>
      <c r="B2" s="56" t="s">
        <v>634</v>
      </c>
      <c r="C2" s="43" t="s">
        <v>638</v>
      </c>
      <c r="D2" s="56" t="s">
        <v>633</v>
      </c>
      <c r="E2" s="56" t="s">
        <v>635</v>
      </c>
      <c r="F2" s="56" t="s">
        <v>59</v>
      </c>
      <c r="G2" s="56" t="s">
        <v>636</v>
      </c>
      <c r="H2" s="56" t="s">
        <v>266</v>
      </c>
      <c r="I2" s="56" t="s">
        <v>637</v>
      </c>
      <c r="J2" s="56" t="s">
        <v>125</v>
      </c>
      <c r="K2" s="56" t="s">
        <v>115</v>
      </c>
      <c r="L2" s="56"/>
      <c r="M2" s="56"/>
      <c r="N2" s="56" t="s">
        <v>16</v>
      </c>
      <c r="O2" s="13" t="s">
        <v>619</v>
      </c>
      <c r="P2" s="12" t="s">
        <v>21</v>
      </c>
      <c r="Q2" s="96">
        <v>1</v>
      </c>
      <c r="R2" s="96">
        <v>1</v>
      </c>
      <c r="S2" s="96">
        <v>1</v>
      </c>
      <c r="T2" s="96">
        <v>1</v>
      </c>
      <c r="U2" s="96">
        <v>1</v>
      </c>
      <c r="V2" s="96">
        <v>1</v>
      </c>
      <c r="W2" s="96">
        <v>1</v>
      </c>
      <c r="X2" s="96">
        <v>1</v>
      </c>
      <c r="Y2" s="96">
        <v>1</v>
      </c>
      <c r="Z2" s="96">
        <v>1</v>
      </c>
      <c r="AA2" s="96">
        <v>1</v>
      </c>
      <c r="AB2" s="96">
        <v>1</v>
      </c>
      <c r="AC2" s="96">
        <v>1</v>
      </c>
    </row>
    <row r="3" spans="1:29" ht="19.95" customHeight="1" x14ac:dyDescent="0.25">
      <c r="A3" s="38">
        <v>8602509080</v>
      </c>
      <c r="B3" s="56" t="s">
        <v>634</v>
      </c>
      <c r="C3" s="43" t="s">
        <v>638</v>
      </c>
      <c r="D3" s="56" t="s">
        <v>633</v>
      </c>
      <c r="E3" s="56" t="s">
        <v>635</v>
      </c>
      <c r="F3" s="56" t="s">
        <v>59</v>
      </c>
      <c r="G3" s="56" t="s">
        <v>636</v>
      </c>
      <c r="H3" s="56" t="s">
        <v>266</v>
      </c>
      <c r="I3" s="56" t="s">
        <v>637</v>
      </c>
      <c r="J3" s="56" t="s">
        <v>125</v>
      </c>
      <c r="K3" s="56" t="s">
        <v>115</v>
      </c>
      <c r="L3" s="56"/>
      <c r="M3" s="56"/>
      <c r="N3" s="56" t="s">
        <v>16</v>
      </c>
      <c r="O3" s="13" t="s">
        <v>620</v>
      </c>
      <c r="P3" s="12" t="s">
        <v>21</v>
      </c>
      <c r="Q3" s="96">
        <v>1</v>
      </c>
      <c r="R3" s="96">
        <v>1</v>
      </c>
      <c r="S3" s="96">
        <v>1</v>
      </c>
      <c r="T3" s="96">
        <v>1</v>
      </c>
      <c r="U3" s="96">
        <v>1</v>
      </c>
      <c r="V3" s="96">
        <v>1</v>
      </c>
      <c r="W3" s="96">
        <v>1</v>
      </c>
      <c r="X3" s="96">
        <v>1</v>
      </c>
      <c r="Y3" s="96">
        <v>1</v>
      </c>
      <c r="Z3" s="96">
        <v>1</v>
      </c>
      <c r="AA3" s="96">
        <v>1</v>
      </c>
      <c r="AB3" s="96">
        <v>1</v>
      </c>
      <c r="AC3" s="96">
        <v>1</v>
      </c>
    </row>
    <row r="4" spans="1:29" ht="19.95" customHeight="1" x14ac:dyDescent="0.25">
      <c r="A4" s="38">
        <v>8602509080</v>
      </c>
      <c r="B4" s="56" t="s">
        <v>634</v>
      </c>
      <c r="C4" s="43" t="s">
        <v>638</v>
      </c>
      <c r="D4" s="56" t="s">
        <v>633</v>
      </c>
      <c r="E4" s="56" t="s">
        <v>635</v>
      </c>
      <c r="F4" s="56" t="s">
        <v>59</v>
      </c>
      <c r="G4" s="56" t="s">
        <v>636</v>
      </c>
      <c r="H4" s="56" t="s">
        <v>266</v>
      </c>
      <c r="I4" s="56" t="s">
        <v>637</v>
      </c>
      <c r="J4" s="56" t="s">
        <v>125</v>
      </c>
      <c r="K4" s="56" t="s">
        <v>115</v>
      </c>
      <c r="L4" s="56"/>
      <c r="M4" s="56"/>
      <c r="N4" s="56" t="s">
        <v>16</v>
      </c>
      <c r="O4" s="121" t="s">
        <v>621</v>
      </c>
      <c r="P4" s="12" t="s">
        <v>21</v>
      </c>
      <c r="Q4" s="96">
        <v>1</v>
      </c>
      <c r="R4" s="96">
        <v>1</v>
      </c>
      <c r="S4" s="96">
        <v>1</v>
      </c>
      <c r="T4" s="96">
        <v>1</v>
      </c>
      <c r="U4" s="96">
        <v>1</v>
      </c>
      <c r="V4" s="96">
        <v>1</v>
      </c>
      <c r="W4" s="96">
        <v>1</v>
      </c>
      <c r="X4" s="96">
        <v>1</v>
      </c>
      <c r="Y4" s="96">
        <v>1</v>
      </c>
      <c r="Z4" s="96">
        <v>1</v>
      </c>
      <c r="AA4" s="96">
        <v>1</v>
      </c>
      <c r="AB4" s="96">
        <v>1</v>
      </c>
      <c r="AC4" s="96">
        <v>1</v>
      </c>
    </row>
    <row r="5" spans="1:29" ht="19.95" customHeight="1" x14ac:dyDescent="0.25">
      <c r="A5" s="38">
        <v>8602509080</v>
      </c>
      <c r="B5" s="56" t="s">
        <v>634</v>
      </c>
      <c r="C5" s="43" t="s">
        <v>638</v>
      </c>
      <c r="D5" s="56" t="s">
        <v>633</v>
      </c>
      <c r="E5" s="56" t="s">
        <v>635</v>
      </c>
      <c r="F5" s="56" t="s">
        <v>59</v>
      </c>
      <c r="G5" s="56" t="s">
        <v>636</v>
      </c>
      <c r="H5" s="56" t="s">
        <v>266</v>
      </c>
      <c r="I5" s="56" t="s">
        <v>637</v>
      </c>
      <c r="J5" s="56" t="s">
        <v>125</v>
      </c>
      <c r="K5" s="56" t="s">
        <v>115</v>
      </c>
      <c r="L5" s="56"/>
      <c r="M5" s="56"/>
      <c r="N5" s="56" t="s">
        <v>16</v>
      </c>
      <c r="O5" s="13" t="s">
        <v>622</v>
      </c>
      <c r="P5" s="12" t="s">
        <v>21</v>
      </c>
      <c r="Q5" s="96">
        <v>1</v>
      </c>
      <c r="R5" s="96">
        <v>1</v>
      </c>
      <c r="S5" s="96">
        <v>1</v>
      </c>
      <c r="T5" s="96">
        <v>1</v>
      </c>
      <c r="U5" s="96">
        <v>1</v>
      </c>
      <c r="V5" s="96">
        <v>1</v>
      </c>
      <c r="W5" s="96">
        <v>1</v>
      </c>
      <c r="X5" s="96">
        <v>1</v>
      </c>
      <c r="Y5" s="96">
        <v>1</v>
      </c>
      <c r="Z5" s="96">
        <v>1</v>
      </c>
      <c r="AA5" s="96">
        <v>1</v>
      </c>
      <c r="AB5" s="96">
        <v>1</v>
      </c>
      <c r="AC5" s="96">
        <v>1</v>
      </c>
    </row>
    <row r="6" spans="1:29" ht="19.95" customHeight="1" x14ac:dyDescent="0.25">
      <c r="A6" s="38">
        <v>8602509080</v>
      </c>
      <c r="B6" s="56" t="s">
        <v>634</v>
      </c>
      <c r="C6" s="43" t="s">
        <v>638</v>
      </c>
      <c r="D6" s="56" t="s">
        <v>633</v>
      </c>
      <c r="E6" s="56" t="s">
        <v>635</v>
      </c>
      <c r="F6" s="56" t="s">
        <v>59</v>
      </c>
      <c r="G6" s="56" t="s">
        <v>636</v>
      </c>
      <c r="H6" s="56" t="s">
        <v>266</v>
      </c>
      <c r="I6" s="56" t="s">
        <v>637</v>
      </c>
      <c r="J6" s="56" t="s">
        <v>125</v>
      </c>
      <c r="K6" s="56" t="s">
        <v>115</v>
      </c>
      <c r="L6" s="56"/>
      <c r="M6" s="56"/>
      <c r="N6" s="56" t="s">
        <v>16</v>
      </c>
      <c r="O6" s="13" t="s">
        <v>623</v>
      </c>
      <c r="P6" s="12" t="s">
        <v>21</v>
      </c>
      <c r="Q6" s="96">
        <v>1</v>
      </c>
      <c r="R6" s="96">
        <v>1</v>
      </c>
      <c r="S6" s="96">
        <v>1</v>
      </c>
      <c r="T6" s="96">
        <v>1</v>
      </c>
      <c r="U6" s="96">
        <v>1</v>
      </c>
      <c r="V6" s="96">
        <v>1</v>
      </c>
      <c r="W6" s="96">
        <v>1</v>
      </c>
      <c r="X6" s="96">
        <v>1</v>
      </c>
      <c r="Y6" s="96">
        <v>1</v>
      </c>
      <c r="Z6" s="96">
        <v>1</v>
      </c>
      <c r="AA6" s="96">
        <v>1</v>
      </c>
      <c r="AB6" s="96">
        <v>1</v>
      </c>
      <c r="AC6" s="96">
        <v>1</v>
      </c>
    </row>
    <row r="7" spans="1:29" ht="19.95" customHeight="1" x14ac:dyDescent="0.25">
      <c r="A7" s="38">
        <v>8602509080</v>
      </c>
      <c r="B7" s="56" t="s">
        <v>634</v>
      </c>
      <c r="C7" s="43" t="s">
        <v>638</v>
      </c>
      <c r="D7" s="56" t="s">
        <v>633</v>
      </c>
      <c r="E7" s="56" t="s">
        <v>635</v>
      </c>
      <c r="F7" s="56" t="s">
        <v>59</v>
      </c>
      <c r="G7" s="56" t="s">
        <v>636</v>
      </c>
      <c r="H7" s="56" t="s">
        <v>266</v>
      </c>
      <c r="I7" s="56" t="s">
        <v>637</v>
      </c>
      <c r="J7" s="56" t="s">
        <v>125</v>
      </c>
      <c r="K7" s="56" t="s">
        <v>115</v>
      </c>
      <c r="L7" s="56"/>
      <c r="M7" s="56"/>
      <c r="N7" s="56" t="s">
        <v>16</v>
      </c>
      <c r="O7" s="13" t="s">
        <v>624</v>
      </c>
      <c r="P7" s="12" t="s">
        <v>21</v>
      </c>
      <c r="Q7" s="96">
        <v>1</v>
      </c>
      <c r="R7" s="96">
        <v>1</v>
      </c>
      <c r="S7" s="96">
        <v>1</v>
      </c>
      <c r="T7" s="96">
        <v>1</v>
      </c>
      <c r="U7" s="96">
        <v>1</v>
      </c>
      <c r="V7" s="96">
        <v>1</v>
      </c>
      <c r="W7" s="96">
        <v>1</v>
      </c>
      <c r="X7" s="96">
        <v>1</v>
      </c>
      <c r="Y7" s="96">
        <v>1</v>
      </c>
      <c r="Z7" s="96">
        <v>1</v>
      </c>
      <c r="AA7" s="96">
        <v>1</v>
      </c>
      <c r="AB7" s="96">
        <v>1</v>
      </c>
      <c r="AC7" s="96">
        <v>1</v>
      </c>
    </row>
    <row r="8" spans="1:29" ht="19.95" customHeight="1" x14ac:dyDescent="0.25">
      <c r="A8" s="38">
        <v>8602509080</v>
      </c>
      <c r="B8" s="56" t="s">
        <v>634</v>
      </c>
      <c r="C8" s="43" t="s">
        <v>638</v>
      </c>
      <c r="D8" s="56" t="s">
        <v>633</v>
      </c>
      <c r="E8" s="56" t="s">
        <v>635</v>
      </c>
      <c r="F8" s="56" t="s">
        <v>59</v>
      </c>
      <c r="G8" s="56" t="s">
        <v>636</v>
      </c>
      <c r="H8" s="56" t="s">
        <v>266</v>
      </c>
      <c r="I8" s="56" t="s">
        <v>637</v>
      </c>
      <c r="J8" s="56" t="s">
        <v>125</v>
      </c>
      <c r="K8" s="56" t="s">
        <v>115</v>
      </c>
      <c r="L8" s="56"/>
      <c r="M8" s="56"/>
      <c r="N8" s="56" t="s">
        <v>16</v>
      </c>
      <c r="O8" s="13" t="s">
        <v>625</v>
      </c>
      <c r="P8" s="12" t="s">
        <v>21</v>
      </c>
      <c r="Q8" s="96">
        <v>1</v>
      </c>
      <c r="R8" s="96">
        <v>1</v>
      </c>
      <c r="S8" s="96">
        <v>1</v>
      </c>
      <c r="T8" s="96">
        <v>1</v>
      </c>
      <c r="U8" s="96">
        <v>1</v>
      </c>
      <c r="V8" s="96">
        <v>1</v>
      </c>
      <c r="W8" s="96">
        <v>1</v>
      </c>
      <c r="X8" s="96">
        <v>1</v>
      </c>
      <c r="Y8" s="96">
        <v>1</v>
      </c>
      <c r="Z8" s="96">
        <v>1</v>
      </c>
      <c r="AA8" s="96">
        <v>1</v>
      </c>
      <c r="AB8" s="96">
        <v>1</v>
      </c>
      <c r="AC8" s="96">
        <v>1</v>
      </c>
    </row>
    <row r="9" spans="1:29" ht="19.95" customHeight="1" x14ac:dyDescent="0.25">
      <c r="A9" s="38">
        <v>8602509080</v>
      </c>
      <c r="B9" s="56" t="s">
        <v>634</v>
      </c>
      <c r="C9" s="43" t="s">
        <v>638</v>
      </c>
      <c r="D9" s="56" t="s">
        <v>633</v>
      </c>
      <c r="E9" s="56" t="s">
        <v>635</v>
      </c>
      <c r="F9" s="56" t="s">
        <v>59</v>
      </c>
      <c r="G9" s="56" t="s">
        <v>636</v>
      </c>
      <c r="H9" s="56" t="s">
        <v>266</v>
      </c>
      <c r="I9" s="56" t="s">
        <v>637</v>
      </c>
      <c r="J9" s="56" t="s">
        <v>125</v>
      </c>
      <c r="K9" s="56" t="s">
        <v>115</v>
      </c>
      <c r="L9" s="56"/>
      <c r="M9" s="56"/>
      <c r="N9" s="56" t="s">
        <v>16</v>
      </c>
      <c r="O9" s="13" t="s">
        <v>626</v>
      </c>
      <c r="P9" s="12" t="s">
        <v>21</v>
      </c>
      <c r="Q9" s="96">
        <v>1</v>
      </c>
      <c r="R9" s="96">
        <v>1</v>
      </c>
      <c r="S9" s="96">
        <v>1</v>
      </c>
      <c r="T9" s="96">
        <v>1</v>
      </c>
      <c r="U9" s="96">
        <v>1</v>
      </c>
      <c r="V9" s="96">
        <v>1</v>
      </c>
      <c r="W9" s="96">
        <v>1</v>
      </c>
      <c r="X9" s="96">
        <v>1</v>
      </c>
      <c r="Y9" s="96">
        <v>1</v>
      </c>
      <c r="Z9" s="96">
        <v>1</v>
      </c>
      <c r="AA9" s="96">
        <v>1</v>
      </c>
      <c r="AB9" s="96">
        <v>1</v>
      </c>
      <c r="AC9" s="96">
        <v>1</v>
      </c>
    </row>
    <row r="10" spans="1:29" ht="19.95" customHeight="1" x14ac:dyDescent="0.25">
      <c r="A10" s="38">
        <v>8602509080</v>
      </c>
      <c r="B10" s="56" t="s">
        <v>634</v>
      </c>
      <c r="C10" s="43" t="s">
        <v>638</v>
      </c>
      <c r="D10" s="56" t="s">
        <v>633</v>
      </c>
      <c r="E10" s="56" t="s">
        <v>635</v>
      </c>
      <c r="F10" s="56" t="s">
        <v>59</v>
      </c>
      <c r="G10" s="56" t="s">
        <v>636</v>
      </c>
      <c r="H10" s="56" t="s">
        <v>266</v>
      </c>
      <c r="I10" s="56" t="s">
        <v>637</v>
      </c>
      <c r="J10" s="56" t="s">
        <v>125</v>
      </c>
      <c r="K10" s="56" t="s">
        <v>115</v>
      </c>
      <c r="L10" s="56"/>
      <c r="M10" s="56"/>
      <c r="N10" s="56" t="s">
        <v>16</v>
      </c>
      <c r="O10" s="13" t="s">
        <v>627</v>
      </c>
      <c r="P10" s="12" t="s">
        <v>21</v>
      </c>
      <c r="Q10" s="96">
        <v>1</v>
      </c>
      <c r="R10" s="96">
        <v>1</v>
      </c>
      <c r="S10" s="96">
        <v>1</v>
      </c>
      <c r="T10" s="96">
        <v>1</v>
      </c>
      <c r="U10" s="96">
        <v>1</v>
      </c>
      <c r="V10" s="96">
        <v>1</v>
      </c>
      <c r="W10" s="96">
        <v>1</v>
      </c>
      <c r="X10" s="96">
        <v>1</v>
      </c>
      <c r="Y10" s="96">
        <v>1</v>
      </c>
      <c r="Z10" s="96">
        <v>1</v>
      </c>
      <c r="AA10" s="96">
        <v>1</v>
      </c>
      <c r="AB10" s="96">
        <v>1</v>
      </c>
      <c r="AC10" s="96">
        <v>1</v>
      </c>
    </row>
    <row r="11" spans="1:29" ht="19.95" customHeight="1" x14ac:dyDescent="0.25">
      <c r="A11" s="38">
        <v>8602509080</v>
      </c>
      <c r="B11" s="56" t="s">
        <v>634</v>
      </c>
      <c r="C11" s="43" t="s">
        <v>638</v>
      </c>
      <c r="D11" s="56" t="s">
        <v>633</v>
      </c>
      <c r="E11" s="56" t="s">
        <v>635</v>
      </c>
      <c r="F11" s="56" t="s">
        <v>59</v>
      </c>
      <c r="G11" s="56" t="s">
        <v>636</v>
      </c>
      <c r="H11" s="56" t="s">
        <v>266</v>
      </c>
      <c r="I11" s="56" t="s">
        <v>637</v>
      </c>
      <c r="J11" s="56" t="s">
        <v>125</v>
      </c>
      <c r="K11" s="56" t="s">
        <v>115</v>
      </c>
      <c r="L11" s="56"/>
      <c r="M11" s="56"/>
      <c r="N11" s="56" t="s">
        <v>16</v>
      </c>
      <c r="O11" s="13" t="s">
        <v>628</v>
      </c>
      <c r="P11" s="12" t="s">
        <v>21</v>
      </c>
      <c r="Q11" s="96">
        <v>1</v>
      </c>
      <c r="R11" s="96">
        <v>1</v>
      </c>
      <c r="S11" s="96">
        <v>1</v>
      </c>
      <c r="T11" s="96">
        <v>1</v>
      </c>
      <c r="U11" s="96">
        <v>1</v>
      </c>
      <c r="V11" s="96">
        <v>1</v>
      </c>
      <c r="W11" s="96">
        <v>1</v>
      </c>
      <c r="X11" s="96">
        <v>1</v>
      </c>
      <c r="Y11" s="96">
        <v>1</v>
      </c>
      <c r="Z11" s="96">
        <v>1</v>
      </c>
      <c r="AA11" s="96">
        <v>1</v>
      </c>
      <c r="AB11" s="96">
        <v>1</v>
      </c>
      <c r="AC11" s="96">
        <v>1</v>
      </c>
    </row>
    <row r="12" spans="1:29" ht="19.95" customHeight="1" x14ac:dyDescent="0.25">
      <c r="A12" s="38">
        <v>8602509080</v>
      </c>
      <c r="B12" s="56" t="s">
        <v>634</v>
      </c>
      <c r="C12" s="43" t="s">
        <v>638</v>
      </c>
      <c r="D12" s="56" t="s">
        <v>633</v>
      </c>
      <c r="E12" s="56" t="s">
        <v>635</v>
      </c>
      <c r="F12" s="56" t="s">
        <v>59</v>
      </c>
      <c r="G12" s="56" t="s">
        <v>636</v>
      </c>
      <c r="H12" s="56" t="s">
        <v>266</v>
      </c>
      <c r="I12" s="56" t="s">
        <v>637</v>
      </c>
      <c r="J12" s="56" t="s">
        <v>125</v>
      </c>
      <c r="K12" s="56" t="s">
        <v>115</v>
      </c>
      <c r="L12" s="56"/>
      <c r="M12" s="56"/>
      <c r="N12" s="56" t="s">
        <v>16</v>
      </c>
      <c r="O12" s="13" t="s">
        <v>629</v>
      </c>
      <c r="P12" s="12" t="s">
        <v>21</v>
      </c>
      <c r="Q12" s="96">
        <v>1</v>
      </c>
      <c r="R12" s="96">
        <v>1</v>
      </c>
      <c r="S12" s="96">
        <v>1</v>
      </c>
      <c r="T12" s="96">
        <v>1</v>
      </c>
      <c r="U12" s="96">
        <v>1</v>
      </c>
      <c r="V12" s="96">
        <v>1</v>
      </c>
      <c r="W12" s="96">
        <v>1</v>
      </c>
      <c r="X12" s="96">
        <v>1</v>
      </c>
      <c r="Y12" s="96">
        <v>1</v>
      </c>
      <c r="Z12" s="96">
        <v>1</v>
      </c>
      <c r="AA12" s="96">
        <v>1</v>
      </c>
      <c r="AB12" s="96">
        <v>1</v>
      </c>
      <c r="AC12" s="96">
        <v>1</v>
      </c>
    </row>
    <row r="13" spans="1:29" ht="19.95" customHeight="1" x14ac:dyDescent="0.25">
      <c r="A13" s="38">
        <v>8602509080</v>
      </c>
      <c r="B13" s="56" t="s">
        <v>634</v>
      </c>
      <c r="C13" s="43" t="s">
        <v>638</v>
      </c>
      <c r="D13" s="56" t="s">
        <v>633</v>
      </c>
      <c r="E13" s="56" t="s">
        <v>635</v>
      </c>
      <c r="F13" s="56" t="s">
        <v>59</v>
      </c>
      <c r="G13" s="56" t="s">
        <v>636</v>
      </c>
      <c r="H13" s="56" t="s">
        <v>266</v>
      </c>
      <c r="I13" s="56" t="s">
        <v>637</v>
      </c>
      <c r="J13" s="56" t="s">
        <v>125</v>
      </c>
      <c r="K13" s="56" t="s">
        <v>115</v>
      </c>
      <c r="L13" s="56"/>
      <c r="M13" s="56"/>
      <c r="N13" s="56" t="s">
        <v>16</v>
      </c>
      <c r="O13" s="13" t="s">
        <v>630</v>
      </c>
      <c r="P13" s="12" t="s">
        <v>21</v>
      </c>
      <c r="Q13" s="96">
        <v>1</v>
      </c>
      <c r="R13" s="96">
        <v>1</v>
      </c>
      <c r="S13" s="96">
        <v>1</v>
      </c>
      <c r="T13" s="96">
        <v>1</v>
      </c>
      <c r="U13" s="96">
        <v>1</v>
      </c>
      <c r="V13" s="96">
        <v>1</v>
      </c>
      <c r="W13" s="96">
        <v>1</v>
      </c>
      <c r="X13" s="96">
        <v>1</v>
      </c>
      <c r="Y13" s="96">
        <v>1</v>
      </c>
      <c r="Z13" s="96">
        <v>1</v>
      </c>
      <c r="AA13" s="96">
        <v>1</v>
      </c>
      <c r="AB13" s="96">
        <v>1</v>
      </c>
      <c r="AC13" s="96">
        <v>1</v>
      </c>
    </row>
    <row r="14" spans="1:29" ht="19.95" customHeight="1" x14ac:dyDescent="0.25">
      <c r="A14" s="38">
        <v>8602509080</v>
      </c>
      <c r="B14" s="56" t="s">
        <v>634</v>
      </c>
      <c r="C14" s="43" t="s">
        <v>638</v>
      </c>
      <c r="D14" s="56" t="s">
        <v>633</v>
      </c>
      <c r="E14" s="56" t="s">
        <v>635</v>
      </c>
      <c r="F14" s="56" t="s">
        <v>59</v>
      </c>
      <c r="G14" s="56" t="s">
        <v>636</v>
      </c>
      <c r="H14" s="56" t="s">
        <v>266</v>
      </c>
      <c r="I14" s="56" t="s">
        <v>637</v>
      </c>
      <c r="J14" s="56" t="s">
        <v>125</v>
      </c>
      <c r="K14" s="56" t="s">
        <v>115</v>
      </c>
      <c r="L14" s="56"/>
      <c r="M14" s="56"/>
      <c r="N14" s="56" t="s">
        <v>16</v>
      </c>
      <c r="O14" s="13" t="s">
        <v>631</v>
      </c>
      <c r="P14" s="12" t="s">
        <v>21</v>
      </c>
      <c r="Q14" s="96">
        <v>1</v>
      </c>
      <c r="R14" s="96">
        <v>1</v>
      </c>
      <c r="S14" s="96">
        <v>1</v>
      </c>
      <c r="T14" s="96">
        <v>1</v>
      </c>
      <c r="U14" s="96">
        <v>1</v>
      </c>
      <c r="V14" s="96">
        <v>1</v>
      </c>
      <c r="W14" s="96">
        <v>1</v>
      </c>
      <c r="X14" s="96">
        <v>1</v>
      </c>
      <c r="Y14" s="96">
        <v>1</v>
      </c>
      <c r="Z14" s="96">
        <v>1</v>
      </c>
      <c r="AA14" s="96">
        <v>1</v>
      </c>
      <c r="AB14" s="96">
        <v>1</v>
      </c>
      <c r="AC14" s="96">
        <v>1</v>
      </c>
    </row>
    <row r="15" spans="1:29" ht="19.95" customHeight="1" x14ac:dyDescent="0.25">
      <c r="A15" s="38">
        <v>8602509080</v>
      </c>
      <c r="B15" s="56" t="s">
        <v>634</v>
      </c>
      <c r="C15" s="43" t="s">
        <v>638</v>
      </c>
      <c r="D15" s="56" t="s">
        <v>633</v>
      </c>
      <c r="E15" s="56" t="s">
        <v>635</v>
      </c>
      <c r="F15" s="56" t="s">
        <v>59</v>
      </c>
      <c r="G15" s="56" t="s">
        <v>636</v>
      </c>
      <c r="H15" s="56" t="s">
        <v>266</v>
      </c>
      <c r="I15" s="56" t="s">
        <v>637</v>
      </c>
      <c r="J15" s="56" t="s">
        <v>125</v>
      </c>
      <c r="K15" s="56" t="s">
        <v>115</v>
      </c>
      <c r="L15" s="56"/>
      <c r="M15" s="56"/>
      <c r="N15" s="56" t="s">
        <v>16</v>
      </c>
      <c r="O15" s="13" t="s">
        <v>632</v>
      </c>
      <c r="P15" s="12" t="s">
        <v>21</v>
      </c>
      <c r="Q15" s="96">
        <v>1</v>
      </c>
      <c r="R15" s="96">
        <v>1</v>
      </c>
      <c r="S15" s="96">
        <v>1</v>
      </c>
      <c r="T15" s="96">
        <v>1</v>
      </c>
      <c r="U15" s="96">
        <v>1</v>
      </c>
      <c r="V15" s="96">
        <v>1</v>
      </c>
      <c r="W15" s="96">
        <v>1</v>
      </c>
      <c r="X15" s="96">
        <v>1</v>
      </c>
      <c r="Y15" s="96">
        <v>1</v>
      </c>
      <c r="Z15" s="96">
        <v>1</v>
      </c>
      <c r="AA15" s="96">
        <v>1</v>
      </c>
      <c r="AB15" s="96">
        <v>1</v>
      </c>
      <c r="AC15" s="96">
        <v>1</v>
      </c>
    </row>
  </sheetData>
  <hyperlinks>
    <hyperlink ref="C2" r:id="rId1" xr:uid="{B48F5810-EA6E-4383-9E12-5940E61900BD}"/>
    <hyperlink ref="C3" r:id="rId2" xr:uid="{EFA26B1F-2D7D-49E4-8B66-47F355CF8D3B}"/>
    <hyperlink ref="C4" r:id="rId3" xr:uid="{20EE1E58-0279-4828-92BC-EC9C16A9E784}"/>
    <hyperlink ref="C5" r:id="rId4" xr:uid="{197B496D-E99B-44D5-A129-DF19939D0352}"/>
    <hyperlink ref="C6" r:id="rId5" xr:uid="{54E056CE-5BC4-47D1-9B53-E5636BB8078E}"/>
    <hyperlink ref="C7" r:id="rId6" xr:uid="{5F8702E5-DEEA-45C7-9FF7-C668020FD4C8}"/>
    <hyperlink ref="C8" r:id="rId7" xr:uid="{96EB6A52-10F2-424F-9716-EBC1DEE076AB}"/>
    <hyperlink ref="C9" r:id="rId8" xr:uid="{B276CACD-E3CB-4323-BB70-694B6BFA784B}"/>
    <hyperlink ref="C10" r:id="rId9" xr:uid="{24559F0B-D044-4490-B378-9DF5CF8CA124}"/>
    <hyperlink ref="C11" r:id="rId10" xr:uid="{8C3E6279-9B41-4AF1-86F0-9FCB630B4BE8}"/>
    <hyperlink ref="C12" r:id="rId11" xr:uid="{18152828-13A7-4E12-B53D-0EF2738B4203}"/>
    <hyperlink ref="C13" r:id="rId12" xr:uid="{95592848-4521-4691-90B5-EC1DEFDB42AD}"/>
    <hyperlink ref="C14" r:id="rId13" xr:uid="{71A463B0-54F6-4E2D-83E2-0EAA9BB1B4D0}"/>
    <hyperlink ref="C15" r:id="rId14" xr:uid="{41367390-CEE9-4C17-9276-0C8F0F8F95A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9F494-9BE4-4959-AD5A-8CADC161B7DA}">
  <dimension ref="A1:AC12"/>
  <sheetViews>
    <sheetView topLeftCell="P1" workbookViewId="0">
      <selection sqref="A1:AC1"/>
    </sheetView>
  </sheetViews>
  <sheetFormatPr defaultColWidth="9.6640625" defaultRowHeight="15.6" x14ac:dyDescent="0.25"/>
  <cols>
    <col min="1" max="1" width="12.109375" style="7" bestFit="1" customWidth="1"/>
    <col min="2" max="2" width="18.109375" style="7" bestFit="1" customWidth="1"/>
    <col min="3" max="3" width="27.33203125" style="7" bestFit="1" customWidth="1"/>
    <col min="4" max="4" width="9.5546875" style="7" bestFit="1" customWidth="1"/>
    <col min="5" max="5" width="15.21875" style="7" bestFit="1" customWidth="1"/>
    <col min="6" max="6" width="8.44140625" style="7" bestFit="1" customWidth="1"/>
    <col min="7" max="7" width="17.5546875" style="7" bestFit="1" customWidth="1"/>
    <col min="8" max="8" width="8.88671875" style="7" bestFit="1" customWidth="1"/>
    <col min="9" max="9" width="14.5546875" style="7" bestFit="1" customWidth="1"/>
    <col min="10" max="13" width="10.88671875" style="7" bestFit="1" customWidth="1"/>
    <col min="14" max="14" width="13.33203125" style="7" bestFit="1" customWidth="1"/>
    <col min="15" max="15" width="71.21875" style="7" customWidth="1"/>
    <col min="16" max="20" width="13.88671875" style="7" customWidth="1"/>
    <col min="21" max="23" width="13.88671875" style="8" customWidth="1"/>
    <col min="24" max="29" width="13.88671875" style="7" customWidth="1"/>
    <col min="30" max="16384" width="9.6640625" style="7"/>
  </cols>
  <sheetData>
    <row r="1" spans="1:29" s="9" customFormat="1" ht="27.6" x14ac:dyDescent="0.25">
      <c r="A1" s="59" t="s">
        <v>123</v>
      </c>
      <c r="B1" s="60" t="s">
        <v>1</v>
      </c>
      <c r="C1" s="59" t="s">
        <v>2</v>
      </c>
      <c r="D1" s="60" t="s">
        <v>3</v>
      </c>
      <c r="E1" s="59" t="s">
        <v>4</v>
      </c>
      <c r="F1" s="59" t="s">
        <v>5</v>
      </c>
      <c r="G1" s="59" t="s">
        <v>6</v>
      </c>
      <c r="H1" s="59" t="s">
        <v>7</v>
      </c>
      <c r="I1" s="60" t="s">
        <v>8</v>
      </c>
      <c r="J1" s="59" t="s">
        <v>9</v>
      </c>
      <c r="K1" s="59" t="s">
        <v>10</v>
      </c>
      <c r="L1" s="59" t="s">
        <v>126</v>
      </c>
      <c r="M1" s="59" t="s">
        <v>127</v>
      </c>
      <c r="N1" s="59"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s="98" customFormat="1" ht="19.95" customHeight="1" x14ac:dyDescent="0.25">
      <c r="A2" s="88">
        <v>9165966477</v>
      </c>
      <c r="B2" s="12" t="s">
        <v>436</v>
      </c>
      <c r="C2" s="43" t="s">
        <v>435</v>
      </c>
      <c r="D2" s="12" t="s">
        <v>437</v>
      </c>
      <c r="E2" s="12" t="s">
        <v>438</v>
      </c>
      <c r="F2" s="12" t="s">
        <v>439</v>
      </c>
      <c r="G2" s="12" t="s">
        <v>440</v>
      </c>
      <c r="H2" s="12" t="s">
        <v>441</v>
      </c>
      <c r="I2" s="12" t="s">
        <v>118</v>
      </c>
      <c r="J2" s="12"/>
      <c r="K2" s="12"/>
      <c r="L2" s="12"/>
      <c r="M2" s="12"/>
      <c r="N2" s="12" t="s">
        <v>16</v>
      </c>
      <c r="O2" s="13" t="s">
        <v>424</v>
      </c>
      <c r="P2" s="38" t="s">
        <v>20</v>
      </c>
      <c r="Q2" s="99">
        <v>35500000</v>
      </c>
      <c r="R2" s="99">
        <v>2200000</v>
      </c>
      <c r="S2" s="99">
        <v>2200000</v>
      </c>
      <c r="T2" s="99">
        <v>2500000</v>
      </c>
      <c r="U2" s="99">
        <v>2500000</v>
      </c>
      <c r="V2" s="99">
        <v>2800000</v>
      </c>
      <c r="W2" s="99">
        <v>2800000</v>
      </c>
      <c r="X2" s="99">
        <v>3000000</v>
      </c>
      <c r="Y2" s="99">
        <v>3000000</v>
      </c>
      <c r="Z2" s="99">
        <v>3000000</v>
      </c>
      <c r="AA2" s="99">
        <v>3500000</v>
      </c>
      <c r="AB2" s="99">
        <v>3500000</v>
      </c>
      <c r="AC2" s="99">
        <v>4500000</v>
      </c>
    </row>
    <row r="3" spans="1:29" s="98" customFormat="1" ht="19.95" customHeight="1" x14ac:dyDescent="0.25">
      <c r="A3" s="88">
        <v>9165966477</v>
      </c>
      <c r="B3" s="12" t="s">
        <v>436</v>
      </c>
      <c r="C3" s="43" t="s">
        <v>435</v>
      </c>
      <c r="D3" s="12" t="s">
        <v>437</v>
      </c>
      <c r="E3" s="12" t="s">
        <v>438</v>
      </c>
      <c r="F3" s="12" t="s">
        <v>439</v>
      </c>
      <c r="G3" s="12" t="s">
        <v>440</v>
      </c>
      <c r="H3" s="12" t="s">
        <v>441</v>
      </c>
      <c r="I3" s="12" t="s">
        <v>118</v>
      </c>
      <c r="J3" s="12"/>
      <c r="K3" s="12"/>
      <c r="L3" s="12"/>
      <c r="M3" s="12"/>
      <c r="N3" s="12" t="s">
        <v>16</v>
      </c>
      <c r="O3" s="13" t="s">
        <v>425</v>
      </c>
      <c r="P3" s="38" t="s">
        <v>21</v>
      </c>
      <c r="Q3" s="100">
        <v>1</v>
      </c>
      <c r="R3" s="100">
        <v>1</v>
      </c>
      <c r="S3" s="100">
        <v>1</v>
      </c>
      <c r="T3" s="100">
        <v>1</v>
      </c>
      <c r="U3" s="100">
        <v>1</v>
      </c>
      <c r="V3" s="100">
        <v>1</v>
      </c>
      <c r="W3" s="100">
        <v>1</v>
      </c>
      <c r="X3" s="100">
        <v>1</v>
      </c>
      <c r="Y3" s="100">
        <v>1</v>
      </c>
      <c r="Z3" s="100">
        <v>1</v>
      </c>
      <c r="AA3" s="100">
        <v>1</v>
      </c>
      <c r="AB3" s="100">
        <v>1</v>
      </c>
      <c r="AC3" s="100">
        <v>1</v>
      </c>
    </row>
    <row r="4" spans="1:29" s="98" customFormat="1" ht="19.95" customHeight="1" x14ac:dyDescent="0.25">
      <c r="A4" s="88">
        <v>9165966477</v>
      </c>
      <c r="B4" s="12" t="s">
        <v>436</v>
      </c>
      <c r="C4" s="43" t="s">
        <v>435</v>
      </c>
      <c r="D4" s="12" t="s">
        <v>437</v>
      </c>
      <c r="E4" s="12" t="s">
        <v>438</v>
      </c>
      <c r="F4" s="12" t="s">
        <v>439</v>
      </c>
      <c r="G4" s="12" t="s">
        <v>440</v>
      </c>
      <c r="H4" s="12" t="s">
        <v>441</v>
      </c>
      <c r="I4" s="12" t="s">
        <v>118</v>
      </c>
      <c r="J4" s="12"/>
      <c r="K4" s="12"/>
      <c r="L4" s="12"/>
      <c r="M4" s="12"/>
      <c r="N4" s="12" t="s">
        <v>16</v>
      </c>
      <c r="O4" s="13" t="s">
        <v>434</v>
      </c>
      <c r="P4" s="38" t="s">
        <v>21</v>
      </c>
      <c r="Q4" s="100">
        <v>1</v>
      </c>
      <c r="R4" s="100">
        <v>1</v>
      </c>
      <c r="S4" s="100">
        <v>1</v>
      </c>
      <c r="T4" s="100">
        <v>1</v>
      </c>
      <c r="U4" s="100">
        <v>1</v>
      </c>
      <c r="V4" s="100">
        <v>1</v>
      </c>
      <c r="W4" s="100">
        <v>1</v>
      </c>
      <c r="X4" s="100">
        <v>1</v>
      </c>
      <c r="Y4" s="100">
        <v>1</v>
      </c>
      <c r="Z4" s="100">
        <v>1</v>
      </c>
      <c r="AA4" s="100">
        <v>1</v>
      </c>
      <c r="AB4" s="100">
        <v>1</v>
      </c>
      <c r="AC4" s="100">
        <v>1</v>
      </c>
    </row>
    <row r="5" spans="1:29" s="98" customFormat="1" ht="19.95" customHeight="1" x14ac:dyDescent="0.25">
      <c r="A5" s="88">
        <v>9165966477</v>
      </c>
      <c r="B5" s="12" t="s">
        <v>436</v>
      </c>
      <c r="C5" s="43" t="s">
        <v>435</v>
      </c>
      <c r="D5" s="12" t="s">
        <v>437</v>
      </c>
      <c r="E5" s="12" t="s">
        <v>438</v>
      </c>
      <c r="F5" s="12" t="s">
        <v>439</v>
      </c>
      <c r="G5" s="12" t="s">
        <v>440</v>
      </c>
      <c r="H5" s="12" t="s">
        <v>441</v>
      </c>
      <c r="I5" s="12" t="s">
        <v>118</v>
      </c>
      <c r="J5" s="12"/>
      <c r="K5" s="12"/>
      <c r="L5" s="12"/>
      <c r="M5" s="12"/>
      <c r="N5" s="12" t="s">
        <v>16</v>
      </c>
      <c r="O5" s="13" t="s">
        <v>426</v>
      </c>
      <c r="P5" s="38" t="s">
        <v>21</v>
      </c>
      <c r="Q5" s="100">
        <v>1</v>
      </c>
      <c r="R5" s="100">
        <v>1</v>
      </c>
      <c r="S5" s="100">
        <v>1</v>
      </c>
      <c r="T5" s="100">
        <v>1</v>
      </c>
      <c r="U5" s="100">
        <v>1</v>
      </c>
      <c r="V5" s="100">
        <v>1</v>
      </c>
      <c r="W5" s="100">
        <v>1</v>
      </c>
      <c r="X5" s="100">
        <v>1</v>
      </c>
      <c r="Y5" s="100">
        <v>1</v>
      </c>
      <c r="Z5" s="100">
        <v>1</v>
      </c>
      <c r="AA5" s="100">
        <v>1</v>
      </c>
      <c r="AB5" s="100">
        <v>1</v>
      </c>
      <c r="AC5" s="100">
        <v>1</v>
      </c>
    </row>
    <row r="6" spans="1:29" s="98" customFormat="1" ht="19.95" customHeight="1" x14ac:dyDescent="0.25">
      <c r="A6" s="88">
        <v>9165966477</v>
      </c>
      <c r="B6" s="12" t="s">
        <v>436</v>
      </c>
      <c r="C6" s="43" t="s">
        <v>435</v>
      </c>
      <c r="D6" s="12" t="s">
        <v>437</v>
      </c>
      <c r="E6" s="12" t="s">
        <v>438</v>
      </c>
      <c r="F6" s="12" t="s">
        <v>439</v>
      </c>
      <c r="G6" s="12" t="s">
        <v>440</v>
      </c>
      <c r="H6" s="12" t="s">
        <v>441</v>
      </c>
      <c r="I6" s="12" t="s">
        <v>118</v>
      </c>
      <c r="J6" s="12"/>
      <c r="K6" s="12"/>
      <c r="L6" s="12"/>
      <c r="M6" s="12"/>
      <c r="N6" s="12" t="s">
        <v>16</v>
      </c>
      <c r="O6" s="13" t="s">
        <v>427</v>
      </c>
      <c r="P6" s="38" t="s">
        <v>21</v>
      </c>
      <c r="Q6" s="100">
        <v>1</v>
      </c>
      <c r="R6" s="100">
        <v>1</v>
      </c>
      <c r="S6" s="100">
        <v>1</v>
      </c>
      <c r="T6" s="100">
        <v>1</v>
      </c>
      <c r="U6" s="100">
        <v>1</v>
      </c>
      <c r="V6" s="100">
        <v>1</v>
      </c>
      <c r="W6" s="100">
        <v>1</v>
      </c>
      <c r="X6" s="100">
        <v>1</v>
      </c>
      <c r="Y6" s="100">
        <v>1</v>
      </c>
      <c r="Z6" s="100">
        <v>1</v>
      </c>
      <c r="AA6" s="100">
        <v>1</v>
      </c>
      <c r="AB6" s="100">
        <v>1</v>
      </c>
      <c r="AC6" s="100">
        <v>1</v>
      </c>
    </row>
    <row r="7" spans="1:29" s="98" customFormat="1" ht="19.95" customHeight="1" x14ac:dyDescent="0.25">
      <c r="A7" s="88">
        <v>9165966477</v>
      </c>
      <c r="B7" s="12" t="s">
        <v>436</v>
      </c>
      <c r="C7" s="43" t="s">
        <v>435</v>
      </c>
      <c r="D7" s="12" t="s">
        <v>437</v>
      </c>
      <c r="E7" s="12" t="s">
        <v>438</v>
      </c>
      <c r="F7" s="12" t="s">
        <v>439</v>
      </c>
      <c r="G7" s="12" t="s">
        <v>440</v>
      </c>
      <c r="H7" s="12" t="s">
        <v>441</v>
      </c>
      <c r="I7" s="12" t="s">
        <v>118</v>
      </c>
      <c r="J7" s="12"/>
      <c r="K7" s="12"/>
      <c r="L7" s="12"/>
      <c r="M7" s="12"/>
      <c r="N7" s="12" t="s">
        <v>16</v>
      </c>
      <c r="O7" s="13" t="s">
        <v>428</v>
      </c>
      <c r="P7" s="38" t="s">
        <v>21</v>
      </c>
      <c r="Q7" s="100">
        <v>1</v>
      </c>
      <c r="R7" s="100">
        <v>1</v>
      </c>
      <c r="S7" s="100">
        <v>1</v>
      </c>
      <c r="T7" s="100">
        <v>1</v>
      </c>
      <c r="U7" s="100">
        <v>1</v>
      </c>
      <c r="V7" s="100">
        <v>1</v>
      </c>
      <c r="W7" s="100">
        <v>1</v>
      </c>
      <c r="X7" s="100">
        <v>1</v>
      </c>
      <c r="Y7" s="100">
        <v>1</v>
      </c>
      <c r="Z7" s="100">
        <v>1</v>
      </c>
      <c r="AA7" s="100">
        <v>1</v>
      </c>
      <c r="AB7" s="100">
        <v>1</v>
      </c>
      <c r="AC7" s="100">
        <v>1</v>
      </c>
    </row>
    <row r="8" spans="1:29" s="98" customFormat="1" ht="19.95" customHeight="1" x14ac:dyDescent="0.25">
      <c r="A8" s="88">
        <v>9165966477</v>
      </c>
      <c r="B8" s="12" t="s">
        <v>436</v>
      </c>
      <c r="C8" s="43" t="s">
        <v>435</v>
      </c>
      <c r="D8" s="12" t="s">
        <v>437</v>
      </c>
      <c r="E8" s="12" t="s">
        <v>438</v>
      </c>
      <c r="F8" s="12" t="s">
        <v>439</v>
      </c>
      <c r="G8" s="12" t="s">
        <v>440</v>
      </c>
      <c r="H8" s="12" t="s">
        <v>441</v>
      </c>
      <c r="I8" s="12" t="s">
        <v>118</v>
      </c>
      <c r="J8" s="12"/>
      <c r="K8" s="12"/>
      <c r="L8" s="12"/>
      <c r="M8" s="12"/>
      <c r="N8" s="12" t="s">
        <v>16</v>
      </c>
      <c r="O8" s="13" t="s">
        <v>429</v>
      </c>
      <c r="P8" s="38" t="s">
        <v>21</v>
      </c>
      <c r="Q8" s="100">
        <v>1</v>
      </c>
      <c r="R8" s="100">
        <v>1</v>
      </c>
      <c r="S8" s="100">
        <v>1</v>
      </c>
      <c r="T8" s="100">
        <v>1</v>
      </c>
      <c r="U8" s="100">
        <v>1</v>
      </c>
      <c r="V8" s="100">
        <v>1</v>
      </c>
      <c r="W8" s="100">
        <v>1</v>
      </c>
      <c r="X8" s="100">
        <v>1</v>
      </c>
      <c r="Y8" s="100">
        <v>1</v>
      </c>
      <c r="Z8" s="100">
        <v>1</v>
      </c>
      <c r="AA8" s="100">
        <v>1</v>
      </c>
      <c r="AB8" s="100">
        <v>1</v>
      </c>
      <c r="AC8" s="100">
        <v>1</v>
      </c>
    </row>
    <row r="9" spans="1:29" s="98" customFormat="1" ht="19.95" customHeight="1" x14ac:dyDescent="0.25">
      <c r="A9" s="88">
        <v>9165966477</v>
      </c>
      <c r="B9" s="12" t="s">
        <v>436</v>
      </c>
      <c r="C9" s="43" t="s">
        <v>435</v>
      </c>
      <c r="D9" s="12" t="s">
        <v>437</v>
      </c>
      <c r="E9" s="12" t="s">
        <v>438</v>
      </c>
      <c r="F9" s="12" t="s">
        <v>439</v>
      </c>
      <c r="G9" s="12" t="s">
        <v>440</v>
      </c>
      <c r="H9" s="12" t="s">
        <v>441</v>
      </c>
      <c r="I9" s="12" t="s">
        <v>118</v>
      </c>
      <c r="J9" s="12"/>
      <c r="K9" s="12"/>
      <c r="L9" s="12"/>
      <c r="M9" s="12"/>
      <c r="N9" s="12" t="s">
        <v>16</v>
      </c>
      <c r="O9" s="13" t="s">
        <v>430</v>
      </c>
      <c r="P9" s="38" t="s">
        <v>21</v>
      </c>
      <c r="Q9" s="100">
        <v>1</v>
      </c>
      <c r="R9" s="100">
        <v>1</v>
      </c>
      <c r="S9" s="100">
        <v>1</v>
      </c>
      <c r="T9" s="100">
        <v>1</v>
      </c>
      <c r="U9" s="100">
        <v>1</v>
      </c>
      <c r="V9" s="100">
        <v>1</v>
      </c>
      <c r="W9" s="100">
        <v>1</v>
      </c>
      <c r="X9" s="100">
        <v>1</v>
      </c>
      <c r="Y9" s="100">
        <v>1</v>
      </c>
      <c r="Z9" s="100">
        <v>1</v>
      </c>
      <c r="AA9" s="100">
        <v>1</v>
      </c>
      <c r="AB9" s="100">
        <v>1</v>
      </c>
      <c r="AC9" s="100">
        <v>1</v>
      </c>
    </row>
    <row r="10" spans="1:29" s="98" customFormat="1" ht="19.95" customHeight="1" x14ac:dyDescent="0.25">
      <c r="A10" s="88">
        <v>9165966477</v>
      </c>
      <c r="B10" s="12" t="s">
        <v>436</v>
      </c>
      <c r="C10" s="43" t="s">
        <v>435</v>
      </c>
      <c r="D10" s="12" t="s">
        <v>437</v>
      </c>
      <c r="E10" s="12" t="s">
        <v>438</v>
      </c>
      <c r="F10" s="12" t="s">
        <v>439</v>
      </c>
      <c r="G10" s="12" t="s">
        <v>440</v>
      </c>
      <c r="H10" s="12" t="s">
        <v>441</v>
      </c>
      <c r="I10" s="12" t="s">
        <v>118</v>
      </c>
      <c r="J10" s="12"/>
      <c r="K10" s="12"/>
      <c r="L10" s="12"/>
      <c r="M10" s="12"/>
      <c r="N10" s="12" t="s">
        <v>16</v>
      </c>
      <c r="O10" s="13" t="s">
        <v>431</v>
      </c>
      <c r="P10" s="38" t="s">
        <v>21</v>
      </c>
      <c r="Q10" s="100">
        <v>1</v>
      </c>
      <c r="R10" s="100">
        <v>0.25</v>
      </c>
      <c r="S10" s="100">
        <v>0.25</v>
      </c>
      <c r="T10" s="100">
        <v>0.25</v>
      </c>
      <c r="U10" s="100">
        <v>0.25</v>
      </c>
      <c r="V10" s="100">
        <v>0.25</v>
      </c>
      <c r="W10" s="100">
        <v>0.25</v>
      </c>
      <c r="X10" s="100">
        <v>0.25</v>
      </c>
      <c r="Y10" s="100">
        <v>0.25</v>
      </c>
      <c r="Z10" s="100">
        <v>0.25</v>
      </c>
      <c r="AA10" s="100">
        <v>0.25</v>
      </c>
      <c r="AB10" s="100">
        <v>0.25</v>
      </c>
      <c r="AC10" s="100">
        <v>0.25</v>
      </c>
    </row>
    <row r="11" spans="1:29" s="98" customFormat="1" ht="19.95" customHeight="1" x14ac:dyDescent="0.25">
      <c r="A11" s="88">
        <v>9165966477</v>
      </c>
      <c r="B11" s="12" t="s">
        <v>436</v>
      </c>
      <c r="C11" s="43" t="s">
        <v>435</v>
      </c>
      <c r="D11" s="12" t="s">
        <v>437</v>
      </c>
      <c r="E11" s="12" t="s">
        <v>438</v>
      </c>
      <c r="F11" s="12" t="s">
        <v>439</v>
      </c>
      <c r="G11" s="12" t="s">
        <v>440</v>
      </c>
      <c r="H11" s="12" t="s">
        <v>441</v>
      </c>
      <c r="I11" s="12" t="s">
        <v>118</v>
      </c>
      <c r="J11" s="12"/>
      <c r="K11" s="12"/>
      <c r="L11" s="12"/>
      <c r="M11" s="12"/>
      <c r="N11" s="12" t="s">
        <v>16</v>
      </c>
      <c r="O11" s="13" t="s">
        <v>432</v>
      </c>
      <c r="P11" s="38" t="s">
        <v>18</v>
      </c>
      <c r="Q11" s="99">
        <v>12</v>
      </c>
      <c r="R11" s="99">
        <v>1</v>
      </c>
      <c r="S11" s="99">
        <v>1</v>
      </c>
      <c r="T11" s="99">
        <v>1</v>
      </c>
      <c r="U11" s="99">
        <v>1</v>
      </c>
      <c r="V11" s="99">
        <v>1</v>
      </c>
      <c r="W11" s="99">
        <v>1</v>
      </c>
      <c r="X11" s="99">
        <v>1</v>
      </c>
      <c r="Y11" s="99">
        <v>1</v>
      </c>
      <c r="Z11" s="99">
        <v>1</v>
      </c>
      <c r="AA11" s="99">
        <v>1</v>
      </c>
      <c r="AB11" s="99">
        <v>1</v>
      </c>
      <c r="AC11" s="99">
        <v>1</v>
      </c>
    </row>
    <row r="12" spans="1:29" s="98" customFormat="1" ht="19.95" customHeight="1" x14ac:dyDescent="0.25">
      <c r="A12" s="88">
        <v>9165966477</v>
      </c>
      <c r="B12" s="12" t="s">
        <v>436</v>
      </c>
      <c r="C12" s="43" t="s">
        <v>435</v>
      </c>
      <c r="D12" s="12" t="s">
        <v>437</v>
      </c>
      <c r="E12" s="12" t="s">
        <v>438</v>
      </c>
      <c r="F12" s="12" t="s">
        <v>439</v>
      </c>
      <c r="G12" s="12" t="s">
        <v>440</v>
      </c>
      <c r="H12" s="12" t="s">
        <v>441</v>
      </c>
      <c r="I12" s="12" t="s">
        <v>118</v>
      </c>
      <c r="J12" s="12"/>
      <c r="K12" s="12"/>
      <c r="L12" s="12"/>
      <c r="M12" s="12"/>
      <c r="N12" s="12" t="s">
        <v>16</v>
      </c>
      <c r="O12" s="13" t="s">
        <v>433</v>
      </c>
      <c r="P12" s="38" t="s">
        <v>21</v>
      </c>
      <c r="Q12" s="100">
        <v>1</v>
      </c>
      <c r="R12" s="100">
        <v>1</v>
      </c>
      <c r="S12" s="100">
        <v>1</v>
      </c>
      <c r="T12" s="100">
        <v>1</v>
      </c>
      <c r="U12" s="100">
        <v>1</v>
      </c>
      <c r="V12" s="100">
        <v>1</v>
      </c>
      <c r="W12" s="100">
        <v>1</v>
      </c>
      <c r="X12" s="100">
        <v>1</v>
      </c>
      <c r="Y12" s="100">
        <v>1</v>
      </c>
      <c r="Z12" s="100">
        <v>1</v>
      </c>
      <c r="AA12" s="100">
        <v>1</v>
      </c>
      <c r="AB12" s="100">
        <v>1</v>
      </c>
      <c r="AC12" s="100">
        <v>1</v>
      </c>
    </row>
  </sheetData>
  <hyperlinks>
    <hyperlink ref="C2" r:id="rId1" xr:uid="{7A0AD9CD-820C-471B-996F-DB19047D63CF}"/>
    <hyperlink ref="C3" r:id="rId2" xr:uid="{EB3CD09D-B9C3-4016-BC26-3EA55A1B667A}"/>
    <hyperlink ref="C4" r:id="rId3" xr:uid="{5E2DAA79-D0DF-465B-83CC-4802FFABF4FB}"/>
    <hyperlink ref="C5" r:id="rId4" xr:uid="{9A0133E1-483D-40CD-90FB-F89C0FFE0EB9}"/>
    <hyperlink ref="C6" r:id="rId5" xr:uid="{2555193A-3DC4-403F-A013-BB7015483BFA}"/>
    <hyperlink ref="C7" r:id="rId6" xr:uid="{D90CB721-2BB1-48BE-BB53-AD66EE1BD1D5}"/>
    <hyperlink ref="C8" r:id="rId7" xr:uid="{9514BE55-2CC0-4216-9FA1-89F8C0005AF2}"/>
    <hyperlink ref="C9" r:id="rId8" xr:uid="{EE3EF7CF-B517-44D1-89C9-6ACF098A82FB}"/>
    <hyperlink ref="C10" r:id="rId9" xr:uid="{35462B66-E213-4F5C-A84A-96069F0447C4}"/>
    <hyperlink ref="C11" r:id="rId10" xr:uid="{246FDB9D-C999-4F29-8526-F2AB4172F709}"/>
    <hyperlink ref="C12" r:id="rId11" xr:uid="{5C889FA9-7AC2-4AA2-9571-EB4C94518733}"/>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A8388-C29C-4143-B1FC-4B08F462A557}">
  <dimension ref="A1:AC13"/>
  <sheetViews>
    <sheetView workbookViewId="0">
      <selection activeCell="O24" sqref="O24"/>
    </sheetView>
  </sheetViews>
  <sheetFormatPr defaultRowHeight="13.2" x14ac:dyDescent="0.25"/>
  <cols>
    <col min="1" max="1" width="12.109375" bestFit="1" customWidth="1"/>
    <col min="2" max="2" width="13.88671875" bestFit="1" customWidth="1"/>
    <col min="3" max="3" width="34.33203125" customWidth="1"/>
    <col min="4" max="4" width="13.88671875" customWidth="1"/>
    <col min="5" max="5" width="17.21875" bestFit="1" customWidth="1"/>
    <col min="6" max="6" width="13.33203125" customWidth="1"/>
    <col min="7" max="7" width="17.5546875" bestFit="1" customWidth="1"/>
    <col min="8" max="8" width="10.44140625" customWidth="1"/>
    <col min="9" max="9" width="14.6640625" customWidth="1"/>
    <col min="10" max="13" width="11.44140625" bestFit="1" customWidth="1"/>
    <col min="14" max="14" width="14.5546875" bestFit="1" customWidth="1"/>
    <col min="15" max="15" width="61" customWidth="1"/>
    <col min="16" max="16" width="21.77734375" bestFit="1" customWidth="1"/>
    <col min="17" max="17" width="14.21875" bestFit="1" customWidth="1"/>
    <col min="18" max="29" width="9" bestFit="1" customWidth="1"/>
  </cols>
  <sheetData>
    <row r="1" spans="1:29" ht="27.6" x14ac:dyDescent="0.25">
      <c r="A1" s="35" t="s">
        <v>123</v>
      </c>
      <c r="B1" s="58" t="s">
        <v>1</v>
      </c>
      <c r="C1" s="35" t="s">
        <v>2</v>
      </c>
      <c r="D1" s="58" t="s">
        <v>3</v>
      </c>
      <c r="E1" s="35" t="s">
        <v>4</v>
      </c>
      <c r="F1" s="35" t="s">
        <v>5</v>
      </c>
      <c r="G1" s="35" t="s">
        <v>6</v>
      </c>
      <c r="H1" s="35" t="s">
        <v>7</v>
      </c>
      <c r="I1" s="58" t="s">
        <v>8</v>
      </c>
      <c r="J1" s="35" t="s">
        <v>9</v>
      </c>
      <c r="K1" s="35" t="s">
        <v>10</v>
      </c>
      <c r="L1" s="35" t="s">
        <v>126</v>
      </c>
      <c r="M1" s="35" t="s">
        <v>127</v>
      </c>
      <c r="N1" s="35" t="s">
        <v>11</v>
      </c>
      <c r="O1" s="157" t="s">
        <v>654</v>
      </c>
      <c r="P1" s="157" t="s">
        <v>655</v>
      </c>
      <c r="Q1" s="157" t="s">
        <v>656</v>
      </c>
      <c r="R1" s="157" t="s">
        <v>657</v>
      </c>
      <c r="S1" s="157" t="s">
        <v>658</v>
      </c>
      <c r="T1" s="157" t="s">
        <v>659</v>
      </c>
      <c r="U1" s="157" t="s">
        <v>660</v>
      </c>
      <c r="V1" s="157" t="s">
        <v>661</v>
      </c>
      <c r="W1" s="157" t="s">
        <v>662</v>
      </c>
      <c r="X1" s="157" t="s">
        <v>663</v>
      </c>
      <c r="Y1" s="157" t="s">
        <v>664</v>
      </c>
      <c r="Z1" s="157" t="s">
        <v>665</v>
      </c>
      <c r="AA1" s="157" t="s">
        <v>666</v>
      </c>
      <c r="AB1" s="157" t="s">
        <v>667</v>
      </c>
      <c r="AC1" s="157" t="s">
        <v>668</v>
      </c>
    </row>
    <row r="2" spans="1:29" ht="30" customHeight="1" x14ac:dyDescent="0.25">
      <c r="A2" s="56">
        <v>9598518630</v>
      </c>
      <c r="B2" s="56" t="s">
        <v>1050</v>
      </c>
      <c r="C2" s="108" t="s">
        <v>1051</v>
      </c>
      <c r="D2" s="56" t="s">
        <v>1053</v>
      </c>
      <c r="E2" s="56" t="s">
        <v>1052</v>
      </c>
      <c r="F2" s="56" t="s">
        <v>59</v>
      </c>
      <c r="G2" s="56" t="s">
        <v>440</v>
      </c>
      <c r="H2" s="56" t="s">
        <v>15</v>
      </c>
      <c r="I2" s="56" t="s">
        <v>19</v>
      </c>
      <c r="J2" s="56"/>
      <c r="K2" s="56"/>
      <c r="L2" s="56"/>
      <c r="M2" s="56"/>
      <c r="N2" s="56" t="s">
        <v>16</v>
      </c>
      <c r="O2" s="13" t="s">
        <v>1045</v>
      </c>
      <c r="P2" s="38" t="s">
        <v>128</v>
      </c>
      <c r="Q2" s="99" t="e">
        <f>#REF!/100000</f>
        <v>#REF!</v>
      </c>
      <c r="R2" s="99">
        <f>5500000/100000</f>
        <v>55</v>
      </c>
      <c r="S2" s="99">
        <f>5500000/100000</f>
        <v>55</v>
      </c>
      <c r="T2" s="99">
        <f>5500000/100000</f>
        <v>55</v>
      </c>
      <c r="U2" s="99">
        <f>7500000/100000</f>
        <v>75</v>
      </c>
      <c r="V2" s="99">
        <f>8000000/100000</f>
        <v>80</v>
      </c>
      <c r="W2" s="99">
        <f>8500000/100000</f>
        <v>85</v>
      </c>
      <c r="X2" s="99">
        <f>9000000/100000</f>
        <v>90</v>
      </c>
      <c r="Y2" s="99">
        <f>9500000/100000</f>
        <v>95</v>
      </c>
      <c r="Z2" s="99">
        <f>9500000/100000</f>
        <v>95</v>
      </c>
      <c r="AA2" s="99">
        <f>9500000/100000</f>
        <v>95</v>
      </c>
      <c r="AB2" s="99">
        <f>9500000/100000</f>
        <v>95</v>
      </c>
      <c r="AC2" s="99">
        <f>10000000/100000</f>
        <v>100</v>
      </c>
    </row>
    <row r="3" spans="1:29" ht="30" customHeight="1" x14ac:dyDescent="0.25">
      <c r="A3" s="56">
        <v>9598518630</v>
      </c>
      <c r="B3" s="56" t="s">
        <v>1050</v>
      </c>
      <c r="C3" s="108" t="s">
        <v>1051</v>
      </c>
      <c r="D3" s="56" t="s">
        <v>1053</v>
      </c>
      <c r="E3" s="56" t="s">
        <v>1052</v>
      </c>
      <c r="F3" s="56" t="s">
        <v>59</v>
      </c>
      <c r="G3" s="56" t="s">
        <v>440</v>
      </c>
      <c r="H3" s="56" t="s">
        <v>15</v>
      </c>
      <c r="I3" s="56" t="s">
        <v>19</v>
      </c>
      <c r="J3" s="56"/>
      <c r="K3" s="56"/>
      <c r="L3" s="56"/>
      <c r="M3" s="56"/>
      <c r="N3" s="56" t="s">
        <v>16</v>
      </c>
      <c r="O3" s="13" t="s">
        <v>1046</v>
      </c>
      <c r="P3" s="38" t="s">
        <v>21</v>
      </c>
      <c r="Q3" s="100">
        <v>1</v>
      </c>
      <c r="R3" s="100">
        <v>1</v>
      </c>
      <c r="S3" s="100">
        <v>1</v>
      </c>
      <c r="T3" s="100">
        <v>1</v>
      </c>
      <c r="U3" s="100">
        <v>1</v>
      </c>
      <c r="V3" s="100">
        <v>1</v>
      </c>
      <c r="W3" s="100">
        <v>1</v>
      </c>
      <c r="X3" s="100">
        <v>1</v>
      </c>
      <c r="Y3" s="100">
        <v>1</v>
      </c>
      <c r="Z3" s="100">
        <v>1</v>
      </c>
      <c r="AA3" s="100">
        <v>1</v>
      </c>
      <c r="AB3" s="100">
        <v>1</v>
      </c>
      <c r="AC3" s="100">
        <v>1</v>
      </c>
    </row>
    <row r="4" spans="1:29" ht="151.80000000000001" x14ac:dyDescent="0.25">
      <c r="A4" s="56">
        <v>9598518630</v>
      </c>
      <c r="B4" s="56" t="s">
        <v>1050</v>
      </c>
      <c r="C4" s="108" t="s">
        <v>1051</v>
      </c>
      <c r="D4" s="56" t="s">
        <v>1053</v>
      </c>
      <c r="E4" s="56" t="s">
        <v>1052</v>
      </c>
      <c r="F4" s="56" t="s">
        <v>59</v>
      </c>
      <c r="G4" s="56" t="s">
        <v>440</v>
      </c>
      <c r="H4" s="56" t="s">
        <v>15</v>
      </c>
      <c r="I4" s="56" t="s">
        <v>19</v>
      </c>
      <c r="J4" s="56"/>
      <c r="K4" s="56"/>
      <c r="L4" s="56"/>
      <c r="M4" s="56"/>
      <c r="N4" s="56" t="s">
        <v>16</v>
      </c>
      <c r="O4" s="13" t="s">
        <v>472</v>
      </c>
      <c r="P4" s="38" t="s">
        <v>21</v>
      </c>
      <c r="Q4" s="100">
        <v>1</v>
      </c>
      <c r="R4" s="100">
        <v>1</v>
      </c>
      <c r="S4" s="100">
        <v>1</v>
      </c>
      <c r="T4" s="100">
        <v>1</v>
      </c>
      <c r="U4" s="100">
        <v>1</v>
      </c>
      <c r="V4" s="100">
        <v>1</v>
      </c>
      <c r="W4" s="100">
        <v>1</v>
      </c>
      <c r="X4" s="100">
        <v>1</v>
      </c>
      <c r="Y4" s="100">
        <v>1</v>
      </c>
      <c r="Z4" s="100">
        <v>1</v>
      </c>
      <c r="AA4" s="100">
        <v>1</v>
      </c>
      <c r="AB4" s="100">
        <v>1</v>
      </c>
      <c r="AC4" s="100">
        <v>1</v>
      </c>
    </row>
    <row r="5" spans="1:29" ht="27.6" x14ac:dyDescent="0.25">
      <c r="A5" s="56">
        <v>9598518630</v>
      </c>
      <c r="B5" s="56" t="s">
        <v>1050</v>
      </c>
      <c r="C5" s="108" t="s">
        <v>1051</v>
      </c>
      <c r="D5" s="56" t="s">
        <v>1053</v>
      </c>
      <c r="E5" s="56" t="s">
        <v>1052</v>
      </c>
      <c r="F5" s="56" t="s">
        <v>59</v>
      </c>
      <c r="G5" s="56" t="s">
        <v>440</v>
      </c>
      <c r="H5" s="56" t="s">
        <v>15</v>
      </c>
      <c r="I5" s="56" t="s">
        <v>19</v>
      </c>
      <c r="J5" s="56"/>
      <c r="K5" s="56"/>
      <c r="L5" s="56"/>
      <c r="M5" s="56"/>
      <c r="N5" s="56" t="s">
        <v>16</v>
      </c>
      <c r="O5" s="13" t="s">
        <v>473</v>
      </c>
      <c r="P5" s="38" t="s">
        <v>21</v>
      </c>
      <c r="Q5" s="100">
        <v>1</v>
      </c>
      <c r="R5" s="100">
        <v>1</v>
      </c>
      <c r="S5" s="100">
        <v>1</v>
      </c>
      <c r="T5" s="100">
        <v>1</v>
      </c>
      <c r="U5" s="100">
        <v>1</v>
      </c>
      <c r="V5" s="100">
        <v>1</v>
      </c>
      <c r="W5" s="100">
        <v>1</v>
      </c>
      <c r="X5" s="100">
        <v>1</v>
      </c>
      <c r="Y5" s="100">
        <v>1</v>
      </c>
      <c r="Z5" s="100">
        <v>1</v>
      </c>
      <c r="AA5" s="100">
        <v>1</v>
      </c>
      <c r="AB5" s="100">
        <v>1</v>
      </c>
      <c r="AC5" s="100">
        <v>1</v>
      </c>
    </row>
    <row r="6" spans="1:29" ht="55.2" x14ac:dyDescent="0.25">
      <c r="A6" s="56">
        <v>9598518630</v>
      </c>
      <c r="B6" s="56" t="s">
        <v>1050</v>
      </c>
      <c r="C6" s="108" t="s">
        <v>1051</v>
      </c>
      <c r="D6" s="56" t="s">
        <v>1053</v>
      </c>
      <c r="E6" s="56" t="s">
        <v>1052</v>
      </c>
      <c r="F6" s="56" t="s">
        <v>59</v>
      </c>
      <c r="G6" s="56" t="s">
        <v>440</v>
      </c>
      <c r="H6" s="56" t="s">
        <v>15</v>
      </c>
      <c r="I6" s="56" t="s">
        <v>19</v>
      </c>
      <c r="J6" s="56"/>
      <c r="K6" s="56"/>
      <c r="L6" s="56"/>
      <c r="M6" s="56"/>
      <c r="N6" s="56" t="s">
        <v>16</v>
      </c>
      <c r="O6" s="13" t="s">
        <v>474</v>
      </c>
      <c r="P6" s="38" t="s">
        <v>21</v>
      </c>
      <c r="Q6" s="100">
        <v>1</v>
      </c>
      <c r="R6" s="100">
        <v>1</v>
      </c>
      <c r="S6" s="100">
        <v>1</v>
      </c>
      <c r="T6" s="100">
        <v>1</v>
      </c>
      <c r="U6" s="100">
        <v>1</v>
      </c>
      <c r="V6" s="100">
        <v>1</v>
      </c>
      <c r="W6" s="100">
        <v>1</v>
      </c>
      <c r="X6" s="100">
        <v>1</v>
      </c>
      <c r="Y6" s="100">
        <v>1</v>
      </c>
      <c r="Z6" s="100">
        <v>1</v>
      </c>
      <c r="AA6" s="100">
        <v>1</v>
      </c>
      <c r="AB6" s="100">
        <v>1</v>
      </c>
      <c r="AC6" s="100">
        <v>1</v>
      </c>
    </row>
    <row r="7" spans="1:29" ht="41.4" x14ac:dyDescent="0.25">
      <c r="A7" s="56">
        <v>9598518630</v>
      </c>
      <c r="B7" s="56" t="s">
        <v>1050</v>
      </c>
      <c r="C7" s="108" t="s">
        <v>1051</v>
      </c>
      <c r="D7" s="56" t="s">
        <v>1053</v>
      </c>
      <c r="E7" s="56" t="s">
        <v>1052</v>
      </c>
      <c r="F7" s="56" t="s">
        <v>59</v>
      </c>
      <c r="G7" s="56" t="s">
        <v>440</v>
      </c>
      <c r="H7" s="56" t="s">
        <v>15</v>
      </c>
      <c r="I7" s="56" t="s">
        <v>19</v>
      </c>
      <c r="J7" s="56"/>
      <c r="K7" s="56"/>
      <c r="L7" s="56"/>
      <c r="M7" s="56"/>
      <c r="N7" s="56" t="s">
        <v>16</v>
      </c>
      <c r="O7" s="13" t="s">
        <v>475</v>
      </c>
      <c r="P7" s="38" t="s">
        <v>21</v>
      </c>
      <c r="Q7" s="100">
        <v>1</v>
      </c>
      <c r="R7" s="100">
        <v>1</v>
      </c>
      <c r="S7" s="100">
        <v>1</v>
      </c>
      <c r="T7" s="100">
        <v>1</v>
      </c>
      <c r="U7" s="100">
        <v>1</v>
      </c>
      <c r="V7" s="100">
        <v>1</v>
      </c>
      <c r="W7" s="100">
        <v>1</v>
      </c>
      <c r="X7" s="100">
        <v>1</v>
      </c>
      <c r="Y7" s="100">
        <v>1</v>
      </c>
      <c r="Z7" s="100">
        <v>1</v>
      </c>
      <c r="AA7" s="100">
        <v>1</v>
      </c>
      <c r="AB7" s="100">
        <v>1</v>
      </c>
      <c r="AC7" s="100">
        <v>1</v>
      </c>
    </row>
    <row r="8" spans="1:29" ht="110.4" x14ac:dyDescent="0.25">
      <c r="A8" s="56">
        <v>9598518630</v>
      </c>
      <c r="B8" s="56" t="s">
        <v>1050</v>
      </c>
      <c r="C8" s="108" t="s">
        <v>1051</v>
      </c>
      <c r="D8" s="56" t="s">
        <v>1053</v>
      </c>
      <c r="E8" s="56" t="s">
        <v>1052</v>
      </c>
      <c r="F8" s="56" t="s">
        <v>59</v>
      </c>
      <c r="G8" s="56" t="s">
        <v>440</v>
      </c>
      <c r="H8" s="56" t="s">
        <v>15</v>
      </c>
      <c r="I8" s="56" t="s">
        <v>19</v>
      </c>
      <c r="J8" s="56"/>
      <c r="K8" s="56"/>
      <c r="L8" s="56"/>
      <c r="M8" s="56"/>
      <c r="N8" s="56" t="s">
        <v>16</v>
      </c>
      <c r="O8" s="13" t="s">
        <v>476</v>
      </c>
      <c r="P8" s="38" t="s">
        <v>21</v>
      </c>
      <c r="Q8" s="100">
        <v>1</v>
      </c>
      <c r="R8" s="100">
        <v>1</v>
      </c>
      <c r="S8" s="100">
        <v>1</v>
      </c>
      <c r="T8" s="100">
        <v>1</v>
      </c>
      <c r="U8" s="100">
        <v>1</v>
      </c>
      <c r="V8" s="100">
        <v>1</v>
      </c>
      <c r="W8" s="100">
        <v>1</v>
      </c>
      <c r="X8" s="100">
        <v>1</v>
      </c>
      <c r="Y8" s="100">
        <v>1</v>
      </c>
      <c r="Z8" s="100">
        <v>1</v>
      </c>
      <c r="AA8" s="100">
        <v>1</v>
      </c>
      <c r="AB8" s="100">
        <v>1</v>
      </c>
      <c r="AC8" s="100">
        <v>1</v>
      </c>
    </row>
    <row r="9" spans="1:29" ht="110.4" x14ac:dyDescent="0.25">
      <c r="A9" s="56">
        <v>9598518630</v>
      </c>
      <c r="B9" s="56" t="s">
        <v>1050</v>
      </c>
      <c r="C9" s="108" t="s">
        <v>1051</v>
      </c>
      <c r="D9" s="56" t="s">
        <v>1053</v>
      </c>
      <c r="E9" s="56" t="s">
        <v>1052</v>
      </c>
      <c r="F9" s="56" t="s">
        <v>59</v>
      </c>
      <c r="G9" s="56" t="s">
        <v>440</v>
      </c>
      <c r="H9" s="56" t="s">
        <v>15</v>
      </c>
      <c r="I9" s="56" t="s">
        <v>19</v>
      </c>
      <c r="J9" s="56"/>
      <c r="K9" s="56"/>
      <c r="L9" s="56"/>
      <c r="M9" s="56"/>
      <c r="N9" s="56" t="s">
        <v>16</v>
      </c>
      <c r="O9" s="13" t="s">
        <v>477</v>
      </c>
      <c r="P9" s="38" t="s">
        <v>21</v>
      </c>
      <c r="Q9" s="100">
        <v>1</v>
      </c>
      <c r="R9" s="100">
        <v>1</v>
      </c>
      <c r="S9" s="100">
        <v>1</v>
      </c>
      <c r="T9" s="100">
        <v>1</v>
      </c>
      <c r="U9" s="100">
        <v>1</v>
      </c>
      <c r="V9" s="100">
        <v>1</v>
      </c>
      <c r="W9" s="100">
        <v>1</v>
      </c>
      <c r="X9" s="100">
        <v>1</v>
      </c>
      <c r="Y9" s="100">
        <v>1</v>
      </c>
      <c r="Z9" s="100">
        <v>1</v>
      </c>
      <c r="AA9" s="100">
        <v>1</v>
      </c>
      <c r="AB9" s="100">
        <v>1</v>
      </c>
      <c r="AC9" s="100">
        <v>1</v>
      </c>
    </row>
    <row r="10" spans="1:29" ht="30" customHeight="1" x14ac:dyDescent="0.25">
      <c r="A10" s="56">
        <v>9598518630</v>
      </c>
      <c r="B10" s="56" t="s">
        <v>1050</v>
      </c>
      <c r="C10" s="108" t="s">
        <v>1051</v>
      </c>
      <c r="D10" s="56" t="s">
        <v>1053</v>
      </c>
      <c r="E10" s="56" t="s">
        <v>1052</v>
      </c>
      <c r="F10" s="56" t="s">
        <v>59</v>
      </c>
      <c r="G10" s="56" t="s">
        <v>440</v>
      </c>
      <c r="H10" s="56" t="s">
        <v>15</v>
      </c>
      <c r="I10" s="56" t="s">
        <v>19</v>
      </c>
      <c r="J10" s="56"/>
      <c r="K10" s="56"/>
      <c r="L10" s="56"/>
      <c r="M10" s="56"/>
      <c r="N10" s="56" t="s">
        <v>16</v>
      </c>
      <c r="O10" s="13" t="s">
        <v>432</v>
      </c>
      <c r="P10" s="38" t="s">
        <v>21</v>
      </c>
      <c r="Q10" s="100">
        <v>1</v>
      </c>
      <c r="R10" s="100">
        <v>0.25</v>
      </c>
      <c r="S10" s="100">
        <v>0.25</v>
      </c>
      <c r="T10" s="100">
        <v>0.25</v>
      </c>
      <c r="U10" s="100">
        <v>0.25</v>
      </c>
      <c r="V10" s="100">
        <v>0.25</v>
      </c>
      <c r="W10" s="100">
        <v>0.25</v>
      </c>
      <c r="X10" s="100">
        <v>0.25</v>
      </c>
      <c r="Y10" s="100">
        <v>0.25</v>
      </c>
      <c r="Z10" s="100">
        <v>0.25</v>
      </c>
      <c r="AA10" s="100">
        <v>0.25</v>
      </c>
      <c r="AB10" s="100">
        <v>0.25</v>
      </c>
      <c r="AC10" s="100">
        <v>0.25</v>
      </c>
    </row>
    <row r="11" spans="1:29" ht="30" customHeight="1" x14ac:dyDescent="0.25">
      <c r="A11" s="56">
        <v>9598518630</v>
      </c>
      <c r="B11" s="56" t="s">
        <v>1050</v>
      </c>
      <c r="C11" s="108" t="s">
        <v>1051</v>
      </c>
      <c r="D11" s="56" t="s">
        <v>1053</v>
      </c>
      <c r="E11" s="56" t="s">
        <v>1052</v>
      </c>
      <c r="F11" s="56" t="s">
        <v>59</v>
      </c>
      <c r="G11" s="56" t="s">
        <v>440</v>
      </c>
      <c r="H11" s="56" t="s">
        <v>15</v>
      </c>
      <c r="I11" s="56" t="s">
        <v>19</v>
      </c>
      <c r="J11" s="56"/>
      <c r="K11" s="56"/>
      <c r="L11" s="56"/>
      <c r="M11" s="56"/>
      <c r="N11" s="56" t="s">
        <v>16</v>
      </c>
      <c r="O11" s="13" t="s">
        <v>1047</v>
      </c>
      <c r="P11" s="38" t="s">
        <v>18</v>
      </c>
      <c r="Q11" s="99" t="e">
        <f>#REF!</f>
        <v>#REF!</v>
      </c>
      <c r="R11" s="99">
        <v>3</v>
      </c>
      <c r="S11" s="99">
        <v>3</v>
      </c>
      <c r="T11" s="99">
        <v>3</v>
      </c>
      <c r="U11" s="99">
        <v>4</v>
      </c>
      <c r="V11" s="99">
        <v>4</v>
      </c>
      <c r="W11" s="99">
        <v>4</v>
      </c>
      <c r="X11" s="99">
        <v>4</v>
      </c>
      <c r="Y11" s="99">
        <v>4</v>
      </c>
      <c r="Z11" s="99">
        <v>4</v>
      </c>
      <c r="AA11" s="99">
        <v>4</v>
      </c>
      <c r="AB11" s="99">
        <v>4</v>
      </c>
      <c r="AC11" s="99">
        <v>4</v>
      </c>
    </row>
    <row r="12" spans="1:29" ht="30" customHeight="1" x14ac:dyDescent="0.25">
      <c r="A12" s="56">
        <v>9598518630</v>
      </c>
      <c r="B12" s="56" t="s">
        <v>1050</v>
      </c>
      <c r="C12" s="108" t="s">
        <v>1051</v>
      </c>
      <c r="D12" s="56" t="s">
        <v>1053</v>
      </c>
      <c r="E12" s="56" t="s">
        <v>1052</v>
      </c>
      <c r="F12" s="56" t="s">
        <v>59</v>
      </c>
      <c r="G12" s="56" t="s">
        <v>440</v>
      </c>
      <c r="H12" s="56" t="s">
        <v>15</v>
      </c>
      <c r="I12" s="56" t="s">
        <v>19</v>
      </c>
      <c r="J12" s="56"/>
      <c r="K12" s="56"/>
      <c r="L12" s="56"/>
      <c r="M12" s="56"/>
      <c r="N12" s="56" t="s">
        <v>16</v>
      </c>
      <c r="O12" s="13" t="s">
        <v>1048</v>
      </c>
      <c r="P12" s="38" t="s">
        <v>21</v>
      </c>
      <c r="Q12" s="100">
        <v>1</v>
      </c>
      <c r="R12" s="100">
        <v>1</v>
      </c>
      <c r="S12" s="100">
        <v>1</v>
      </c>
      <c r="T12" s="100">
        <v>1</v>
      </c>
      <c r="U12" s="100">
        <v>1</v>
      </c>
      <c r="V12" s="100">
        <v>1</v>
      </c>
      <c r="W12" s="100">
        <v>1</v>
      </c>
      <c r="X12" s="100">
        <v>1</v>
      </c>
      <c r="Y12" s="100">
        <v>1</v>
      </c>
      <c r="Z12" s="100">
        <v>1</v>
      </c>
      <c r="AA12" s="100">
        <v>1</v>
      </c>
      <c r="AB12" s="100">
        <v>1</v>
      </c>
      <c r="AC12" s="100">
        <v>1</v>
      </c>
    </row>
    <row r="13" spans="1:29" ht="55.2" x14ac:dyDescent="0.25">
      <c r="A13" s="56">
        <v>9598518630</v>
      </c>
      <c r="B13" s="56" t="s">
        <v>1050</v>
      </c>
      <c r="C13" s="108" t="s">
        <v>1051</v>
      </c>
      <c r="D13" s="56" t="s">
        <v>1053</v>
      </c>
      <c r="E13" s="56" t="s">
        <v>1052</v>
      </c>
      <c r="F13" s="56" t="s">
        <v>59</v>
      </c>
      <c r="G13" s="56" t="s">
        <v>440</v>
      </c>
      <c r="H13" s="56" t="s">
        <v>15</v>
      </c>
      <c r="I13" s="56" t="s">
        <v>19</v>
      </c>
      <c r="J13" s="56"/>
      <c r="K13" s="56"/>
      <c r="L13" s="56"/>
      <c r="M13" s="56"/>
      <c r="N13" s="56" t="s">
        <v>16</v>
      </c>
      <c r="O13" s="13" t="s">
        <v>1049</v>
      </c>
      <c r="P13" s="38" t="s">
        <v>21</v>
      </c>
      <c r="Q13" s="100">
        <v>1</v>
      </c>
      <c r="R13" s="100">
        <v>1</v>
      </c>
      <c r="S13" s="100">
        <v>1</v>
      </c>
      <c r="T13" s="100">
        <v>1</v>
      </c>
      <c r="U13" s="100">
        <v>1</v>
      </c>
      <c r="V13" s="100">
        <v>1</v>
      </c>
      <c r="W13" s="100">
        <v>1</v>
      </c>
      <c r="X13" s="100">
        <v>1</v>
      </c>
      <c r="Y13" s="100">
        <v>1</v>
      </c>
      <c r="Z13" s="100">
        <v>1</v>
      </c>
      <c r="AA13" s="100">
        <v>1</v>
      </c>
      <c r="AB13" s="100">
        <v>1</v>
      </c>
      <c r="AC13" s="100">
        <v>1</v>
      </c>
    </row>
  </sheetData>
  <hyperlinks>
    <hyperlink ref="C2" r:id="rId1" xr:uid="{011CE813-600C-4409-8E43-5BCEB291C1B4}"/>
    <hyperlink ref="C3" r:id="rId2" xr:uid="{81BAAE2A-307C-4D9A-A74A-501193F79845}"/>
    <hyperlink ref="C4" r:id="rId3" xr:uid="{BF980A5C-32E8-47E0-B96C-59B48B3BEE5E}"/>
    <hyperlink ref="C5" r:id="rId4" xr:uid="{34922FF4-C213-4905-8491-7573FD48167F}"/>
    <hyperlink ref="C6" r:id="rId5" xr:uid="{497ED724-BDFA-43D5-A402-4DBB74AD45AC}"/>
    <hyperlink ref="C7" r:id="rId6" xr:uid="{53628318-4E8B-4E64-A4A4-4CB8C23F6777}"/>
    <hyperlink ref="C8" r:id="rId7" xr:uid="{CB09AB83-7873-49CE-9BFA-EEA963A6A248}"/>
    <hyperlink ref="C9" r:id="rId8" xr:uid="{B7611501-A827-4B77-BA9A-1CB1A43FCAC1}"/>
    <hyperlink ref="C10" r:id="rId9" xr:uid="{B4455A32-8DC9-434D-8D33-88F2503F9109}"/>
    <hyperlink ref="C11" r:id="rId10" xr:uid="{6B203E28-9049-4E89-B7BE-F876BA73575A}"/>
    <hyperlink ref="C12" r:id="rId11" xr:uid="{63EA306D-EA32-47D1-8BA1-4BC72E9F67F7}"/>
    <hyperlink ref="C13" r:id="rId12" xr:uid="{DED132D1-1F80-4089-BE8F-9D68C941772A}"/>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DAB25-B621-4121-A7BB-1F27C8D12914}">
  <dimension ref="A1:AC12"/>
  <sheetViews>
    <sheetView topLeftCell="M1" workbookViewId="0">
      <selection activeCell="O1" sqref="O1:AC1"/>
    </sheetView>
  </sheetViews>
  <sheetFormatPr defaultColWidth="9.6640625" defaultRowHeight="15.6" x14ac:dyDescent="0.25"/>
  <cols>
    <col min="1" max="1" width="12.109375" style="7" bestFit="1" customWidth="1"/>
    <col min="2" max="2" width="15" style="7" bestFit="1" customWidth="1"/>
    <col min="3" max="3" width="24.88671875" style="7" bestFit="1" customWidth="1"/>
    <col min="4" max="4" width="11.44140625" style="7" customWidth="1"/>
    <col min="5" max="5" width="21.6640625" style="7" bestFit="1" customWidth="1"/>
    <col min="6" max="6" width="9.6640625" style="7"/>
    <col min="7" max="7" width="17.5546875" style="7" bestFit="1" customWidth="1"/>
    <col min="8" max="8" width="8.88671875" style="7" bestFit="1" customWidth="1"/>
    <col min="9" max="9" width="18.109375" style="7" bestFit="1" customWidth="1"/>
    <col min="10" max="13" width="11.44140625" style="7" bestFit="1" customWidth="1"/>
    <col min="14" max="14" width="14.5546875" style="7" bestFit="1" customWidth="1"/>
    <col min="15" max="15" width="65" style="7" customWidth="1"/>
    <col min="16" max="20" width="12.21875" style="7" customWidth="1"/>
    <col min="21" max="23" width="12.21875" style="8" customWidth="1"/>
    <col min="24" max="29" width="12.21875" style="7" customWidth="1"/>
    <col min="30" max="16384" width="9.6640625" style="7"/>
  </cols>
  <sheetData>
    <row r="1" spans="1:29" s="9" customFormat="1" ht="27.6" x14ac:dyDescent="0.25">
      <c r="A1" s="35" t="s">
        <v>123</v>
      </c>
      <c r="B1" s="58" t="s">
        <v>1</v>
      </c>
      <c r="C1" s="35" t="s">
        <v>2</v>
      </c>
      <c r="D1" s="58" t="s">
        <v>3</v>
      </c>
      <c r="E1" s="35" t="s">
        <v>4</v>
      </c>
      <c r="F1" s="35" t="s">
        <v>5</v>
      </c>
      <c r="G1" s="35" t="s">
        <v>6</v>
      </c>
      <c r="H1" s="35" t="s">
        <v>7</v>
      </c>
      <c r="I1" s="58" t="s">
        <v>8</v>
      </c>
      <c r="J1" s="35" t="s">
        <v>9</v>
      </c>
      <c r="K1" s="35" t="s">
        <v>10</v>
      </c>
      <c r="L1" s="35" t="s">
        <v>126</v>
      </c>
      <c r="M1" s="35" t="s">
        <v>127</v>
      </c>
      <c r="N1" s="35"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36" t="s">
        <v>451</v>
      </c>
      <c r="B2" s="12" t="s">
        <v>452</v>
      </c>
      <c r="C2" s="103" t="s">
        <v>453</v>
      </c>
      <c r="D2" s="12" t="s">
        <v>454</v>
      </c>
      <c r="E2" s="12" t="s">
        <v>450</v>
      </c>
      <c r="F2" s="12" t="s">
        <v>439</v>
      </c>
      <c r="G2" s="12" t="s">
        <v>440</v>
      </c>
      <c r="H2" s="12" t="s">
        <v>437</v>
      </c>
      <c r="I2" s="12" t="s">
        <v>436</v>
      </c>
      <c r="J2" s="12" t="s">
        <v>441</v>
      </c>
      <c r="K2" s="12"/>
      <c r="L2" s="12"/>
      <c r="M2" s="12"/>
      <c r="N2" s="12" t="s">
        <v>16</v>
      </c>
      <c r="O2" s="13" t="s">
        <v>424</v>
      </c>
      <c r="P2" s="13" t="s">
        <v>20</v>
      </c>
      <c r="Q2" s="99">
        <v>16900000</v>
      </c>
      <c r="R2" s="99">
        <v>1200000</v>
      </c>
      <c r="S2" s="99">
        <v>1300000</v>
      </c>
      <c r="T2" s="99">
        <v>1300000</v>
      </c>
      <c r="U2" s="99">
        <v>1300000</v>
      </c>
      <c r="V2" s="99">
        <v>1400000</v>
      </c>
      <c r="W2" s="99">
        <v>1400000</v>
      </c>
      <c r="X2" s="99">
        <v>1500000</v>
      </c>
      <c r="Y2" s="99">
        <v>1500000</v>
      </c>
      <c r="Z2" s="99">
        <v>1500000</v>
      </c>
      <c r="AA2" s="99">
        <v>1500000</v>
      </c>
      <c r="AB2" s="99">
        <v>1500000</v>
      </c>
      <c r="AC2" s="99">
        <v>1500000</v>
      </c>
    </row>
    <row r="3" spans="1:29" ht="19.95" customHeight="1" x14ac:dyDescent="0.25">
      <c r="A3" s="36" t="s">
        <v>451</v>
      </c>
      <c r="B3" s="12" t="s">
        <v>452</v>
      </c>
      <c r="C3" s="103" t="s">
        <v>453</v>
      </c>
      <c r="D3" s="12" t="s">
        <v>454</v>
      </c>
      <c r="E3" s="12" t="s">
        <v>450</v>
      </c>
      <c r="F3" s="12" t="s">
        <v>439</v>
      </c>
      <c r="G3" s="12" t="s">
        <v>440</v>
      </c>
      <c r="H3" s="12" t="s">
        <v>437</v>
      </c>
      <c r="I3" s="12" t="s">
        <v>436</v>
      </c>
      <c r="J3" s="12" t="s">
        <v>441</v>
      </c>
      <c r="K3" s="12"/>
      <c r="L3" s="12"/>
      <c r="M3" s="12"/>
      <c r="N3" s="12" t="s">
        <v>16</v>
      </c>
      <c r="O3" s="13" t="s">
        <v>425</v>
      </c>
      <c r="P3" s="13" t="s">
        <v>21</v>
      </c>
      <c r="Q3" s="100">
        <v>1</v>
      </c>
      <c r="R3" s="100">
        <v>1</v>
      </c>
      <c r="S3" s="100">
        <v>1</v>
      </c>
      <c r="T3" s="100">
        <v>1</v>
      </c>
      <c r="U3" s="100">
        <v>1</v>
      </c>
      <c r="V3" s="100">
        <v>1</v>
      </c>
      <c r="W3" s="100">
        <v>1</v>
      </c>
      <c r="X3" s="100">
        <v>1</v>
      </c>
      <c r="Y3" s="100">
        <v>1</v>
      </c>
      <c r="Z3" s="100">
        <v>1</v>
      </c>
      <c r="AA3" s="100">
        <v>1</v>
      </c>
      <c r="AB3" s="100">
        <v>1</v>
      </c>
      <c r="AC3" s="100">
        <v>1</v>
      </c>
    </row>
    <row r="4" spans="1:29" ht="19.95" customHeight="1" x14ac:dyDescent="0.25">
      <c r="A4" s="36" t="s">
        <v>451</v>
      </c>
      <c r="B4" s="12" t="s">
        <v>452</v>
      </c>
      <c r="C4" s="103" t="s">
        <v>453</v>
      </c>
      <c r="D4" s="12" t="s">
        <v>454</v>
      </c>
      <c r="E4" s="12" t="s">
        <v>450</v>
      </c>
      <c r="F4" s="12" t="s">
        <v>439</v>
      </c>
      <c r="G4" s="12" t="s">
        <v>440</v>
      </c>
      <c r="H4" s="12" t="s">
        <v>437</v>
      </c>
      <c r="I4" s="12" t="s">
        <v>436</v>
      </c>
      <c r="J4" s="12" t="s">
        <v>441</v>
      </c>
      <c r="K4" s="12"/>
      <c r="L4" s="12"/>
      <c r="M4" s="12"/>
      <c r="N4" s="12" t="s">
        <v>16</v>
      </c>
      <c r="O4" s="13" t="s">
        <v>434</v>
      </c>
      <c r="P4" s="13" t="s">
        <v>21</v>
      </c>
      <c r="Q4" s="100" t="s">
        <v>120</v>
      </c>
      <c r="R4" s="100" t="s">
        <v>120</v>
      </c>
      <c r="S4" s="100" t="s">
        <v>120</v>
      </c>
      <c r="T4" s="100" t="s">
        <v>120</v>
      </c>
      <c r="U4" s="100" t="s">
        <v>120</v>
      </c>
      <c r="V4" s="100" t="s">
        <v>120</v>
      </c>
      <c r="W4" s="100" t="s">
        <v>120</v>
      </c>
      <c r="X4" s="100" t="s">
        <v>120</v>
      </c>
      <c r="Y4" s="100" t="s">
        <v>120</v>
      </c>
      <c r="Z4" s="100" t="s">
        <v>120</v>
      </c>
      <c r="AA4" s="100" t="s">
        <v>120</v>
      </c>
      <c r="AB4" s="100" t="s">
        <v>120</v>
      </c>
      <c r="AC4" s="100" t="s">
        <v>120</v>
      </c>
    </row>
    <row r="5" spans="1:29" ht="19.95" customHeight="1" x14ac:dyDescent="0.25">
      <c r="A5" s="36" t="s">
        <v>451</v>
      </c>
      <c r="B5" s="12" t="s">
        <v>452</v>
      </c>
      <c r="C5" s="103" t="s">
        <v>453</v>
      </c>
      <c r="D5" s="12" t="s">
        <v>454</v>
      </c>
      <c r="E5" s="12" t="s">
        <v>450</v>
      </c>
      <c r="F5" s="12" t="s">
        <v>439</v>
      </c>
      <c r="G5" s="12" t="s">
        <v>440</v>
      </c>
      <c r="H5" s="12" t="s">
        <v>437</v>
      </c>
      <c r="I5" s="12" t="s">
        <v>436</v>
      </c>
      <c r="J5" s="12" t="s">
        <v>441</v>
      </c>
      <c r="K5" s="12"/>
      <c r="L5" s="12"/>
      <c r="M5" s="12"/>
      <c r="N5" s="12" t="s">
        <v>16</v>
      </c>
      <c r="O5" s="13" t="s">
        <v>426</v>
      </c>
      <c r="P5" s="13" t="s">
        <v>21</v>
      </c>
      <c r="Q5" s="100" t="s">
        <v>120</v>
      </c>
      <c r="R5" s="100" t="s">
        <v>120</v>
      </c>
      <c r="S5" s="100" t="s">
        <v>120</v>
      </c>
      <c r="T5" s="100" t="s">
        <v>120</v>
      </c>
      <c r="U5" s="100" t="s">
        <v>120</v>
      </c>
      <c r="V5" s="100" t="s">
        <v>120</v>
      </c>
      <c r="W5" s="100" t="s">
        <v>120</v>
      </c>
      <c r="X5" s="100" t="s">
        <v>120</v>
      </c>
      <c r="Y5" s="100" t="s">
        <v>120</v>
      </c>
      <c r="Z5" s="100" t="s">
        <v>120</v>
      </c>
      <c r="AA5" s="100" t="s">
        <v>120</v>
      </c>
      <c r="AB5" s="100" t="s">
        <v>120</v>
      </c>
      <c r="AC5" s="100" t="s">
        <v>120</v>
      </c>
    </row>
    <row r="6" spans="1:29" ht="19.95" customHeight="1" x14ac:dyDescent="0.25">
      <c r="A6" s="36" t="s">
        <v>451</v>
      </c>
      <c r="B6" s="12" t="s">
        <v>452</v>
      </c>
      <c r="C6" s="103" t="s">
        <v>453</v>
      </c>
      <c r="D6" s="12" t="s">
        <v>454</v>
      </c>
      <c r="E6" s="12" t="s">
        <v>450</v>
      </c>
      <c r="F6" s="12" t="s">
        <v>439</v>
      </c>
      <c r="G6" s="12" t="s">
        <v>440</v>
      </c>
      <c r="H6" s="12" t="s">
        <v>437</v>
      </c>
      <c r="I6" s="12" t="s">
        <v>436</v>
      </c>
      <c r="J6" s="12" t="s">
        <v>441</v>
      </c>
      <c r="K6" s="12"/>
      <c r="L6" s="12"/>
      <c r="M6" s="12"/>
      <c r="N6" s="12" t="s">
        <v>16</v>
      </c>
      <c r="O6" s="13" t="s">
        <v>427</v>
      </c>
      <c r="P6" s="13" t="s">
        <v>21</v>
      </c>
      <c r="Q6" s="100" t="s">
        <v>120</v>
      </c>
      <c r="R6" s="100" t="s">
        <v>120</v>
      </c>
      <c r="S6" s="100" t="s">
        <v>120</v>
      </c>
      <c r="T6" s="100" t="s">
        <v>120</v>
      </c>
      <c r="U6" s="100" t="s">
        <v>120</v>
      </c>
      <c r="V6" s="100" t="s">
        <v>120</v>
      </c>
      <c r="W6" s="100" t="s">
        <v>120</v>
      </c>
      <c r="X6" s="100" t="s">
        <v>120</v>
      </c>
      <c r="Y6" s="100" t="s">
        <v>120</v>
      </c>
      <c r="Z6" s="100" t="s">
        <v>120</v>
      </c>
      <c r="AA6" s="100" t="s">
        <v>120</v>
      </c>
      <c r="AB6" s="100" t="s">
        <v>120</v>
      </c>
      <c r="AC6" s="100" t="s">
        <v>120</v>
      </c>
    </row>
    <row r="7" spans="1:29" ht="19.95" customHeight="1" x14ac:dyDescent="0.25">
      <c r="A7" s="36" t="s">
        <v>451</v>
      </c>
      <c r="B7" s="12" t="s">
        <v>452</v>
      </c>
      <c r="C7" s="103" t="s">
        <v>453</v>
      </c>
      <c r="D7" s="12" t="s">
        <v>454</v>
      </c>
      <c r="E7" s="12" t="s">
        <v>450</v>
      </c>
      <c r="F7" s="12" t="s">
        <v>439</v>
      </c>
      <c r="G7" s="12" t="s">
        <v>440</v>
      </c>
      <c r="H7" s="12" t="s">
        <v>437</v>
      </c>
      <c r="I7" s="12" t="s">
        <v>436</v>
      </c>
      <c r="J7" s="12" t="s">
        <v>441</v>
      </c>
      <c r="K7" s="12"/>
      <c r="L7" s="12"/>
      <c r="M7" s="12"/>
      <c r="N7" s="12" t="s">
        <v>16</v>
      </c>
      <c r="O7" s="13" t="s">
        <v>428</v>
      </c>
      <c r="P7" s="13" t="s">
        <v>21</v>
      </c>
      <c r="Q7" s="100" t="s">
        <v>120</v>
      </c>
      <c r="R7" s="100" t="s">
        <v>120</v>
      </c>
      <c r="S7" s="100" t="s">
        <v>120</v>
      </c>
      <c r="T7" s="100" t="s">
        <v>120</v>
      </c>
      <c r="U7" s="100" t="s">
        <v>120</v>
      </c>
      <c r="V7" s="100" t="s">
        <v>120</v>
      </c>
      <c r="W7" s="100" t="s">
        <v>120</v>
      </c>
      <c r="X7" s="100" t="s">
        <v>120</v>
      </c>
      <c r="Y7" s="100" t="s">
        <v>120</v>
      </c>
      <c r="Z7" s="100" t="s">
        <v>120</v>
      </c>
      <c r="AA7" s="100" t="s">
        <v>120</v>
      </c>
      <c r="AB7" s="100" t="s">
        <v>120</v>
      </c>
      <c r="AC7" s="100" t="s">
        <v>120</v>
      </c>
    </row>
    <row r="8" spans="1:29" ht="19.95" customHeight="1" x14ac:dyDescent="0.25">
      <c r="A8" s="36" t="s">
        <v>451</v>
      </c>
      <c r="B8" s="12" t="s">
        <v>452</v>
      </c>
      <c r="C8" s="103" t="s">
        <v>453</v>
      </c>
      <c r="D8" s="12" t="s">
        <v>454</v>
      </c>
      <c r="E8" s="12" t="s">
        <v>450</v>
      </c>
      <c r="F8" s="12" t="s">
        <v>439</v>
      </c>
      <c r="G8" s="12" t="s">
        <v>440</v>
      </c>
      <c r="H8" s="12" t="s">
        <v>437</v>
      </c>
      <c r="I8" s="12" t="s">
        <v>436</v>
      </c>
      <c r="J8" s="12" t="s">
        <v>441</v>
      </c>
      <c r="K8" s="12"/>
      <c r="L8" s="12"/>
      <c r="M8" s="12"/>
      <c r="N8" s="12" t="s">
        <v>16</v>
      </c>
      <c r="O8" s="13" t="s">
        <v>429</v>
      </c>
      <c r="P8" s="13" t="s">
        <v>21</v>
      </c>
      <c r="Q8" s="100" t="s">
        <v>120</v>
      </c>
      <c r="R8" s="100" t="s">
        <v>120</v>
      </c>
      <c r="S8" s="100" t="s">
        <v>120</v>
      </c>
      <c r="T8" s="100" t="s">
        <v>120</v>
      </c>
      <c r="U8" s="100" t="s">
        <v>120</v>
      </c>
      <c r="V8" s="100" t="s">
        <v>120</v>
      </c>
      <c r="W8" s="100" t="s">
        <v>120</v>
      </c>
      <c r="X8" s="100" t="s">
        <v>120</v>
      </c>
      <c r="Y8" s="100" t="s">
        <v>120</v>
      </c>
      <c r="Z8" s="100" t="s">
        <v>120</v>
      </c>
      <c r="AA8" s="100" t="s">
        <v>120</v>
      </c>
      <c r="AB8" s="100" t="s">
        <v>120</v>
      </c>
      <c r="AC8" s="100" t="s">
        <v>120</v>
      </c>
    </row>
    <row r="9" spans="1:29" ht="19.95" customHeight="1" x14ac:dyDescent="0.25">
      <c r="A9" s="36" t="s">
        <v>451</v>
      </c>
      <c r="B9" s="12" t="s">
        <v>452</v>
      </c>
      <c r="C9" s="103" t="s">
        <v>453</v>
      </c>
      <c r="D9" s="12" t="s">
        <v>454</v>
      </c>
      <c r="E9" s="12" t="s">
        <v>450</v>
      </c>
      <c r="F9" s="12" t="s">
        <v>439</v>
      </c>
      <c r="G9" s="12" t="s">
        <v>440</v>
      </c>
      <c r="H9" s="12" t="s">
        <v>437</v>
      </c>
      <c r="I9" s="12" t="s">
        <v>436</v>
      </c>
      <c r="J9" s="12" t="s">
        <v>441</v>
      </c>
      <c r="K9" s="12"/>
      <c r="L9" s="12"/>
      <c r="M9" s="12"/>
      <c r="N9" s="12" t="s">
        <v>16</v>
      </c>
      <c r="O9" s="13" t="s">
        <v>430</v>
      </c>
      <c r="P9" s="13" t="s">
        <v>21</v>
      </c>
      <c r="Q9" s="100" t="s">
        <v>120</v>
      </c>
      <c r="R9" s="100" t="s">
        <v>120</v>
      </c>
      <c r="S9" s="100" t="s">
        <v>120</v>
      </c>
      <c r="T9" s="100" t="s">
        <v>120</v>
      </c>
      <c r="U9" s="100" t="s">
        <v>120</v>
      </c>
      <c r="V9" s="100" t="s">
        <v>120</v>
      </c>
      <c r="W9" s="100" t="s">
        <v>120</v>
      </c>
      <c r="X9" s="100" t="s">
        <v>120</v>
      </c>
      <c r="Y9" s="100" t="s">
        <v>120</v>
      </c>
      <c r="Z9" s="100" t="s">
        <v>120</v>
      </c>
      <c r="AA9" s="100" t="s">
        <v>120</v>
      </c>
      <c r="AB9" s="100" t="s">
        <v>120</v>
      </c>
      <c r="AC9" s="100" t="s">
        <v>120</v>
      </c>
    </row>
    <row r="10" spans="1:29" ht="19.95" customHeight="1" x14ac:dyDescent="0.25">
      <c r="A10" s="36" t="s">
        <v>451</v>
      </c>
      <c r="B10" s="12" t="s">
        <v>452</v>
      </c>
      <c r="C10" s="103" t="s">
        <v>453</v>
      </c>
      <c r="D10" s="12" t="s">
        <v>454</v>
      </c>
      <c r="E10" s="12" t="s">
        <v>450</v>
      </c>
      <c r="F10" s="12" t="s">
        <v>439</v>
      </c>
      <c r="G10" s="12" t="s">
        <v>440</v>
      </c>
      <c r="H10" s="12" t="s">
        <v>437</v>
      </c>
      <c r="I10" s="12" t="s">
        <v>436</v>
      </c>
      <c r="J10" s="12" t="s">
        <v>441</v>
      </c>
      <c r="K10" s="12"/>
      <c r="L10" s="12"/>
      <c r="M10" s="12"/>
      <c r="N10" s="12" t="s">
        <v>16</v>
      </c>
      <c r="O10" s="13" t="s">
        <v>431</v>
      </c>
      <c r="P10" s="13" t="s">
        <v>21</v>
      </c>
      <c r="Q10" s="100" t="s">
        <v>120</v>
      </c>
      <c r="R10" s="100" t="s">
        <v>120</v>
      </c>
      <c r="S10" s="100" t="s">
        <v>120</v>
      </c>
      <c r="T10" s="100" t="s">
        <v>120</v>
      </c>
      <c r="U10" s="100" t="s">
        <v>120</v>
      </c>
      <c r="V10" s="100" t="s">
        <v>120</v>
      </c>
      <c r="W10" s="100" t="s">
        <v>120</v>
      </c>
      <c r="X10" s="100" t="s">
        <v>120</v>
      </c>
      <c r="Y10" s="100" t="s">
        <v>120</v>
      </c>
      <c r="Z10" s="100" t="s">
        <v>120</v>
      </c>
      <c r="AA10" s="100" t="s">
        <v>120</v>
      </c>
      <c r="AB10" s="100" t="s">
        <v>120</v>
      </c>
      <c r="AC10" s="100" t="s">
        <v>120</v>
      </c>
    </row>
    <row r="11" spans="1:29" ht="19.95" customHeight="1" x14ac:dyDescent="0.25">
      <c r="A11" s="36" t="s">
        <v>451</v>
      </c>
      <c r="B11" s="12" t="s">
        <v>452</v>
      </c>
      <c r="C11" s="103" t="s">
        <v>453</v>
      </c>
      <c r="D11" s="12" t="s">
        <v>454</v>
      </c>
      <c r="E11" s="12" t="s">
        <v>450</v>
      </c>
      <c r="F11" s="12" t="s">
        <v>439</v>
      </c>
      <c r="G11" s="12" t="s">
        <v>440</v>
      </c>
      <c r="H11" s="12" t="s">
        <v>437</v>
      </c>
      <c r="I11" s="12" t="s">
        <v>436</v>
      </c>
      <c r="J11" s="12" t="s">
        <v>441</v>
      </c>
      <c r="K11" s="12"/>
      <c r="L11" s="12"/>
      <c r="M11" s="12"/>
      <c r="N11" s="12" t="s">
        <v>16</v>
      </c>
      <c r="O11" s="13" t="s">
        <v>432</v>
      </c>
      <c r="P11" s="13" t="s">
        <v>18</v>
      </c>
      <c r="Q11" s="100" t="s">
        <v>120</v>
      </c>
      <c r="R11" s="100" t="s">
        <v>120</v>
      </c>
      <c r="S11" s="100" t="s">
        <v>120</v>
      </c>
      <c r="T11" s="100" t="s">
        <v>120</v>
      </c>
      <c r="U11" s="100" t="s">
        <v>120</v>
      </c>
      <c r="V11" s="100" t="s">
        <v>120</v>
      </c>
      <c r="W11" s="100" t="s">
        <v>120</v>
      </c>
      <c r="X11" s="100" t="s">
        <v>120</v>
      </c>
      <c r="Y11" s="100" t="s">
        <v>120</v>
      </c>
      <c r="Z11" s="100" t="s">
        <v>120</v>
      </c>
      <c r="AA11" s="100" t="s">
        <v>120</v>
      </c>
      <c r="AB11" s="100" t="s">
        <v>120</v>
      </c>
      <c r="AC11" s="100" t="s">
        <v>120</v>
      </c>
    </row>
    <row r="12" spans="1:29" ht="19.95" customHeight="1" x14ac:dyDescent="0.25">
      <c r="A12" s="36" t="s">
        <v>451</v>
      </c>
      <c r="B12" s="12" t="s">
        <v>452</v>
      </c>
      <c r="C12" s="103" t="s">
        <v>453</v>
      </c>
      <c r="D12" s="12" t="s">
        <v>454</v>
      </c>
      <c r="E12" s="12" t="s">
        <v>450</v>
      </c>
      <c r="F12" s="12" t="s">
        <v>439</v>
      </c>
      <c r="G12" s="12" t="s">
        <v>440</v>
      </c>
      <c r="H12" s="12" t="s">
        <v>437</v>
      </c>
      <c r="I12" s="12" t="s">
        <v>436</v>
      </c>
      <c r="J12" s="12" t="s">
        <v>441</v>
      </c>
      <c r="K12" s="12"/>
      <c r="L12" s="12"/>
      <c r="M12" s="12"/>
      <c r="N12" s="12" t="s">
        <v>16</v>
      </c>
      <c r="O12" s="13" t="s">
        <v>433</v>
      </c>
      <c r="P12" s="13" t="s">
        <v>21</v>
      </c>
      <c r="Q12" s="100" t="s">
        <v>120</v>
      </c>
      <c r="R12" s="100" t="s">
        <v>120</v>
      </c>
      <c r="S12" s="100" t="s">
        <v>120</v>
      </c>
      <c r="T12" s="100" t="s">
        <v>120</v>
      </c>
      <c r="U12" s="100" t="s">
        <v>120</v>
      </c>
      <c r="V12" s="100" t="s">
        <v>120</v>
      </c>
      <c r="W12" s="100" t="s">
        <v>120</v>
      </c>
      <c r="X12" s="100" t="s">
        <v>120</v>
      </c>
      <c r="Y12" s="100" t="s">
        <v>120</v>
      </c>
      <c r="Z12" s="100" t="s">
        <v>120</v>
      </c>
      <c r="AA12" s="100" t="s">
        <v>120</v>
      </c>
      <c r="AB12" s="100" t="s">
        <v>120</v>
      </c>
      <c r="AC12" s="100" t="s">
        <v>120</v>
      </c>
    </row>
  </sheetData>
  <hyperlinks>
    <hyperlink ref="C2" r:id="rId1" xr:uid="{9A7E2A55-757B-48D2-BC99-20ECF785CF33}"/>
    <hyperlink ref="C3" r:id="rId2" xr:uid="{BF6440A9-2279-43F0-A511-20DA5A2031CD}"/>
    <hyperlink ref="C4" r:id="rId3" xr:uid="{3763E398-5679-4DF4-A834-5F10480180E1}"/>
    <hyperlink ref="C5" r:id="rId4" xr:uid="{16D5FFEA-5B8E-4299-ACC8-C41E4D329616}"/>
    <hyperlink ref="C6" r:id="rId5" xr:uid="{B79E151F-34DC-4BCD-94AA-4038C8270641}"/>
    <hyperlink ref="C7" r:id="rId6" xr:uid="{D3677DCB-5B4E-4F13-A23C-8B52CA3C9D76}"/>
    <hyperlink ref="C8" r:id="rId7" xr:uid="{C957EF7E-C96F-49C7-8157-B43F103549FB}"/>
    <hyperlink ref="C9" r:id="rId8" xr:uid="{8E7AD045-9F60-43E4-B4AE-8DA0E3CE0F6E}"/>
    <hyperlink ref="C10" r:id="rId9" xr:uid="{6943A182-24D9-4A6E-91F5-4793A28AA9F4}"/>
    <hyperlink ref="C11" r:id="rId10" xr:uid="{5DACBF73-A54E-4EFA-A9B5-E8B328E1ADB9}"/>
    <hyperlink ref="C12" r:id="rId11" xr:uid="{05C1E96F-E95E-438B-98E0-BE253086B1F4}"/>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D1DC8-8A99-4C22-805E-F19938A53B7C}">
  <dimension ref="A1:AC12"/>
  <sheetViews>
    <sheetView topLeftCell="H1" workbookViewId="0">
      <selection activeCell="O1" sqref="O1:AC1"/>
    </sheetView>
  </sheetViews>
  <sheetFormatPr defaultColWidth="9.77734375" defaultRowHeight="13.2" x14ac:dyDescent="0.25"/>
  <cols>
    <col min="1" max="1" width="12.44140625" customWidth="1"/>
    <col min="2" max="2" width="17.6640625" bestFit="1" customWidth="1"/>
    <col min="3" max="3" width="30.33203125" customWidth="1"/>
    <col min="4" max="4" width="11.6640625" customWidth="1"/>
    <col min="5" max="5" width="21.6640625" bestFit="1" customWidth="1"/>
    <col min="7" max="7" width="17.5546875" bestFit="1" customWidth="1"/>
    <col min="9" max="9" width="18.109375" bestFit="1" customWidth="1"/>
    <col min="10" max="10" width="11.77734375" customWidth="1"/>
    <col min="11" max="11" width="13.6640625" customWidth="1"/>
    <col min="12" max="13" width="12.21875" customWidth="1"/>
    <col min="14" max="14" width="14.5546875" bestFit="1" customWidth="1"/>
    <col min="15" max="15" width="54.77734375" customWidth="1"/>
    <col min="16" max="16" width="14" bestFit="1" customWidth="1"/>
    <col min="17" max="17" width="12.109375" bestFit="1" customWidth="1"/>
    <col min="18" max="29" width="10.5546875" bestFit="1" customWidth="1"/>
  </cols>
  <sheetData>
    <row r="1" spans="1:29" ht="27.6" x14ac:dyDescent="0.25">
      <c r="A1" s="35" t="s">
        <v>123</v>
      </c>
      <c r="B1" s="58" t="s">
        <v>1</v>
      </c>
      <c r="C1" s="35" t="s">
        <v>2</v>
      </c>
      <c r="D1" s="58" t="s">
        <v>3</v>
      </c>
      <c r="E1" s="35" t="s">
        <v>4</v>
      </c>
      <c r="F1" s="35" t="s">
        <v>5</v>
      </c>
      <c r="G1" s="35" t="s">
        <v>6</v>
      </c>
      <c r="H1" s="35" t="s">
        <v>7</v>
      </c>
      <c r="I1" s="58" t="s">
        <v>8</v>
      </c>
      <c r="J1" s="35" t="s">
        <v>9</v>
      </c>
      <c r="K1" s="35" t="s">
        <v>10</v>
      </c>
      <c r="L1" s="35" t="s">
        <v>126</v>
      </c>
      <c r="M1" s="35" t="s">
        <v>127</v>
      </c>
      <c r="N1" s="35"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88">
        <v>7241189689</v>
      </c>
      <c r="B2" s="12" t="s">
        <v>457</v>
      </c>
      <c r="C2" s="10" t="s">
        <v>455</v>
      </c>
      <c r="D2" s="12" t="s">
        <v>456</v>
      </c>
      <c r="E2" s="12" t="s">
        <v>450</v>
      </c>
      <c r="F2" s="12" t="s">
        <v>439</v>
      </c>
      <c r="G2" s="12" t="s">
        <v>440</v>
      </c>
      <c r="H2" s="12" t="s">
        <v>437</v>
      </c>
      <c r="I2" s="12" t="s">
        <v>436</v>
      </c>
      <c r="J2" s="12" t="s">
        <v>441</v>
      </c>
      <c r="K2" s="12"/>
      <c r="L2" s="12"/>
      <c r="M2" s="12"/>
      <c r="N2" s="12" t="s">
        <v>16</v>
      </c>
      <c r="O2" s="13" t="s">
        <v>424</v>
      </c>
      <c r="P2" s="13" t="s">
        <v>20</v>
      </c>
      <c r="Q2" s="99">
        <v>15600000</v>
      </c>
      <c r="R2" s="99">
        <v>1000000</v>
      </c>
      <c r="S2" s="99">
        <v>1000000</v>
      </c>
      <c r="T2" s="99">
        <v>1000000</v>
      </c>
      <c r="U2" s="99">
        <v>1200000</v>
      </c>
      <c r="V2" s="99">
        <v>1200000</v>
      </c>
      <c r="W2" s="99">
        <v>1200000</v>
      </c>
      <c r="X2" s="99">
        <v>1500000</v>
      </c>
      <c r="Y2" s="99">
        <v>1500000</v>
      </c>
      <c r="Z2" s="99">
        <v>1500000</v>
      </c>
      <c r="AA2" s="99">
        <v>1500000</v>
      </c>
      <c r="AB2" s="99">
        <v>1500000</v>
      </c>
      <c r="AC2" s="99">
        <v>1500000</v>
      </c>
    </row>
    <row r="3" spans="1:29" ht="19.95" customHeight="1" x14ac:dyDescent="0.25">
      <c r="A3" s="88">
        <v>7241189689</v>
      </c>
      <c r="B3" s="12" t="s">
        <v>457</v>
      </c>
      <c r="C3" s="10" t="s">
        <v>455</v>
      </c>
      <c r="D3" s="12" t="s">
        <v>456</v>
      </c>
      <c r="E3" s="12" t="s">
        <v>450</v>
      </c>
      <c r="F3" s="12" t="s">
        <v>439</v>
      </c>
      <c r="G3" s="12" t="s">
        <v>440</v>
      </c>
      <c r="H3" s="12" t="s">
        <v>437</v>
      </c>
      <c r="I3" s="12" t="s">
        <v>436</v>
      </c>
      <c r="J3" s="12" t="s">
        <v>441</v>
      </c>
      <c r="K3" s="12"/>
      <c r="L3" s="12"/>
      <c r="M3" s="12"/>
      <c r="N3" s="12" t="s">
        <v>16</v>
      </c>
      <c r="O3" s="13" t="s">
        <v>425</v>
      </c>
      <c r="P3" s="13" t="s">
        <v>21</v>
      </c>
      <c r="Q3" s="100">
        <v>1</v>
      </c>
      <c r="R3" s="100">
        <v>1</v>
      </c>
      <c r="S3" s="100">
        <v>1</v>
      </c>
      <c r="T3" s="100">
        <v>1</v>
      </c>
      <c r="U3" s="100">
        <v>1</v>
      </c>
      <c r="V3" s="100">
        <v>1</v>
      </c>
      <c r="W3" s="100">
        <v>1</v>
      </c>
      <c r="X3" s="100">
        <v>1</v>
      </c>
      <c r="Y3" s="100">
        <v>1</v>
      </c>
      <c r="Z3" s="100">
        <v>1</v>
      </c>
      <c r="AA3" s="100">
        <v>1</v>
      </c>
      <c r="AB3" s="100">
        <v>1</v>
      </c>
      <c r="AC3" s="100">
        <v>1</v>
      </c>
    </row>
    <row r="4" spans="1:29" ht="19.95" customHeight="1" x14ac:dyDescent="0.25">
      <c r="A4" s="88">
        <v>7241189689</v>
      </c>
      <c r="B4" s="12" t="s">
        <v>457</v>
      </c>
      <c r="C4" s="10" t="s">
        <v>455</v>
      </c>
      <c r="D4" s="12" t="s">
        <v>456</v>
      </c>
      <c r="E4" s="12" t="s">
        <v>450</v>
      </c>
      <c r="F4" s="12" t="s">
        <v>439</v>
      </c>
      <c r="G4" s="12" t="s">
        <v>440</v>
      </c>
      <c r="H4" s="12" t="s">
        <v>437</v>
      </c>
      <c r="I4" s="12" t="s">
        <v>436</v>
      </c>
      <c r="J4" s="12" t="s">
        <v>441</v>
      </c>
      <c r="K4" s="12"/>
      <c r="L4" s="12"/>
      <c r="M4" s="12"/>
      <c r="N4" s="12" t="s">
        <v>16</v>
      </c>
      <c r="O4" s="13" t="s">
        <v>434</v>
      </c>
      <c r="P4" s="13" t="s">
        <v>21</v>
      </c>
      <c r="Q4" s="100" t="s">
        <v>120</v>
      </c>
      <c r="R4" s="100" t="s">
        <v>120</v>
      </c>
      <c r="S4" s="100" t="s">
        <v>120</v>
      </c>
      <c r="T4" s="100" t="s">
        <v>120</v>
      </c>
      <c r="U4" s="100" t="s">
        <v>120</v>
      </c>
      <c r="V4" s="100" t="s">
        <v>120</v>
      </c>
      <c r="W4" s="100" t="s">
        <v>120</v>
      </c>
      <c r="X4" s="100" t="s">
        <v>120</v>
      </c>
      <c r="Y4" s="100" t="s">
        <v>120</v>
      </c>
      <c r="Z4" s="100" t="s">
        <v>120</v>
      </c>
      <c r="AA4" s="100" t="s">
        <v>120</v>
      </c>
      <c r="AB4" s="100" t="s">
        <v>120</v>
      </c>
      <c r="AC4" s="100" t="s">
        <v>120</v>
      </c>
    </row>
    <row r="5" spans="1:29" ht="19.95" customHeight="1" x14ac:dyDescent="0.25">
      <c r="A5" s="88">
        <v>7241189689</v>
      </c>
      <c r="B5" s="12" t="s">
        <v>457</v>
      </c>
      <c r="C5" s="10" t="s">
        <v>455</v>
      </c>
      <c r="D5" s="12" t="s">
        <v>456</v>
      </c>
      <c r="E5" s="12" t="s">
        <v>450</v>
      </c>
      <c r="F5" s="12" t="s">
        <v>439</v>
      </c>
      <c r="G5" s="12" t="s">
        <v>440</v>
      </c>
      <c r="H5" s="12" t="s">
        <v>437</v>
      </c>
      <c r="I5" s="12" t="s">
        <v>436</v>
      </c>
      <c r="J5" s="12" t="s">
        <v>441</v>
      </c>
      <c r="K5" s="12"/>
      <c r="L5" s="12"/>
      <c r="M5" s="12"/>
      <c r="N5" s="12" t="s">
        <v>16</v>
      </c>
      <c r="O5" s="13" t="s">
        <v>426</v>
      </c>
      <c r="P5" s="13" t="s">
        <v>21</v>
      </c>
      <c r="Q5" s="100" t="s">
        <v>120</v>
      </c>
      <c r="R5" s="100" t="s">
        <v>120</v>
      </c>
      <c r="S5" s="100" t="s">
        <v>120</v>
      </c>
      <c r="T5" s="100" t="s">
        <v>120</v>
      </c>
      <c r="U5" s="100" t="s">
        <v>120</v>
      </c>
      <c r="V5" s="100" t="s">
        <v>120</v>
      </c>
      <c r="W5" s="100" t="s">
        <v>120</v>
      </c>
      <c r="X5" s="100" t="s">
        <v>120</v>
      </c>
      <c r="Y5" s="100" t="s">
        <v>120</v>
      </c>
      <c r="Z5" s="100" t="s">
        <v>120</v>
      </c>
      <c r="AA5" s="100" t="s">
        <v>120</v>
      </c>
      <c r="AB5" s="100" t="s">
        <v>120</v>
      </c>
      <c r="AC5" s="100" t="s">
        <v>120</v>
      </c>
    </row>
    <row r="6" spans="1:29" ht="19.95" customHeight="1" x14ac:dyDescent="0.25">
      <c r="A6" s="88">
        <v>7241189689</v>
      </c>
      <c r="B6" s="12" t="s">
        <v>457</v>
      </c>
      <c r="C6" s="10" t="s">
        <v>455</v>
      </c>
      <c r="D6" s="12" t="s">
        <v>456</v>
      </c>
      <c r="E6" s="12" t="s">
        <v>450</v>
      </c>
      <c r="F6" s="12" t="s">
        <v>439</v>
      </c>
      <c r="G6" s="12" t="s">
        <v>440</v>
      </c>
      <c r="H6" s="12" t="s">
        <v>437</v>
      </c>
      <c r="I6" s="12" t="s">
        <v>436</v>
      </c>
      <c r="J6" s="12" t="s">
        <v>441</v>
      </c>
      <c r="K6" s="12"/>
      <c r="L6" s="12"/>
      <c r="M6" s="12"/>
      <c r="N6" s="12" t="s">
        <v>16</v>
      </c>
      <c r="O6" s="13" t="s">
        <v>427</v>
      </c>
      <c r="P6" s="13" t="s">
        <v>21</v>
      </c>
      <c r="Q6" s="100" t="s">
        <v>120</v>
      </c>
      <c r="R6" s="100" t="s">
        <v>120</v>
      </c>
      <c r="S6" s="100" t="s">
        <v>120</v>
      </c>
      <c r="T6" s="100" t="s">
        <v>120</v>
      </c>
      <c r="U6" s="100" t="s">
        <v>120</v>
      </c>
      <c r="V6" s="100" t="s">
        <v>120</v>
      </c>
      <c r="W6" s="100" t="s">
        <v>120</v>
      </c>
      <c r="X6" s="100" t="s">
        <v>120</v>
      </c>
      <c r="Y6" s="100" t="s">
        <v>120</v>
      </c>
      <c r="Z6" s="100" t="s">
        <v>120</v>
      </c>
      <c r="AA6" s="100" t="s">
        <v>120</v>
      </c>
      <c r="AB6" s="100" t="s">
        <v>120</v>
      </c>
      <c r="AC6" s="100" t="s">
        <v>120</v>
      </c>
    </row>
    <row r="7" spans="1:29" ht="19.95" customHeight="1" x14ac:dyDescent="0.25">
      <c r="A7" s="88">
        <v>7241189689</v>
      </c>
      <c r="B7" s="12" t="s">
        <v>457</v>
      </c>
      <c r="C7" s="10" t="s">
        <v>455</v>
      </c>
      <c r="D7" s="12" t="s">
        <v>456</v>
      </c>
      <c r="E7" s="12" t="s">
        <v>450</v>
      </c>
      <c r="F7" s="12" t="s">
        <v>439</v>
      </c>
      <c r="G7" s="12" t="s">
        <v>440</v>
      </c>
      <c r="H7" s="12" t="s">
        <v>437</v>
      </c>
      <c r="I7" s="12" t="s">
        <v>436</v>
      </c>
      <c r="J7" s="12" t="s">
        <v>441</v>
      </c>
      <c r="K7" s="12"/>
      <c r="L7" s="12"/>
      <c r="M7" s="12"/>
      <c r="N7" s="12" t="s">
        <v>16</v>
      </c>
      <c r="O7" s="13" t="s">
        <v>428</v>
      </c>
      <c r="P7" s="13" t="s">
        <v>21</v>
      </c>
      <c r="Q7" s="100" t="s">
        <v>120</v>
      </c>
      <c r="R7" s="100" t="s">
        <v>120</v>
      </c>
      <c r="S7" s="100" t="s">
        <v>120</v>
      </c>
      <c r="T7" s="100" t="s">
        <v>120</v>
      </c>
      <c r="U7" s="100" t="s">
        <v>120</v>
      </c>
      <c r="V7" s="100" t="s">
        <v>120</v>
      </c>
      <c r="W7" s="100" t="s">
        <v>120</v>
      </c>
      <c r="X7" s="100" t="s">
        <v>120</v>
      </c>
      <c r="Y7" s="100" t="s">
        <v>120</v>
      </c>
      <c r="Z7" s="100" t="s">
        <v>120</v>
      </c>
      <c r="AA7" s="100" t="s">
        <v>120</v>
      </c>
      <c r="AB7" s="100" t="s">
        <v>120</v>
      </c>
      <c r="AC7" s="100" t="s">
        <v>120</v>
      </c>
    </row>
    <row r="8" spans="1:29" ht="19.95" customHeight="1" x14ac:dyDescent="0.25">
      <c r="A8" s="88">
        <v>7241189689</v>
      </c>
      <c r="B8" s="12" t="s">
        <v>457</v>
      </c>
      <c r="C8" s="10" t="s">
        <v>455</v>
      </c>
      <c r="D8" s="12" t="s">
        <v>456</v>
      </c>
      <c r="E8" s="12" t="s">
        <v>450</v>
      </c>
      <c r="F8" s="12" t="s">
        <v>439</v>
      </c>
      <c r="G8" s="12" t="s">
        <v>440</v>
      </c>
      <c r="H8" s="12" t="s">
        <v>437</v>
      </c>
      <c r="I8" s="12" t="s">
        <v>436</v>
      </c>
      <c r="J8" s="12" t="s">
        <v>441</v>
      </c>
      <c r="K8" s="12"/>
      <c r="L8" s="12"/>
      <c r="M8" s="12"/>
      <c r="N8" s="12" t="s">
        <v>16</v>
      </c>
      <c r="O8" s="13" t="s">
        <v>429</v>
      </c>
      <c r="P8" s="13" t="s">
        <v>21</v>
      </c>
      <c r="Q8" s="100" t="s">
        <v>120</v>
      </c>
      <c r="R8" s="100" t="s">
        <v>120</v>
      </c>
      <c r="S8" s="100" t="s">
        <v>120</v>
      </c>
      <c r="T8" s="100" t="s">
        <v>120</v>
      </c>
      <c r="U8" s="100" t="s">
        <v>120</v>
      </c>
      <c r="V8" s="100" t="s">
        <v>120</v>
      </c>
      <c r="W8" s="100" t="s">
        <v>120</v>
      </c>
      <c r="X8" s="100" t="s">
        <v>120</v>
      </c>
      <c r="Y8" s="100" t="s">
        <v>120</v>
      </c>
      <c r="Z8" s="100" t="s">
        <v>120</v>
      </c>
      <c r="AA8" s="100" t="s">
        <v>120</v>
      </c>
      <c r="AB8" s="100" t="s">
        <v>120</v>
      </c>
      <c r="AC8" s="100" t="s">
        <v>120</v>
      </c>
    </row>
    <row r="9" spans="1:29" ht="19.95" customHeight="1" x14ac:dyDescent="0.25">
      <c r="A9" s="88">
        <v>7241189689</v>
      </c>
      <c r="B9" s="12" t="s">
        <v>457</v>
      </c>
      <c r="C9" s="10" t="s">
        <v>455</v>
      </c>
      <c r="D9" s="12" t="s">
        <v>456</v>
      </c>
      <c r="E9" s="12" t="s">
        <v>450</v>
      </c>
      <c r="F9" s="12" t="s">
        <v>439</v>
      </c>
      <c r="G9" s="12" t="s">
        <v>440</v>
      </c>
      <c r="H9" s="12" t="s">
        <v>437</v>
      </c>
      <c r="I9" s="12" t="s">
        <v>436</v>
      </c>
      <c r="J9" s="12" t="s">
        <v>441</v>
      </c>
      <c r="K9" s="12"/>
      <c r="L9" s="12"/>
      <c r="M9" s="12"/>
      <c r="N9" s="12" t="s">
        <v>16</v>
      </c>
      <c r="O9" s="13" t="s">
        <v>430</v>
      </c>
      <c r="P9" s="13" t="s">
        <v>21</v>
      </c>
      <c r="Q9" s="100" t="s">
        <v>120</v>
      </c>
      <c r="R9" s="100" t="s">
        <v>120</v>
      </c>
      <c r="S9" s="100" t="s">
        <v>120</v>
      </c>
      <c r="T9" s="100" t="s">
        <v>120</v>
      </c>
      <c r="U9" s="100" t="s">
        <v>120</v>
      </c>
      <c r="V9" s="100" t="s">
        <v>120</v>
      </c>
      <c r="W9" s="100" t="s">
        <v>120</v>
      </c>
      <c r="X9" s="100" t="s">
        <v>120</v>
      </c>
      <c r="Y9" s="100" t="s">
        <v>120</v>
      </c>
      <c r="Z9" s="100" t="s">
        <v>120</v>
      </c>
      <c r="AA9" s="100" t="s">
        <v>120</v>
      </c>
      <c r="AB9" s="100" t="s">
        <v>120</v>
      </c>
      <c r="AC9" s="100" t="s">
        <v>120</v>
      </c>
    </row>
    <row r="10" spans="1:29" ht="19.95" customHeight="1" x14ac:dyDescent="0.25">
      <c r="A10" s="88">
        <v>7241189689</v>
      </c>
      <c r="B10" s="12" t="s">
        <v>457</v>
      </c>
      <c r="C10" s="10" t="s">
        <v>455</v>
      </c>
      <c r="D10" s="12" t="s">
        <v>456</v>
      </c>
      <c r="E10" s="12" t="s">
        <v>450</v>
      </c>
      <c r="F10" s="12" t="s">
        <v>439</v>
      </c>
      <c r="G10" s="12" t="s">
        <v>440</v>
      </c>
      <c r="H10" s="12" t="s">
        <v>437</v>
      </c>
      <c r="I10" s="12" t="s">
        <v>436</v>
      </c>
      <c r="J10" s="12" t="s">
        <v>441</v>
      </c>
      <c r="K10" s="12"/>
      <c r="L10" s="12"/>
      <c r="M10" s="12"/>
      <c r="N10" s="12" t="s">
        <v>16</v>
      </c>
      <c r="O10" s="13" t="s">
        <v>431</v>
      </c>
      <c r="P10" s="13" t="s">
        <v>21</v>
      </c>
      <c r="Q10" s="100" t="s">
        <v>120</v>
      </c>
      <c r="R10" s="100" t="s">
        <v>120</v>
      </c>
      <c r="S10" s="100" t="s">
        <v>120</v>
      </c>
      <c r="T10" s="100" t="s">
        <v>120</v>
      </c>
      <c r="U10" s="100" t="s">
        <v>120</v>
      </c>
      <c r="V10" s="100" t="s">
        <v>120</v>
      </c>
      <c r="W10" s="100" t="s">
        <v>120</v>
      </c>
      <c r="X10" s="100" t="s">
        <v>120</v>
      </c>
      <c r="Y10" s="100" t="s">
        <v>120</v>
      </c>
      <c r="Z10" s="100" t="s">
        <v>120</v>
      </c>
      <c r="AA10" s="100" t="s">
        <v>120</v>
      </c>
      <c r="AB10" s="100" t="s">
        <v>120</v>
      </c>
      <c r="AC10" s="100" t="s">
        <v>120</v>
      </c>
    </row>
    <row r="11" spans="1:29" ht="19.95" customHeight="1" x14ac:dyDescent="0.25">
      <c r="A11" s="88">
        <v>7241189689</v>
      </c>
      <c r="B11" s="12" t="s">
        <v>457</v>
      </c>
      <c r="C11" s="10" t="s">
        <v>455</v>
      </c>
      <c r="D11" s="12" t="s">
        <v>456</v>
      </c>
      <c r="E11" s="12" t="s">
        <v>450</v>
      </c>
      <c r="F11" s="12" t="s">
        <v>439</v>
      </c>
      <c r="G11" s="12" t="s">
        <v>440</v>
      </c>
      <c r="H11" s="12" t="s">
        <v>437</v>
      </c>
      <c r="I11" s="12" t="s">
        <v>436</v>
      </c>
      <c r="J11" s="12" t="s">
        <v>441</v>
      </c>
      <c r="K11" s="12"/>
      <c r="L11" s="12"/>
      <c r="M11" s="12"/>
      <c r="N11" s="12" t="s">
        <v>16</v>
      </c>
      <c r="O11" s="13" t="s">
        <v>432</v>
      </c>
      <c r="P11" s="13" t="s">
        <v>18</v>
      </c>
      <c r="Q11" s="100" t="s">
        <v>120</v>
      </c>
      <c r="R11" s="100" t="s">
        <v>120</v>
      </c>
      <c r="S11" s="100" t="s">
        <v>120</v>
      </c>
      <c r="T11" s="100" t="s">
        <v>120</v>
      </c>
      <c r="U11" s="100" t="s">
        <v>120</v>
      </c>
      <c r="V11" s="100" t="s">
        <v>120</v>
      </c>
      <c r="W11" s="100" t="s">
        <v>120</v>
      </c>
      <c r="X11" s="100" t="s">
        <v>120</v>
      </c>
      <c r="Y11" s="100" t="s">
        <v>120</v>
      </c>
      <c r="Z11" s="100" t="s">
        <v>120</v>
      </c>
      <c r="AA11" s="100" t="s">
        <v>120</v>
      </c>
      <c r="AB11" s="100" t="s">
        <v>120</v>
      </c>
      <c r="AC11" s="100" t="s">
        <v>120</v>
      </c>
    </row>
    <row r="12" spans="1:29" ht="19.95" customHeight="1" x14ac:dyDescent="0.25">
      <c r="A12" s="88">
        <v>7241189689</v>
      </c>
      <c r="B12" s="12" t="s">
        <v>457</v>
      </c>
      <c r="C12" s="10" t="s">
        <v>455</v>
      </c>
      <c r="D12" s="12" t="s">
        <v>456</v>
      </c>
      <c r="E12" s="12" t="s">
        <v>450</v>
      </c>
      <c r="F12" s="12" t="s">
        <v>439</v>
      </c>
      <c r="G12" s="12" t="s">
        <v>440</v>
      </c>
      <c r="H12" s="12" t="s">
        <v>437</v>
      </c>
      <c r="I12" s="12" t="s">
        <v>436</v>
      </c>
      <c r="J12" s="12" t="s">
        <v>441</v>
      </c>
      <c r="K12" s="12"/>
      <c r="L12" s="12"/>
      <c r="M12" s="12"/>
      <c r="N12" s="12" t="s">
        <v>16</v>
      </c>
      <c r="O12" s="13" t="s">
        <v>433</v>
      </c>
      <c r="P12" s="13" t="s">
        <v>21</v>
      </c>
      <c r="Q12" s="100" t="s">
        <v>120</v>
      </c>
      <c r="R12" s="100" t="s">
        <v>120</v>
      </c>
      <c r="S12" s="100" t="s">
        <v>120</v>
      </c>
      <c r="T12" s="100" t="s">
        <v>120</v>
      </c>
      <c r="U12" s="100" t="s">
        <v>120</v>
      </c>
      <c r="V12" s="100" t="s">
        <v>120</v>
      </c>
      <c r="W12" s="100" t="s">
        <v>120</v>
      </c>
      <c r="X12" s="100" t="s">
        <v>120</v>
      </c>
      <c r="Y12" s="100" t="s">
        <v>120</v>
      </c>
      <c r="Z12" s="100" t="s">
        <v>120</v>
      </c>
      <c r="AA12" s="100" t="s">
        <v>120</v>
      </c>
      <c r="AB12" s="100" t="s">
        <v>120</v>
      </c>
      <c r="AC12" s="100" t="s">
        <v>120</v>
      </c>
    </row>
  </sheetData>
  <hyperlinks>
    <hyperlink ref="C2" r:id="rId1" xr:uid="{115BF284-8546-4DAA-8AFC-64CBD0D4DC28}"/>
    <hyperlink ref="C3" r:id="rId2" xr:uid="{EF29D147-EA97-469C-B895-03B8A39AC0BD}"/>
    <hyperlink ref="C4" r:id="rId3" xr:uid="{8A9B123A-6C65-4325-AE8E-CA9DA40B4BB7}"/>
    <hyperlink ref="C5" r:id="rId4" xr:uid="{DF4D70D7-34FE-4188-91CD-1976252A1231}"/>
    <hyperlink ref="C6" r:id="rId5" xr:uid="{27B8DCBB-D2A5-411C-A0BC-F65CAF12C1C9}"/>
    <hyperlink ref="C7" r:id="rId6" xr:uid="{E7F2A7EC-6A40-4846-9BE0-4B59F675F915}"/>
    <hyperlink ref="C8" r:id="rId7" xr:uid="{BA22E8B7-58E2-415C-8C19-106AF8A0359E}"/>
    <hyperlink ref="C9" r:id="rId8" xr:uid="{88CD8DA4-A043-41A5-B229-D0BD0610F0BB}"/>
    <hyperlink ref="C10" r:id="rId9" xr:uid="{4737845A-8ACB-4832-938A-6B1FBB9D8BD5}"/>
    <hyperlink ref="C11" r:id="rId10" xr:uid="{368933F7-99EA-41CC-95C7-21744B8794A4}"/>
    <hyperlink ref="C12" r:id="rId11" xr:uid="{C4110A2C-97E3-4352-B8AC-AD19283BB993}"/>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80493-1D7C-4FF7-B572-415CEF7C17E1}">
  <dimension ref="A1:AC12"/>
  <sheetViews>
    <sheetView topLeftCell="E1" workbookViewId="0">
      <selection activeCell="O1" sqref="O1:AC1"/>
    </sheetView>
  </sheetViews>
  <sheetFormatPr defaultColWidth="9.77734375" defaultRowHeight="13.2" x14ac:dyDescent="0.25"/>
  <cols>
    <col min="1" max="1" width="12.44140625" customWidth="1"/>
    <col min="2" max="2" width="16.109375" bestFit="1" customWidth="1"/>
    <col min="3" max="3" width="23.21875" bestFit="1" customWidth="1"/>
    <col min="4" max="4" width="11.6640625" customWidth="1"/>
    <col min="5" max="5" width="21.6640625" bestFit="1" customWidth="1"/>
    <col min="7" max="7" width="17.5546875" bestFit="1" customWidth="1"/>
    <col min="9" max="9" width="18.109375" bestFit="1" customWidth="1"/>
    <col min="10" max="10" width="11.77734375" customWidth="1"/>
    <col min="11" max="11" width="13.6640625" customWidth="1"/>
    <col min="12" max="13" width="12.21875" customWidth="1"/>
    <col min="14" max="14" width="14.5546875" bestFit="1" customWidth="1"/>
    <col min="15" max="15" width="54.77734375" customWidth="1"/>
    <col min="16" max="16" width="14" bestFit="1" customWidth="1"/>
    <col min="17" max="17" width="12.109375" bestFit="1" customWidth="1"/>
    <col min="18" max="29" width="10.5546875" bestFit="1" customWidth="1"/>
  </cols>
  <sheetData>
    <row r="1" spans="1:29" ht="27.6" x14ac:dyDescent="0.25">
      <c r="A1" s="35" t="s">
        <v>123</v>
      </c>
      <c r="B1" s="58" t="s">
        <v>1</v>
      </c>
      <c r="C1" s="35" t="s">
        <v>2</v>
      </c>
      <c r="D1" s="58" t="s">
        <v>3</v>
      </c>
      <c r="E1" s="35" t="s">
        <v>4</v>
      </c>
      <c r="F1" s="35" t="s">
        <v>5</v>
      </c>
      <c r="G1" s="35" t="s">
        <v>6</v>
      </c>
      <c r="H1" s="35" t="s">
        <v>7</v>
      </c>
      <c r="I1" s="58" t="s">
        <v>8</v>
      </c>
      <c r="J1" s="35" t="s">
        <v>9</v>
      </c>
      <c r="K1" s="35" t="s">
        <v>10</v>
      </c>
      <c r="L1" s="35" t="s">
        <v>126</v>
      </c>
      <c r="M1" s="35" t="s">
        <v>127</v>
      </c>
      <c r="N1" s="35"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88">
        <v>8815074042</v>
      </c>
      <c r="B2" s="12" t="s">
        <v>458</v>
      </c>
      <c r="C2" s="10" t="s">
        <v>460</v>
      </c>
      <c r="D2" s="12" t="s">
        <v>459</v>
      </c>
      <c r="E2" s="12" t="s">
        <v>450</v>
      </c>
      <c r="F2" s="12" t="s">
        <v>439</v>
      </c>
      <c r="G2" s="12" t="s">
        <v>440</v>
      </c>
      <c r="H2" s="12" t="s">
        <v>437</v>
      </c>
      <c r="I2" s="12" t="s">
        <v>436</v>
      </c>
      <c r="J2" s="12" t="s">
        <v>441</v>
      </c>
      <c r="K2" s="12"/>
      <c r="L2" s="12"/>
      <c r="M2" s="12"/>
      <c r="N2" s="12" t="s">
        <v>16</v>
      </c>
      <c r="O2" s="13" t="s">
        <v>424</v>
      </c>
      <c r="P2" s="13" t="s">
        <v>20</v>
      </c>
      <c r="Q2" s="99">
        <v>15600000</v>
      </c>
      <c r="R2" s="99">
        <v>1000000</v>
      </c>
      <c r="S2" s="99">
        <v>1000000</v>
      </c>
      <c r="T2" s="99">
        <v>1000000</v>
      </c>
      <c r="U2" s="99">
        <v>1200000</v>
      </c>
      <c r="V2" s="99">
        <v>1200000</v>
      </c>
      <c r="W2" s="99">
        <v>1200000</v>
      </c>
      <c r="X2" s="99">
        <v>1500000</v>
      </c>
      <c r="Y2" s="99">
        <v>1500000</v>
      </c>
      <c r="Z2" s="99">
        <v>1500000</v>
      </c>
      <c r="AA2" s="99">
        <v>1500000</v>
      </c>
      <c r="AB2" s="99">
        <v>1500000</v>
      </c>
      <c r="AC2" s="99">
        <v>1500000</v>
      </c>
    </row>
    <row r="3" spans="1:29" ht="19.95" customHeight="1" x14ac:dyDescent="0.25">
      <c r="A3" s="88">
        <v>8815074042</v>
      </c>
      <c r="B3" s="12" t="s">
        <v>458</v>
      </c>
      <c r="C3" s="10" t="s">
        <v>460</v>
      </c>
      <c r="D3" s="12" t="s">
        <v>459</v>
      </c>
      <c r="E3" s="12" t="s">
        <v>450</v>
      </c>
      <c r="F3" s="12" t="s">
        <v>439</v>
      </c>
      <c r="G3" s="12" t="s">
        <v>440</v>
      </c>
      <c r="H3" s="12" t="s">
        <v>437</v>
      </c>
      <c r="I3" s="12" t="s">
        <v>436</v>
      </c>
      <c r="J3" s="12" t="s">
        <v>441</v>
      </c>
      <c r="K3" s="12"/>
      <c r="L3" s="12"/>
      <c r="M3" s="12"/>
      <c r="N3" s="12" t="s">
        <v>16</v>
      </c>
      <c r="O3" s="13" t="s">
        <v>425</v>
      </c>
      <c r="P3" s="13" t="s">
        <v>21</v>
      </c>
      <c r="Q3" s="100">
        <v>1</v>
      </c>
      <c r="R3" s="100">
        <v>1</v>
      </c>
      <c r="S3" s="100">
        <v>1</v>
      </c>
      <c r="T3" s="100">
        <v>1</v>
      </c>
      <c r="U3" s="100">
        <v>1</v>
      </c>
      <c r="V3" s="100">
        <v>1</v>
      </c>
      <c r="W3" s="100">
        <v>1</v>
      </c>
      <c r="X3" s="100">
        <v>1</v>
      </c>
      <c r="Y3" s="100">
        <v>1</v>
      </c>
      <c r="Z3" s="100">
        <v>1</v>
      </c>
      <c r="AA3" s="100">
        <v>1</v>
      </c>
      <c r="AB3" s="100">
        <v>1</v>
      </c>
      <c r="AC3" s="100">
        <v>1</v>
      </c>
    </row>
    <row r="4" spans="1:29" ht="19.95" customHeight="1" x14ac:dyDescent="0.25">
      <c r="A4" s="88">
        <v>8815074042</v>
      </c>
      <c r="B4" s="12" t="s">
        <v>458</v>
      </c>
      <c r="C4" s="10" t="s">
        <v>460</v>
      </c>
      <c r="D4" s="12" t="s">
        <v>459</v>
      </c>
      <c r="E4" s="12" t="s">
        <v>450</v>
      </c>
      <c r="F4" s="12" t="s">
        <v>439</v>
      </c>
      <c r="G4" s="12" t="s">
        <v>440</v>
      </c>
      <c r="H4" s="12" t="s">
        <v>437</v>
      </c>
      <c r="I4" s="12" t="s">
        <v>436</v>
      </c>
      <c r="J4" s="12" t="s">
        <v>441</v>
      </c>
      <c r="K4" s="12"/>
      <c r="L4" s="12"/>
      <c r="M4" s="12"/>
      <c r="N4" s="12" t="s">
        <v>16</v>
      </c>
      <c r="O4" s="13" t="s">
        <v>434</v>
      </c>
      <c r="P4" s="13" t="s">
        <v>21</v>
      </c>
      <c r="Q4" s="100" t="s">
        <v>120</v>
      </c>
      <c r="R4" s="100" t="s">
        <v>120</v>
      </c>
      <c r="S4" s="100" t="s">
        <v>120</v>
      </c>
      <c r="T4" s="100" t="s">
        <v>120</v>
      </c>
      <c r="U4" s="100" t="s">
        <v>120</v>
      </c>
      <c r="V4" s="100" t="s">
        <v>120</v>
      </c>
      <c r="W4" s="100" t="s">
        <v>120</v>
      </c>
      <c r="X4" s="100" t="s">
        <v>120</v>
      </c>
      <c r="Y4" s="100" t="s">
        <v>120</v>
      </c>
      <c r="Z4" s="100" t="s">
        <v>120</v>
      </c>
      <c r="AA4" s="100" t="s">
        <v>120</v>
      </c>
      <c r="AB4" s="100" t="s">
        <v>120</v>
      </c>
      <c r="AC4" s="100" t="s">
        <v>120</v>
      </c>
    </row>
    <row r="5" spans="1:29" ht="19.95" customHeight="1" x14ac:dyDescent="0.25">
      <c r="A5" s="88">
        <v>8815074042</v>
      </c>
      <c r="B5" s="12" t="s">
        <v>458</v>
      </c>
      <c r="C5" s="10" t="s">
        <v>460</v>
      </c>
      <c r="D5" s="12" t="s">
        <v>459</v>
      </c>
      <c r="E5" s="12" t="s">
        <v>450</v>
      </c>
      <c r="F5" s="12" t="s">
        <v>439</v>
      </c>
      <c r="G5" s="12" t="s">
        <v>440</v>
      </c>
      <c r="H5" s="12" t="s">
        <v>437</v>
      </c>
      <c r="I5" s="12" t="s">
        <v>436</v>
      </c>
      <c r="J5" s="12" t="s">
        <v>441</v>
      </c>
      <c r="K5" s="12"/>
      <c r="L5" s="12"/>
      <c r="M5" s="12"/>
      <c r="N5" s="12" t="s">
        <v>16</v>
      </c>
      <c r="O5" s="13" t="s">
        <v>426</v>
      </c>
      <c r="P5" s="13" t="s">
        <v>21</v>
      </c>
      <c r="Q5" s="100" t="s">
        <v>120</v>
      </c>
      <c r="R5" s="100" t="s">
        <v>120</v>
      </c>
      <c r="S5" s="100" t="s">
        <v>120</v>
      </c>
      <c r="T5" s="100" t="s">
        <v>120</v>
      </c>
      <c r="U5" s="100" t="s">
        <v>120</v>
      </c>
      <c r="V5" s="100" t="s">
        <v>120</v>
      </c>
      <c r="W5" s="100" t="s">
        <v>120</v>
      </c>
      <c r="X5" s="100" t="s">
        <v>120</v>
      </c>
      <c r="Y5" s="100" t="s">
        <v>120</v>
      </c>
      <c r="Z5" s="100" t="s">
        <v>120</v>
      </c>
      <c r="AA5" s="100" t="s">
        <v>120</v>
      </c>
      <c r="AB5" s="100" t="s">
        <v>120</v>
      </c>
      <c r="AC5" s="100" t="s">
        <v>120</v>
      </c>
    </row>
    <row r="6" spans="1:29" ht="19.95" customHeight="1" x14ac:dyDescent="0.25">
      <c r="A6" s="88">
        <v>8815074042</v>
      </c>
      <c r="B6" s="12" t="s">
        <v>458</v>
      </c>
      <c r="C6" s="10" t="s">
        <v>460</v>
      </c>
      <c r="D6" s="12" t="s">
        <v>459</v>
      </c>
      <c r="E6" s="12" t="s">
        <v>450</v>
      </c>
      <c r="F6" s="12" t="s">
        <v>439</v>
      </c>
      <c r="G6" s="12" t="s">
        <v>440</v>
      </c>
      <c r="H6" s="12" t="s">
        <v>437</v>
      </c>
      <c r="I6" s="12" t="s">
        <v>436</v>
      </c>
      <c r="J6" s="12" t="s">
        <v>441</v>
      </c>
      <c r="K6" s="12"/>
      <c r="L6" s="12"/>
      <c r="M6" s="12"/>
      <c r="N6" s="12" t="s">
        <v>16</v>
      </c>
      <c r="O6" s="13" t="s">
        <v>427</v>
      </c>
      <c r="P6" s="13" t="s">
        <v>21</v>
      </c>
      <c r="Q6" s="100" t="s">
        <v>120</v>
      </c>
      <c r="R6" s="100" t="s">
        <v>120</v>
      </c>
      <c r="S6" s="100" t="s">
        <v>120</v>
      </c>
      <c r="T6" s="100" t="s">
        <v>120</v>
      </c>
      <c r="U6" s="100" t="s">
        <v>120</v>
      </c>
      <c r="V6" s="100" t="s">
        <v>120</v>
      </c>
      <c r="W6" s="100" t="s">
        <v>120</v>
      </c>
      <c r="X6" s="100" t="s">
        <v>120</v>
      </c>
      <c r="Y6" s="100" t="s">
        <v>120</v>
      </c>
      <c r="Z6" s="100" t="s">
        <v>120</v>
      </c>
      <c r="AA6" s="100" t="s">
        <v>120</v>
      </c>
      <c r="AB6" s="100" t="s">
        <v>120</v>
      </c>
      <c r="AC6" s="100" t="s">
        <v>120</v>
      </c>
    </row>
    <row r="7" spans="1:29" ht="19.95" customHeight="1" x14ac:dyDescent="0.25">
      <c r="A7" s="88">
        <v>8815074042</v>
      </c>
      <c r="B7" s="12" t="s">
        <v>458</v>
      </c>
      <c r="C7" s="10" t="s">
        <v>460</v>
      </c>
      <c r="D7" s="12" t="s">
        <v>459</v>
      </c>
      <c r="E7" s="12" t="s">
        <v>450</v>
      </c>
      <c r="F7" s="12" t="s">
        <v>439</v>
      </c>
      <c r="G7" s="12" t="s">
        <v>440</v>
      </c>
      <c r="H7" s="12" t="s">
        <v>437</v>
      </c>
      <c r="I7" s="12" t="s">
        <v>436</v>
      </c>
      <c r="J7" s="12" t="s">
        <v>441</v>
      </c>
      <c r="K7" s="12"/>
      <c r="L7" s="12"/>
      <c r="M7" s="12"/>
      <c r="N7" s="12" t="s">
        <v>16</v>
      </c>
      <c r="O7" s="13" t="s">
        <v>428</v>
      </c>
      <c r="P7" s="13" t="s">
        <v>21</v>
      </c>
      <c r="Q7" s="100" t="s">
        <v>120</v>
      </c>
      <c r="R7" s="100" t="s">
        <v>120</v>
      </c>
      <c r="S7" s="100" t="s">
        <v>120</v>
      </c>
      <c r="T7" s="100" t="s">
        <v>120</v>
      </c>
      <c r="U7" s="100" t="s">
        <v>120</v>
      </c>
      <c r="V7" s="100" t="s">
        <v>120</v>
      </c>
      <c r="W7" s="100" t="s">
        <v>120</v>
      </c>
      <c r="X7" s="100" t="s">
        <v>120</v>
      </c>
      <c r="Y7" s="100" t="s">
        <v>120</v>
      </c>
      <c r="Z7" s="100" t="s">
        <v>120</v>
      </c>
      <c r="AA7" s="100" t="s">
        <v>120</v>
      </c>
      <c r="AB7" s="100" t="s">
        <v>120</v>
      </c>
      <c r="AC7" s="100" t="s">
        <v>120</v>
      </c>
    </row>
    <row r="8" spans="1:29" ht="19.95" customHeight="1" x14ac:dyDescent="0.25">
      <c r="A8" s="88">
        <v>8815074042</v>
      </c>
      <c r="B8" s="12" t="s">
        <v>458</v>
      </c>
      <c r="C8" s="10" t="s">
        <v>460</v>
      </c>
      <c r="D8" s="12" t="s">
        <v>459</v>
      </c>
      <c r="E8" s="12" t="s">
        <v>450</v>
      </c>
      <c r="F8" s="12" t="s">
        <v>439</v>
      </c>
      <c r="G8" s="12" t="s">
        <v>440</v>
      </c>
      <c r="H8" s="12" t="s">
        <v>437</v>
      </c>
      <c r="I8" s="12" t="s">
        <v>436</v>
      </c>
      <c r="J8" s="12" t="s">
        <v>441</v>
      </c>
      <c r="K8" s="12"/>
      <c r="L8" s="12"/>
      <c r="M8" s="12"/>
      <c r="N8" s="12" t="s">
        <v>16</v>
      </c>
      <c r="O8" s="13" t="s">
        <v>429</v>
      </c>
      <c r="P8" s="13" t="s">
        <v>21</v>
      </c>
      <c r="Q8" s="100" t="s">
        <v>120</v>
      </c>
      <c r="R8" s="100" t="s">
        <v>120</v>
      </c>
      <c r="S8" s="100" t="s">
        <v>120</v>
      </c>
      <c r="T8" s="100" t="s">
        <v>120</v>
      </c>
      <c r="U8" s="100" t="s">
        <v>120</v>
      </c>
      <c r="V8" s="100" t="s">
        <v>120</v>
      </c>
      <c r="W8" s="100" t="s">
        <v>120</v>
      </c>
      <c r="X8" s="100" t="s">
        <v>120</v>
      </c>
      <c r="Y8" s="100" t="s">
        <v>120</v>
      </c>
      <c r="Z8" s="100" t="s">
        <v>120</v>
      </c>
      <c r="AA8" s="100" t="s">
        <v>120</v>
      </c>
      <c r="AB8" s="100" t="s">
        <v>120</v>
      </c>
      <c r="AC8" s="100" t="s">
        <v>120</v>
      </c>
    </row>
    <row r="9" spans="1:29" ht="19.95" customHeight="1" x14ac:dyDescent="0.25">
      <c r="A9" s="88">
        <v>8815074042</v>
      </c>
      <c r="B9" s="12" t="s">
        <v>458</v>
      </c>
      <c r="C9" s="10" t="s">
        <v>460</v>
      </c>
      <c r="D9" s="12" t="s">
        <v>459</v>
      </c>
      <c r="E9" s="12" t="s">
        <v>450</v>
      </c>
      <c r="F9" s="12" t="s">
        <v>439</v>
      </c>
      <c r="G9" s="12" t="s">
        <v>440</v>
      </c>
      <c r="H9" s="12" t="s">
        <v>437</v>
      </c>
      <c r="I9" s="12" t="s">
        <v>436</v>
      </c>
      <c r="J9" s="12" t="s">
        <v>441</v>
      </c>
      <c r="K9" s="12"/>
      <c r="L9" s="12"/>
      <c r="M9" s="12"/>
      <c r="N9" s="12" t="s">
        <v>16</v>
      </c>
      <c r="O9" s="13" t="s">
        <v>430</v>
      </c>
      <c r="P9" s="13" t="s">
        <v>21</v>
      </c>
      <c r="Q9" s="100" t="s">
        <v>120</v>
      </c>
      <c r="R9" s="100" t="s">
        <v>120</v>
      </c>
      <c r="S9" s="100" t="s">
        <v>120</v>
      </c>
      <c r="T9" s="100" t="s">
        <v>120</v>
      </c>
      <c r="U9" s="100" t="s">
        <v>120</v>
      </c>
      <c r="V9" s="100" t="s">
        <v>120</v>
      </c>
      <c r="W9" s="100" t="s">
        <v>120</v>
      </c>
      <c r="X9" s="100" t="s">
        <v>120</v>
      </c>
      <c r="Y9" s="100" t="s">
        <v>120</v>
      </c>
      <c r="Z9" s="100" t="s">
        <v>120</v>
      </c>
      <c r="AA9" s="100" t="s">
        <v>120</v>
      </c>
      <c r="AB9" s="100" t="s">
        <v>120</v>
      </c>
      <c r="AC9" s="100" t="s">
        <v>120</v>
      </c>
    </row>
    <row r="10" spans="1:29" ht="19.95" customHeight="1" x14ac:dyDescent="0.25">
      <c r="A10" s="88">
        <v>8815074042</v>
      </c>
      <c r="B10" s="12" t="s">
        <v>458</v>
      </c>
      <c r="C10" s="10" t="s">
        <v>460</v>
      </c>
      <c r="D10" s="12" t="s">
        <v>459</v>
      </c>
      <c r="E10" s="12" t="s">
        <v>450</v>
      </c>
      <c r="F10" s="12" t="s">
        <v>439</v>
      </c>
      <c r="G10" s="12" t="s">
        <v>440</v>
      </c>
      <c r="H10" s="12" t="s">
        <v>437</v>
      </c>
      <c r="I10" s="12" t="s">
        <v>436</v>
      </c>
      <c r="J10" s="12" t="s">
        <v>441</v>
      </c>
      <c r="K10" s="12"/>
      <c r="L10" s="12"/>
      <c r="M10" s="12"/>
      <c r="N10" s="12" t="s">
        <v>16</v>
      </c>
      <c r="O10" s="13" t="s">
        <v>431</v>
      </c>
      <c r="P10" s="13" t="s">
        <v>21</v>
      </c>
      <c r="Q10" s="100" t="s">
        <v>120</v>
      </c>
      <c r="R10" s="100" t="s">
        <v>120</v>
      </c>
      <c r="S10" s="100" t="s">
        <v>120</v>
      </c>
      <c r="T10" s="100" t="s">
        <v>120</v>
      </c>
      <c r="U10" s="100" t="s">
        <v>120</v>
      </c>
      <c r="V10" s="100" t="s">
        <v>120</v>
      </c>
      <c r="W10" s="100" t="s">
        <v>120</v>
      </c>
      <c r="X10" s="100" t="s">
        <v>120</v>
      </c>
      <c r="Y10" s="100" t="s">
        <v>120</v>
      </c>
      <c r="Z10" s="100" t="s">
        <v>120</v>
      </c>
      <c r="AA10" s="100" t="s">
        <v>120</v>
      </c>
      <c r="AB10" s="100" t="s">
        <v>120</v>
      </c>
      <c r="AC10" s="100" t="s">
        <v>120</v>
      </c>
    </row>
    <row r="11" spans="1:29" ht="19.95" customHeight="1" x14ac:dyDescent="0.25">
      <c r="A11" s="88">
        <v>8815074042</v>
      </c>
      <c r="B11" s="12" t="s">
        <v>458</v>
      </c>
      <c r="C11" s="10" t="s">
        <v>460</v>
      </c>
      <c r="D11" s="12" t="s">
        <v>459</v>
      </c>
      <c r="E11" s="12" t="s">
        <v>450</v>
      </c>
      <c r="F11" s="12" t="s">
        <v>439</v>
      </c>
      <c r="G11" s="12" t="s">
        <v>440</v>
      </c>
      <c r="H11" s="12" t="s">
        <v>437</v>
      </c>
      <c r="I11" s="12" t="s">
        <v>436</v>
      </c>
      <c r="J11" s="12" t="s">
        <v>441</v>
      </c>
      <c r="K11" s="12"/>
      <c r="L11" s="12"/>
      <c r="M11" s="12"/>
      <c r="N11" s="12" t="s">
        <v>16</v>
      </c>
      <c r="O11" s="13" t="s">
        <v>432</v>
      </c>
      <c r="P11" s="13" t="s">
        <v>18</v>
      </c>
      <c r="Q11" s="100" t="s">
        <v>120</v>
      </c>
      <c r="R11" s="100" t="s">
        <v>120</v>
      </c>
      <c r="S11" s="100" t="s">
        <v>120</v>
      </c>
      <c r="T11" s="100" t="s">
        <v>120</v>
      </c>
      <c r="U11" s="100" t="s">
        <v>120</v>
      </c>
      <c r="V11" s="100" t="s">
        <v>120</v>
      </c>
      <c r="W11" s="100" t="s">
        <v>120</v>
      </c>
      <c r="X11" s="100" t="s">
        <v>120</v>
      </c>
      <c r="Y11" s="100" t="s">
        <v>120</v>
      </c>
      <c r="Z11" s="100" t="s">
        <v>120</v>
      </c>
      <c r="AA11" s="100" t="s">
        <v>120</v>
      </c>
      <c r="AB11" s="100" t="s">
        <v>120</v>
      </c>
      <c r="AC11" s="100" t="s">
        <v>120</v>
      </c>
    </row>
    <row r="12" spans="1:29" ht="19.95" customHeight="1" x14ac:dyDescent="0.25">
      <c r="A12" s="88">
        <v>8815074042</v>
      </c>
      <c r="B12" s="12" t="s">
        <v>458</v>
      </c>
      <c r="C12" s="10" t="s">
        <v>460</v>
      </c>
      <c r="D12" s="12" t="s">
        <v>459</v>
      </c>
      <c r="E12" s="12" t="s">
        <v>450</v>
      </c>
      <c r="F12" s="12" t="s">
        <v>439</v>
      </c>
      <c r="G12" s="12" t="s">
        <v>440</v>
      </c>
      <c r="H12" s="12" t="s">
        <v>437</v>
      </c>
      <c r="I12" s="12" t="s">
        <v>436</v>
      </c>
      <c r="J12" s="12" t="s">
        <v>441</v>
      </c>
      <c r="K12" s="12"/>
      <c r="L12" s="12"/>
      <c r="M12" s="12"/>
      <c r="N12" s="12" t="s">
        <v>16</v>
      </c>
      <c r="O12" s="13" t="s">
        <v>433</v>
      </c>
      <c r="P12" s="13" t="s">
        <v>21</v>
      </c>
      <c r="Q12" s="100" t="s">
        <v>120</v>
      </c>
      <c r="R12" s="100" t="s">
        <v>120</v>
      </c>
      <c r="S12" s="100" t="s">
        <v>120</v>
      </c>
      <c r="T12" s="100" t="s">
        <v>120</v>
      </c>
      <c r="U12" s="100" t="s">
        <v>120</v>
      </c>
      <c r="V12" s="100" t="s">
        <v>120</v>
      </c>
      <c r="W12" s="100" t="s">
        <v>120</v>
      </c>
      <c r="X12" s="100" t="s">
        <v>120</v>
      </c>
      <c r="Y12" s="100" t="s">
        <v>120</v>
      </c>
      <c r="Z12" s="100" t="s">
        <v>120</v>
      </c>
      <c r="AA12" s="100" t="s">
        <v>120</v>
      </c>
      <c r="AB12" s="100" t="s">
        <v>120</v>
      </c>
      <c r="AC12" s="100" t="s">
        <v>120</v>
      </c>
    </row>
  </sheetData>
  <hyperlinks>
    <hyperlink ref="C2" r:id="rId1" xr:uid="{7955D1D4-AAA9-4C0A-BDA1-C12155F344C0}"/>
    <hyperlink ref="C3" r:id="rId2" xr:uid="{1586D2C3-FE13-42AF-9895-9CE3ADC65391}"/>
    <hyperlink ref="C4" r:id="rId3" xr:uid="{B23125EE-BE8F-4847-994A-FB2499F38834}"/>
    <hyperlink ref="C5" r:id="rId4" xr:uid="{42D9BFEA-5C61-4FF2-B209-3843A6554E94}"/>
    <hyperlink ref="C6" r:id="rId5" xr:uid="{6DA8A5CD-F8F1-4DAC-AA6E-770E9886443A}"/>
    <hyperlink ref="C7" r:id="rId6" xr:uid="{B2D9549F-0056-4587-98E3-E5C320E02712}"/>
    <hyperlink ref="C8" r:id="rId7" xr:uid="{4038C4CF-9348-4157-B2C6-3F30CDA51EB6}"/>
    <hyperlink ref="C9" r:id="rId8" xr:uid="{170BA000-71E3-4FB9-8A84-649FAA63B26A}"/>
    <hyperlink ref="C10" r:id="rId9" xr:uid="{B588E3C3-6328-46B8-825E-EB47CF2CB003}"/>
    <hyperlink ref="C11" r:id="rId10" xr:uid="{764A7062-9166-4FF0-971A-CE1434840671}"/>
    <hyperlink ref="C12" r:id="rId11" xr:uid="{B60C0A08-07BB-4F7E-BC33-74D879C1941E}"/>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11E9-EED3-4EF5-B1ED-503599F0465A}">
  <dimension ref="A1:AC12"/>
  <sheetViews>
    <sheetView topLeftCell="P1" workbookViewId="0">
      <selection activeCell="W16" sqref="W16"/>
    </sheetView>
  </sheetViews>
  <sheetFormatPr defaultColWidth="9.6640625" defaultRowHeight="15.6" x14ac:dyDescent="0.25"/>
  <cols>
    <col min="1" max="1" width="12.109375" style="7" bestFit="1" customWidth="1"/>
    <col min="2" max="2" width="16.44140625" style="7" bestFit="1" customWidth="1"/>
    <col min="3" max="3" width="20.109375" style="7" bestFit="1" customWidth="1"/>
    <col min="4" max="4" width="9.109375" style="7" bestFit="1" customWidth="1"/>
    <col min="5" max="5" width="19.88671875" style="7" bestFit="1" customWidth="1"/>
    <col min="6" max="6" width="9" style="7" bestFit="1" customWidth="1"/>
    <col min="7" max="7" width="17.5546875" style="7" bestFit="1" customWidth="1"/>
    <col min="8" max="8" width="8.88671875" style="7" bestFit="1" customWidth="1"/>
    <col min="9" max="9" width="14.5546875" style="7" bestFit="1" customWidth="1"/>
    <col min="10" max="13" width="11.44140625" style="7" bestFit="1" customWidth="1"/>
    <col min="14" max="14" width="14.5546875" style="7" bestFit="1" customWidth="1"/>
    <col min="15" max="15" width="72.33203125" style="7" customWidth="1"/>
    <col min="16" max="16" width="11.109375" style="7" customWidth="1"/>
    <col min="17" max="17" width="13" style="7" customWidth="1"/>
    <col min="18" max="20" width="10" style="7" customWidth="1"/>
    <col min="21" max="23" width="10.5546875" style="8" bestFit="1" customWidth="1"/>
    <col min="24" max="28" width="10.5546875" style="7" bestFit="1" customWidth="1"/>
    <col min="29" max="29" width="10.6640625" style="7" bestFit="1" customWidth="1"/>
    <col min="30" max="16384" width="9.6640625" style="7"/>
  </cols>
  <sheetData>
    <row r="1" spans="1:29" s="102" customFormat="1" ht="27.6" x14ac:dyDescent="0.25">
      <c r="A1" s="35" t="s">
        <v>123</v>
      </c>
      <c r="B1" s="58" t="s">
        <v>1</v>
      </c>
      <c r="C1" s="35" t="s">
        <v>2</v>
      </c>
      <c r="D1" s="58" t="s">
        <v>3</v>
      </c>
      <c r="E1" s="35" t="s">
        <v>4</v>
      </c>
      <c r="F1" s="35" t="s">
        <v>5</v>
      </c>
      <c r="G1" s="35" t="s">
        <v>6</v>
      </c>
      <c r="H1" s="35" t="s">
        <v>7</v>
      </c>
      <c r="I1" s="58" t="s">
        <v>8</v>
      </c>
      <c r="J1" s="35" t="s">
        <v>9</v>
      </c>
      <c r="K1" s="35" t="s">
        <v>10</v>
      </c>
      <c r="L1" s="35" t="s">
        <v>126</v>
      </c>
      <c r="M1" s="35" t="s">
        <v>127</v>
      </c>
      <c r="N1" s="35"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36" t="s">
        <v>445</v>
      </c>
      <c r="B2" s="12" t="s">
        <v>122</v>
      </c>
      <c r="C2" s="10" t="s">
        <v>446</v>
      </c>
      <c r="D2" s="12" t="s">
        <v>447</v>
      </c>
      <c r="E2" s="12" t="s">
        <v>448</v>
      </c>
      <c r="F2" s="12" t="s">
        <v>449</v>
      </c>
      <c r="G2" s="12" t="s">
        <v>440</v>
      </c>
      <c r="H2" s="12" t="s">
        <v>441</v>
      </c>
      <c r="I2" s="12" t="s">
        <v>118</v>
      </c>
      <c r="J2" s="12"/>
      <c r="K2" s="12"/>
      <c r="L2" s="12"/>
      <c r="M2" s="12"/>
      <c r="N2" s="12" t="s">
        <v>16</v>
      </c>
      <c r="O2" s="13" t="s">
        <v>424</v>
      </c>
      <c r="P2" s="13" t="s">
        <v>20</v>
      </c>
      <c r="Q2" s="99">
        <v>20500000</v>
      </c>
      <c r="R2" s="99" t="s">
        <v>120</v>
      </c>
      <c r="S2" s="99" t="s">
        <v>120</v>
      </c>
      <c r="T2" s="99" t="s">
        <v>120</v>
      </c>
      <c r="U2" s="99">
        <v>1500000</v>
      </c>
      <c r="V2" s="99">
        <v>1500000</v>
      </c>
      <c r="W2" s="99">
        <v>1500000</v>
      </c>
      <c r="X2" s="99">
        <v>2000000</v>
      </c>
      <c r="Y2" s="99">
        <v>2500000</v>
      </c>
      <c r="Z2" s="99">
        <v>2500000</v>
      </c>
      <c r="AA2" s="99">
        <v>3000000</v>
      </c>
      <c r="AB2" s="99">
        <v>3000000</v>
      </c>
      <c r="AC2" s="99">
        <v>3000000</v>
      </c>
    </row>
    <row r="3" spans="1:29" ht="19.95" customHeight="1" x14ac:dyDescent="0.25">
      <c r="A3" s="36" t="s">
        <v>445</v>
      </c>
      <c r="B3" s="12" t="s">
        <v>122</v>
      </c>
      <c r="C3" s="10" t="s">
        <v>446</v>
      </c>
      <c r="D3" s="12" t="s">
        <v>447</v>
      </c>
      <c r="E3" s="12" t="s">
        <v>448</v>
      </c>
      <c r="F3" s="12" t="s">
        <v>449</v>
      </c>
      <c r="G3" s="12" t="s">
        <v>440</v>
      </c>
      <c r="H3" s="12" t="s">
        <v>441</v>
      </c>
      <c r="I3" s="12" t="s">
        <v>118</v>
      </c>
      <c r="J3" s="12"/>
      <c r="K3" s="12"/>
      <c r="L3" s="12"/>
      <c r="M3" s="12"/>
      <c r="N3" s="12" t="s">
        <v>16</v>
      </c>
      <c r="O3" s="13" t="s">
        <v>425</v>
      </c>
      <c r="P3" s="13" t="s">
        <v>21</v>
      </c>
      <c r="Q3" s="100">
        <v>1</v>
      </c>
      <c r="R3" s="99" t="s">
        <v>120</v>
      </c>
      <c r="S3" s="99" t="s">
        <v>120</v>
      </c>
      <c r="T3" s="99" t="s">
        <v>120</v>
      </c>
      <c r="U3" s="100">
        <v>1</v>
      </c>
      <c r="V3" s="100">
        <v>1</v>
      </c>
      <c r="W3" s="100">
        <v>1</v>
      </c>
      <c r="X3" s="100">
        <v>1</v>
      </c>
      <c r="Y3" s="100">
        <v>1</v>
      </c>
      <c r="Z3" s="100">
        <v>1</v>
      </c>
      <c r="AA3" s="100">
        <v>1</v>
      </c>
      <c r="AB3" s="100">
        <v>1</v>
      </c>
      <c r="AC3" s="100">
        <v>1</v>
      </c>
    </row>
    <row r="4" spans="1:29" ht="19.95" customHeight="1" x14ac:dyDescent="0.25">
      <c r="A4" s="36" t="s">
        <v>445</v>
      </c>
      <c r="B4" s="12" t="s">
        <v>122</v>
      </c>
      <c r="C4" s="10" t="s">
        <v>446</v>
      </c>
      <c r="D4" s="12" t="s">
        <v>447</v>
      </c>
      <c r="E4" s="12" t="s">
        <v>448</v>
      </c>
      <c r="F4" s="12" t="s">
        <v>449</v>
      </c>
      <c r="G4" s="12" t="s">
        <v>440</v>
      </c>
      <c r="H4" s="12" t="s">
        <v>441</v>
      </c>
      <c r="I4" s="12" t="s">
        <v>118</v>
      </c>
      <c r="J4" s="12"/>
      <c r="K4" s="12"/>
      <c r="L4" s="12"/>
      <c r="M4" s="12"/>
      <c r="N4" s="12" t="s">
        <v>16</v>
      </c>
      <c r="O4" s="13" t="s">
        <v>434</v>
      </c>
      <c r="P4" s="13" t="s">
        <v>21</v>
      </c>
      <c r="Q4" s="100">
        <v>1</v>
      </c>
      <c r="R4" s="99" t="s">
        <v>120</v>
      </c>
      <c r="S4" s="99" t="s">
        <v>120</v>
      </c>
      <c r="T4" s="99" t="s">
        <v>120</v>
      </c>
      <c r="U4" s="100">
        <v>1</v>
      </c>
      <c r="V4" s="100">
        <v>1</v>
      </c>
      <c r="W4" s="100">
        <v>1</v>
      </c>
      <c r="X4" s="100">
        <v>1</v>
      </c>
      <c r="Y4" s="100">
        <v>1</v>
      </c>
      <c r="Z4" s="100">
        <v>1</v>
      </c>
      <c r="AA4" s="100">
        <v>1</v>
      </c>
      <c r="AB4" s="100">
        <v>1</v>
      </c>
      <c r="AC4" s="100">
        <v>1</v>
      </c>
    </row>
    <row r="5" spans="1:29" ht="19.95" customHeight="1" x14ac:dyDescent="0.25">
      <c r="A5" s="36" t="s">
        <v>445</v>
      </c>
      <c r="B5" s="12" t="s">
        <v>122</v>
      </c>
      <c r="C5" s="10" t="s">
        <v>446</v>
      </c>
      <c r="D5" s="12" t="s">
        <v>447</v>
      </c>
      <c r="E5" s="12" t="s">
        <v>448</v>
      </c>
      <c r="F5" s="12" t="s">
        <v>449</v>
      </c>
      <c r="G5" s="12" t="s">
        <v>440</v>
      </c>
      <c r="H5" s="12" t="s">
        <v>441</v>
      </c>
      <c r="I5" s="12" t="s">
        <v>118</v>
      </c>
      <c r="J5" s="12"/>
      <c r="K5" s="12"/>
      <c r="L5" s="12"/>
      <c r="M5" s="12"/>
      <c r="N5" s="12" t="s">
        <v>16</v>
      </c>
      <c r="O5" s="13" t="s">
        <v>426</v>
      </c>
      <c r="P5" s="13" t="s">
        <v>21</v>
      </c>
      <c r="Q5" s="100">
        <v>1</v>
      </c>
      <c r="R5" s="99" t="s">
        <v>120</v>
      </c>
      <c r="S5" s="99" t="s">
        <v>120</v>
      </c>
      <c r="T5" s="99" t="s">
        <v>120</v>
      </c>
      <c r="U5" s="100">
        <v>1</v>
      </c>
      <c r="V5" s="100">
        <v>1</v>
      </c>
      <c r="W5" s="100">
        <v>1</v>
      </c>
      <c r="X5" s="100">
        <v>1</v>
      </c>
      <c r="Y5" s="100">
        <v>1</v>
      </c>
      <c r="Z5" s="100">
        <v>1</v>
      </c>
      <c r="AA5" s="100">
        <v>1</v>
      </c>
      <c r="AB5" s="100">
        <v>1</v>
      </c>
      <c r="AC5" s="100">
        <v>1</v>
      </c>
    </row>
    <row r="6" spans="1:29" ht="19.95" customHeight="1" x14ac:dyDescent="0.25">
      <c r="A6" s="36" t="s">
        <v>445</v>
      </c>
      <c r="B6" s="12" t="s">
        <v>122</v>
      </c>
      <c r="C6" s="10" t="s">
        <v>446</v>
      </c>
      <c r="D6" s="12" t="s">
        <v>447</v>
      </c>
      <c r="E6" s="12" t="s">
        <v>448</v>
      </c>
      <c r="F6" s="12" t="s">
        <v>449</v>
      </c>
      <c r="G6" s="12" t="s">
        <v>440</v>
      </c>
      <c r="H6" s="12" t="s">
        <v>441</v>
      </c>
      <c r="I6" s="12" t="s">
        <v>118</v>
      </c>
      <c r="J6" s="12"/>
      <c r="K6" s="12"/>
      <c r="L6" s="12"/>
      <c r="M6" s="12"/>
      <c r="N6" s="12" t="s">
        <v>16</v>
      </c>
      <c r="O6" s="13" t="s">
        <v>427</v>
      </c>
      <c r="P6" s="13" t="s">
        <v>21</v>
      </c>
      <c r="Q6" s="100">
        <v>1</v>
      </c>
      <c r="R6" s="99" t="s">
        <v>120</v>
      </c>
      <c r="S6" s="99" t="s">
        <v>120</v>
      </c>
      <c r="T6" s="99" t="s">
        <v>120</v>
      </c>
      <c r="U6" s="100">
        <v>1</v>
      </c>
      <c r="V6" s="100">
        <v>1</v>
      </c>
      <c r="W6" s="100">
        <v>1</v>
      </c>
      <c r="X6" s="100">
        <v>1</v>
      </c>
      <c r="Y6" s="100">
        <v>1</v>
      </c>
      <c r="Z6" s="100">
        <v>1</v>
      </c>
      <c r="AA6" s="100">
        <v>1</v>
      </c>
      <c r="AB6" s="100">
        <v>1</v>
      </c>
      <c r="AC6" s="100">
        <v>1</v>
      </c>
    </row>
    <row r="7" spans="1:29" ht="19.95" customHeight="1" x14ac:dyDescent="0.25">
      <c r="A7" s="36" t="s">
        <v>445</v>
      </c>
      <c r="B7" s="12" t="s">
        <v>122</v>
      </c>
      <c r="C7" s="10" t="s">
        <v>446</v>
      </c>
      <c r="D7" s="12" t="s">
        <v>447</v>
      </c>
      <c r="E7" s="12" t="s">
        <v>448</v>
      </c>
      <c r="F7" s="12" t="s">
        <v>449</v>
      </c>
      <c r="G7" s="12" t="s">
        <v>440</v>
      </c>
      <c r="H7" s="12" t="s">
        <v>441</v>
      </c>
      <c r="I7" s="12" t="s">
        <v>118</v>
      </c>
      <c r="J7" s="12"/>
      <c r="K7" s="12"/>
      <c r="L7" s="12"/>
      <c r="M7" s="12"/>
      <c r="N7" s="12" t="s">
        <v>16</v>
      </c>
      <c r="O7" s="13" t="s">
        <v>428</v>
      </c>
      <c r="P7" s="13" t="s">
        <v>21</v>
      </c>
      <c r="Q7" s="100">
        <v>1</v>
      </c>
      <c r="R7" s="99" t="s">
        <v>120</v>
      </c>
      <c r="S7" s="99" t="s">
        <v>120</v>
      </c>
      <c r="T7" s="99" t="s">
        <v>120</v>
      </c>
      <c r="U7" s="100">
        <v>1</v>
      </c>
      <c r="V7" s="100">
        <v>1</v>
      </c>
      <c r="W7" s="100">
        <v>1</v>
      </c>
      <c r="X7" s="100">
        <v>1</v>
      </c>
      <c r="Y7" s="100">
        <v>1</v>
      </c>
      <c r="Z7" s="100">
        <v>1</v>
      </c>
      <c r="AA7" s="100">
        <v>1</v>
      </c>
      <c r="AB7" s="100">
        <v>1</v>
      </c>
      <c r="AC7" s="100">
        <v>1</v>
      </c>
    </row>
    <row r="8" spans="1:29" ht="19.95" customHeight="1" x14ac:dyDescent="0.25">
      <c r="A8" s="36" t="s">
        <v>445</v>
      </c>
      <c r="B8" s="12" t="s">
        <v>122</v>
      </c>
      <c r="C8" s="10" t="s">
        <v>446</v>
      </c>
      <c r="D8" s="12" t="s">
        <v>447</v>
      </c>
      <c r="E8" s="12" t="s">
        <v>448</v>
      </c>
      <c r="F8" s="12" t="s">
        <v>449</v>
      </c>
      <c r="G8" s="12" t="s">
        <v>440</v>
      </c>
      <c r="H8" s="12" t="s">
        <v>441</v>
      </c>
      <c r="I8" s="12" t="s">
        <v>118</v>
      </c>
      <c r="J8" s="12"/>
      <c r="K8" s="12"/>
      <c r="L8" s="12"/>
      <c r="M8" s="12"/>
      <c r="N8" s="12" t="s">
        <v>16</v>
      </c>
      <c r="O8" s="13" t="s">
        <v>429</v>
      </c>
      <c r="P8" s="13" t="s">
        <v>21</v>
      </c>
      <c r="Q8" s="100">
        <v>1</v>
      </c>
      <c r="R8" s="99" t="s">
        <v>120</v>
      </c>
      <c r="S8" s="99" t="s">
        <v>120</v>
      </c>
      <c r="T8" s="99" t="s">
        <v>120</v>
      </c>
      <c r="U8" s="100">
        <v>1</v>
      </c>
      <c r="V8" s="100">
        <v>1</v>
      </c>
      <c r="W8" s="100">
        <v>1</v>
      </c>
      <c r="X8" s="100">
        <v>1</v>
      </c>
      <c r="Y8" s="100">
        <v>1</v>
      </c>
      <c r="Z8" s="100">
        <v>1</v>
      </c>
      <c r="AA8" s="100">
        <v>1</v>
      </c>
      <c r="AB8" s="100">
        <v>1</v>
      </c>
      <c r="AC8" s="100">
        <v>1</v>
      </c>
    </row>
    <row r="9" spans="1:29" ht="19.95" customHeight="1" x14ac:dyDescent="0.25">
      <c r="A9" s="36" t="s">
        <v>445</v>
      </c>
      <c r="B9" s="12" t="s">
        <v>122</v>
      </c>
      <c r="C9" s="10" t="s">
        <v>446</v>
      </c>
      <c r="D9" s="12" t="s">
        <v>447</v>
      </c>
      <c r="E9" s="12" t="s">
        <v>448</v>
      </c>
      <c r="F9" s="12" t="s">
        <v>449</v>
      </c>
      <c r="G9" s="12" t="s">
        <v>440</v>
      </c>
      <c r="H9" s="12" t="s">
        <v>441</v>
      </c>
      <c r="I9" s="12" t="s">
        <v>118</v>
      </c>
      <c r="J9" s="12"/>
      <c r="K9" s="12"/>
      <c r="L9" s="12"/>
      <c r="M9" s="12"/>
      <c r="N9" s="12" t="s">
        <v>16</v>
      </c>
      <c r="O9" s="13" t="s">
        <v>430</v>
      </c>
      <c r="P9" s="13" t="s">
        <v>21</v>
      </c>
      <c r="Q9" s="100">
        <v>1</v>
      </c>
      <c r="R9" s="99" t="s">
        <v>120</v>
      </c>
      <c r="S9" s="99" t="s">
        <v>120</v>
      </c>
      <c r="T9" s="99" t="s">
        <v>120</v>
      </c>
      <c r="U9" s="100">
        <v>1</v>
      </c>
      <c r="V9" s="100">
        <v>1</v>
      </c>
      <c r="W9" s="100">
        <v>1</v>
      </c>
      <c r="X9" s="100">
        <v>1</v>
      </c>
      <c r="Y9" s="100">
        <v>1</v>
      </c>
      <c r="Z9" s="100">
        <v>1</v>
      </c>
      <c r="AA9" s="100">
        <v>1</v>
      </c>
      <c r="AB9" s="100">
        <v>1</v>
      </c>
      <c r="AC9" s="100">
        <v>1</v>
      </c>
    </row>
    <row r="10" spans="1:29" ht="19.95" customHeight="1" x14ac:dyDescent="0.25">
      <c r="A10" s="36" t="s">
        <v>445</v>
      </c>
      <c r="B10" s="12" t="s">
        <v>122</v>
      </c>
      <c r="C10" s="10" t="s">
        <v>446</v>
      </c>
      <c r="D10" s="12" t="s">
        <v>447</v>
      </c>
      <c r="E10" s="12" t="s">
        <v>448</v>
      </c>
      <c r="F10" s="12" t="s">
        <v>449</v>
      </c>
      <c r="G10" s="12" t="s">
        <v>440</v>
      </c>
      <c r="H10" s="12" t="s">
        <v>441</v>
      </c>
      <c r="I10" s="12" t="s">
        <v>118</v>
      </c>
      <c r="J10" s="12"/>
      <c r="K10" s="12"/>
      <c r="L10" s="12"/>
      <c r="M10" s="12"/>
      <c r="N10" s="12" t="s">
        <v>16</v>
      </c>
      <c r="O10" s="13" t="s">
        <v>431</v>
      </c>
      <c r="P10" s="13" t="s">
        <v>21</v>
      </c>
      <c r="Q10" s="100">
        <v>1</v>
      </c>
      <c r="R10" s="99" t="s">
        <v>120</v>
      </c>
      <c r="S10" s="99" t="s">
        <v>120</v>
      </c>
      <c r="T10" s="99" t="s">
        <v>120</v>
      </c>
      <c r="U10" s="100">
        <v>0.25</v>
      </c>
      <c r="V10" s="100">
        <v>0.25</v>
      </c>
      <c r="W10" s="100">
        <v>0.25</v>
      </c>
      <c r="X10" s="100">
        <v>0.25</v>
      </c>
      <c r="Y10" s="100">
        <v>0.25</v>
      </c>
      <c r="Z10" s="100">
        <v>0.25</v>
      </c>
      <c r="AA10" s="100">
        <v>0.25</v>
      </c>
      <c r="AB10" s="100">
        <v>0.25</v>
      </c>
      <c r="AC10" s="100">
        <v>0.25</v>
      </c>
    </row>
    <row r="11" spans="1:29" ht="19.95" customHeight="1" x14ac:dyDescent="0.25">
      <c r="A11" s="36" t="s">
        <v>445</v>
      </c>
      <c r="B11" s="12" t="s">
        <v>122</v>
      </c>
      <c r="C11" s="10" t="s">
        <v>446</v>
      </c>
      <c r="D11" s="12" t="s">
        <v>447</v>
      </c>
      <c r="E11" s="12" t="s">
        <v>448</v>
      </c>
      <c r="F11" s="12" t="s">
        <v>449</v>
      </c>
      <c r="G11" s="12" t="s">
        <v>440</v>
      </c>
      <c r="H11" s="12" t="s">
        <v>441</v>
      </c>
      <c r="I11" s="12" t="s">
        <v>118</v>
      </c>
      <c r="J11" s="12"/>
      <c r="K11" s="12"/>
      <c r="L11" s="12"/>
      <c r="M11" s="12"/>
      <c r="N11" s="12" t="s">
        <v>16</v>
      </c>
      <c r="O11" s="13" t="s">
        <v>432</v>
      </c>
      <c r="P11" s="13" t="s">
        <v>18</v>
      </c>
      <c r="Q11" s="101">
        <v>9</v>
      </c>
      <c r="R11" s="99" t="s">
        <v>120</v>
      </c>
      <c r="S11" s="99" t="s">
        <v>120</v>
      </c>
      <c r="T11" s="99" t="s">
        <v>120</v>
      </c>
      <c r="U11" s="101">
        <v>1</v>
      </c>
      <c r="V11" s="101">
        <v>1</v>
      </c>
      <c r="W11" s="101">
        <v>1</v>
      </c>
      <c r="X11" s="101">
        <v>1</v>
      </c>
      <c r="Y11" s="101">
        <v>1</v>
      </c>
      <c r="Z11" s="101">
        <v>1</v>
      </c>
      <c r="AA11" s="101">
        <v>1</v>
      </c>
      <c r="AB11" s="101">
        <v>1</v>
      </c>
      <c r="AC11" s="101">
        <v>1</v>
      </c>
    </row>
    <row r="12" spans="1:29" ht="19.95" customHeight="1" x14ac:dyDescent="0.25">
      <c r="A12" s="36" t="s">
        <v>445</v>
      </c>
      <c r="B12" s="12" t="s">
        <v>122</v>
      </c>
      <c r="C12" s="10" t="s">
        <v>446</v>
      </c>
      <c r="D12" s="12" t="s">
        <v>447</v>
      </c>
      <c r="E12" s="12" t="s">
        <v>448</v>
      </c>
      <c r="F12" s="12" t="s">
        <v>449</v>
      </c>
      <c r="G12" s="12" t="s">
        <v>440</v>
      </c>
      <c r="H12" s="12" t="s">
        <v>441</v>
      </c>
      <c r="I12" s="12" t="s">
        <v>118</v>
      </c>
      <c r="J12" s="12"/>
      <c r="K12" s="12"/>
      <c r="L12" s="12"/>
      <c r="M12" s="12"/>
      <c r="N12" s="12" t="s">
        <v>16</v>
      </c>
      <c r="O12" s="13" t="s">
        <v>433</v>
      </c>
      <c r="P12" s="13" t="s">
        <v>21</v>
      </c>
      <c r="Q12" s="100">
        <v>1</v>
      </c>
      <c r="R12" s="100">
        <v>1</v>
      </c>
      <c r="S12" s="100">
        <v>1</v>
      </c>
      <c r="T12" s="100">
        <v>1</v>
      </c>
      <c r="U12" s="100">
        <v>1</v>
      </c>
      <c r="V12" s="100">
        <v>1</v>
      </c>
      <c r="W12" s="100">
        <v>1</v>
      </c>
      <c r="X12" s="100">
        <v>1</v>
      </c>
      <c r="Y12" s="100">
        <v>1</v>
      </c>
      <c r="Z12" s="100">
        <v>1</v>
      </c>
      <c r="AA12" s="100">
        <v>1</v>
      </c>
      <c r="AB12" s="100">
        <v>1</v>
      </c>
      <c r="AC12" s="100">
        <v>1</v>
      </c>
    </row>
  </sheetData>
  <hyperlinks>
    <hyperlink ref="C2" r:id="rId1" xr:uid="{A98B69CC-90C6-4163-B84B-6EFB50B22678}"/>
    <hyperlink ref="C3" r:id="rId2" xr:uid="{70F5CB66-6AB2-4B7C-B999-7499A2AB8617}"/>
    <hyperlink ref="C4" r:id="rId3" xr:uid="{BADDF57D-4264-4D41-A2F0-EBDC428DD76F}"/>
    <hyperlink ref="C5" r:id="rId4" xr:uid="{862068CB-C175-446C-80A2-CE25389271C0}"/>
    <hyperlink ref="C6" r:id="rId5" xr:uid="{DEF0F238-2268-45CE-9F57-3670B64F7D85}"/>
    <hyperlink ref="C7" r:id="rId6" xr:uid="{257B50C7-DA9F-4556-B8E0-A3A2685D55EF}"/>
    <hyperlink ref="C8" r:id="rId7" xr:uid="{7BA2B8F7-6C82-49E5-8F25-1FDBA48D8BA2}"/>
    <hyperlink ref="C9" r:id="rId8" xr:uid="{066D65E1-C906-4D04-BD80-F4C2B2273106}"/>
    <hyperlink ref="C10" r:id="rId9" xr:uid="{A9A444BA-0726-4293-9455-349284675A46}"/>
    <hyperlink ref="C11" r:id="rId10" xr:uid="{93350F05-7BDC-4D43-8290-63A03563B6BC}"/>
    <hyperlink ref="C12" r:id="rId11" xr:uid="{612D9F11-5705-4B9D-A70E-814CA547D3B9}"/>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6330E-5B5F-43AA-B4B9-EBADFCE428C7}">
  <dimension ref="A1:AC12"/>
  <sheetViews>
    <sheetView topLeftCell="H1" workbookViewId="0">
      <selection activeCell="O1" sqref="O1:AC1"/>
    </sheetView>
  </sheetViews>
  <sheetFormatPr defaultColWidth="9.6640625" defaultRowHeight="15.6" x14ac:dyDescent="0.25"/>
  <cols>
    <col min="1" max="1" width="12.21875" style="7" bestFit="1" customWidth="1"/>
    <col min="2" max="2" width="14.33203125" style="7" customWidth="1"/>
    <col min="3" max="3" width="25.109375" style="7" bestFit="1" customWidth="1"/>
    <col min="4" max="4" width="11.109375" style="7" customWidth="1"/>
    <col min="5" max="5" width="21.6640625" style="7" bestFit="1" customWidth="1"/>
    <col min="6" max="6" width="9" style="7" bestFit="1" customWidth="1"/>
    <col min="7" max="7" width="17.5546875" style="8" bestFit="1" customWidth="1"/>
    <col min="8" max="8" width="10.109375" style="8" customWidth="1"/>
    <col min="9" max="9" width="14.5546875" style="8" customWidth="1"/>
    <col min="10" max="13" width="11.44140625" style="7" bestFit="1" customWidth="1"/>
    <col min="14" max="14" width="14.5546875" style="7" bestFit="1" customWidth="1"/>
    <col min="15" max="15" width="54.21875" style="7" customWidth="1"/>
    <col min="16" max="16" width="9.6640625" style="7"/>
    <col min="17" max="17" width="12.109375" style="7" bestFit="1" customWidth="1"/>
    <col min="18" max="22" width="9.77734375" style="7" bestFit="1" customWidth="1"/>
    <col min="23" max="23" width="12.88671875" style="7" customWidth="1"/>
    <col min="24" max="29" width="10.5546875" style="7" bestFit="1" customWidth="1"/>
    <col min="30" max="16384" width="9.6640625" style="7"/>
  </cols>
  <sheetData>
    <row r="1" spans="1:29" s="9" customFormat="1" ht="27.6" x14ac:dyDescent="0.25">
      <c r="A1" s="59" t="s">
        <v>123</v>
      </c>
      <c r="B1" s="60" t="s">
        <v>1</v>
      </c>
      <c r="C1" s="59" t="s">
        <v>2</v>
      </c>
      <c r="D1" s="60" t="s">
        <v>3</v>
      </c>
      <c r="E1" s="59" t="s">
        <v>4</v>
      </c>
      <c r="F1" s="59" t="s">
        <v>5</v>
      </c>
      <c r="G1" s="59" t="s">
        <v>6</v>
      </c>
      <c r="H1" s="59" t="s">
        <v>7</v>
      </c>
      <c r="I1" s="60" t="s">
        <v>8</v>
      </c>
      <c r="J1" s="59" t="s">
        <v>9</v>
      </c>
      <c r="K1" s="59" t="s">
        <v>10</v>
      </c>
      <c r="L1" s="59" t="s">
        <v>126</v>
      </c>
      <c r="M1" s="59" t="s">
        <v>127</v>
      </c>
      <c r="N1" s="59"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88">
        <v>7990902989</v>
      </c>
      <c r="B2" s="12" t="s">
        <v>461</v>
      </c>
      <c r="C2" s="43" t="s">
        <v>463</v>
      </c>
      <c r="D2" s="12" t="s">
        <v>462</v>
      </c>
      <c r="E2" s="12" t="s">
        <v>450</v>
      </c>
      <c r="F2" s="12" t="s">
        <v>449</v>
      </c>
      <c r="G2" s="12" t="s">
        <v>440</v>
      </c>
      <c r="H2" s="12" t="s">
        <v>447</v>
      </c>
      <c r="I2" s="12" t="s">
        <v>122</v>
      </c>
      <c r="J2" s="12" t="s">
        <v>441</v>
      </c>
      <c r="K2" s="12"/>
      <c r="L2" s="12"/>
      <c r="M2" s="12"/>
      <c r="N2" s="12" t="s">
        <v>16</v>
      </c>
      <c r="O2" s="13" t="s">
        <v>424</v>
      </c>
      <c r="P2" s="38" t="s">
        <v>20</v>
      </c>
      <c r="Q2" s="99">
        <v>11000000</v>
      </c>
      <c r="R2" s="99">
        <v>0</v>
      </c>
      <c r="S2" s="99">
        <v>500000</v>
      </c>
      <c r="T2" s="99">
        <v>800000</v>
      </c>
      <c r="U2" s="99">
        <v>700000</v>
      </c>
      <c r="V2" s="99">
        <v>800000</v>
      </c>
      <c r="W2" s="99">
        <v>1000000</v>
      </c>
      <c r="X2" s="99">
        <v>1000000</v>
      </c>
      <c r="Y2" s="99">
        <v>1100000</v>
      </c>
      <c r="Z2" s="99">
        <v>1100000</v>
      </c>
      <c r="AA2" s="99">
        <v>1200000</v>
      </c>
      <c r="AB2" s="99">
        <v>1300000</v>
      </c>
      <c r="AC2" s="99">
        <v>1500000</v>
      </c>
    </row>
    <row r="3" spans="1:29" ht="19.95" customHeight="1" x14ac:dyDescent="0.25">
      <c r="A3" s="88">
        <v>7990902989</v>
      </c>
      <c r="B3" s="12" t="s">
        <v>461</v>
      </c>
      <c r="C3" s="43" t="s">
        <v>463</v>
      </c>
      <c r="D3" s="12" t="s">
        <v>462</v>
      </c>
      <c r="E3" s="12" t="s">
        <v>450</v>
      </c>
      <c r="F3" s="12" t="s">
        <v>449</v>
      </c>
      <c r="G3" s="12" t="s">
        <v>440</v>
      </c>
      <c r="H3" s="12" t="s">
        <v>447</v>
      </c>
      <c r="I3" s="12" t="s">
        <v>122</v>
      </c>
      <c r="J3" s="12" t="s">
        <v>441</v>
      </c>
      <c r="K3" s="12"/>
      <c r="L3" s="12"/>
      <c r="M3" s="12"/>
      <c r="N3" s="12" t="s">
        <v>16</v>
      </c>
      <c r="O3" s="13" t="s">
        <v>425</v>
      </c>
      <c r="P3" s="38" t="s">
        <v>21</v>
      </c>
      <c r="Q3" s="100">
        <v>1</v>
      </c>
      <c r="R3" s="100">
        <v>1</v>
      </c>
      <c r="S3" s="100">
        <v>1</v>
      </c>
      <c r="T3" s="100">
        <v>1</v>
      </c>
      <c r="U3" s="100">
        <v>1</v>
      </c>
      <c r="V3" s="100">
        <v>1</v>
      </c>
      <c r="W3" s="100">
        <v>1</v>
      </c>
      <c r="X3" s="100">
        <v>1</v>
      </c>
      <c r="Y3" s="100">
        <v>1</v>
      </c>
      <c r="Z3" s="100">
        <v>1</v>
      </c>
      <c r="AA3" s="100">
        <v>1</v>
      </c>
      <c r="AB3" s="100">
        <v>1</v>
      </c>
      <c r="AC3" s="100">
        <v>1</v>
      </c>
    </row>
    <row r="4" spans="1:29" ht="19.95" customHeight="1" x14ac:dyDescent="0.25">
      <c r="A4" s="88">
        <v>7990902989</v>
      </c>
      <c r="B4" s="12" t="s">
        <v>461</v>
      </c>
      <c r="C4" s="43" t="s">
        <v>463</v>
      </c>
      <c r="D4" s="12" t="s">
        <v>462</v>
      </c>
      <c r="E4" s="12" t="s">
        <v>450</v>
      </c>
      <c r="F4" s="12" t="s">
        <v>449</v>
      </c>
      <c r="G4" s="12" t="s">
        <v>440</v>
      </c>
      <c r="H4" s="12" t="s">
        <v>447</v>
      </c>
      <c r="I4" s="12" t="s">
        <v>122</v>
      </c>
      <c r="J4" s="12" t="s">
        <v>441</v>
      </c>
      <c r="K4" s="12"/>
      <c r="L4" s="12"/>
      <c r="M4" s="12"/>
      <c r="N4" s="12" t="s">
        <v>16</v>
      </c>
      <c r="O4" s="13" t="s">
        <v>434</v>
      </c>
      <c r="P4" s="38" t="s">
        <v>21</v>
      </c>
      <c r="Q4" s="100">
        <v>1</v>
      </c>
      <c r="R4" s="100">
        <v>1</v>
      </c>
      <c r="S4" s="100">
        <v>1</v>
      </c>
      <c r="T4" s="100">
        <v>1</v>
      </c>
      <c r="U4" s="100">
        <v>1</v>
      </c>
      <c r="V4" s="100">
        <v>1</v>
      </c>
      <c r="W4" s="100">
        <v>1</v>
      </c>
      <c r="X4" s="100">
        <v>1</v>
      </c>
      <c r="Y4" s="100">
        <v>1</v>
      </c>
      <c r="Z4" s="100">
        <v>1</v>
      </c>
      <c r="AA4" s="100">
        <v>1</v>
      </c>
      <c r="AB4" s="100">
        <v>1</v>
      </c>
      <c r="AC4" s="100">
        <v>1</v>
      </c>
    </row>
    <row r="5" spans="1:29" ht="19.95" customHeight="1" x14ac:dyDescent="0.25">
      <c r="A5" s="88">
        <v>7990902989</v>
      </c>
      <c r="B5" s="12" t="s">
        <v>461</v>
      </c>
      <c r="C5" s="43" t="s">
        <v>463</v>
      </c>
      <c r="D5" s="12" t="s">
        <v>462</v>
      </c>
      <c r="E5" s="12" t="s">
        <v>450</v>
      </c>
      <c r="F5" s="12" t="s">
        <v>449</v>
      </c>
      <c r="G5" s="12" t="s">
        <v>440</v>
      </c>
      <c r="H5" s="12" t="s">
        <v>447</v>
      </c>
      <c r="I5" s="12" t="s">
        <v>122</v>
      </c>
      <c r="J5" s="12" t="s">
        <v>441</v>
      </c>
      <c r="K5" s="12"/>
      <c r="L5" s="12"/>
      <c r="M5" s="12"/>
      <c r="N5" s="12" t="s">
        <v>16</v>
      </c>
      <c r="O5" s="13" t="s">
        <v>426</v>
      </c>
      <c r="P5" s="38" t="s">
        <v>21</v>
      </c>
      <c r="Q5" s="100" t="s">
        <v>120</v>
      </c>
      <c r="R5" s="100" t="s">
        <v>120</v>
      </c>
      <c r="S5" s="100" t="s">
        <v>120</v>
      </c>
      <c r="T5" s="100" t="s">
        <v>120</v>
      </c>
      <c r="U5" s="100" t="s">
        <v>120</v>
      </c>
      <c r="V5" s="100" t="s">
        <v>120</v>
      </c>
      <c r="W5" s="100" t="s">
        <v>120</v>
      </c>
      <c r="X5" s="100" t="s">
        <v>120</v>
      </c>
      <c r="Y5" s="100" t="s">
        <v>120</v>
      </c>
      <c r="Z5" s="100" t="s">
        <v>120</v>
      </c>
      <c r="AA5" s="100" t="s">
        <v>120</v>
      </c>
      <c r="AB5" s="100" t="s">
        <v>120</v>
      </c>
      <c r="AC5" s="100" t="s">
        <v>120</v>
      </c>
    </row>
    <row r="6" spans="1:29" ht="19.95" customHeight="1" x14ac:dyDescent="0.25">
      <c r="A6" s="88">
        <v>7990902989</v>
      </c>
      <c r="B6" s="12" t="s">
        <v>461</v>
      </c>
      <c r="C6" s="43" t="s">
        <v>463</v>
      </c>
      <c r="D6" s="12" t="s">
        <v>462</v>
      </c>
      <c r="E6" s="12" t="s">
        <v>450</v>
      </c>
      <c r="F6" s="12" t="s">
        <v>449</v>
      </c>
      <c r="G6" s="12" t="s">
        <v>440</v>
      </c>
      <c r="H6" s="12" t="s">
        <v>447</v>
      </c>
      <c r="I6" s="12" t="s">
        <v>122</v>
      </c>
      <c r="J6" s="12" t="s">
        <v>441</v>
      </c>
      <c r="K6" s="12"/>
      <c r="L6" s="12"/>
      <c r="M6" s="12"/>
      <c r="N6" s="12" t="s">
        <v>16</v>
      </c>
      <c r="O6" s="13" t="s">
        <v>427</v>
      </c>
      <c r="P6" s="38" t="s">
        <v>21</v>
      </c>
      <c r="Q6" s="100" t="s">
        <v>120</v>
      </c>
      <c r="R6" s="100" t="s">
        <v>120</v>
      </c>
      <c r="S6" s="100" t="s">
        <v>120</v>
      </c>
      <c r="T6" s="100" t="s">
        <v>120</v>
      </c>
      <c r="U6" s="100" t="s">
        <v>120</v>
      </c>
      <c r="V6" s="100" t="s">
        <v>120</v>
      </c>
      <c r="W6" s="100" t="s">
        <v>120</v>
      </c>
      <c r="X6" s="100" t="s">
        <v>120</v>
      </c>
      <c r="Y6" s="100" t="s">
        <v>120</v>
      </c>
      <c r="Z6" s="100" t="s">
        <v>120</v>
      </c>
      <c r="AA6" s="100" t="s">
        <v>120</v>
      </c>
      <c r="AB6" s="100" t="s">
        <v>120</v>
      </c>
      <c r="AC6" s="100" t="s">
        <v>120</v>
      </c>
    </row>
    <row r="7" spans="1:29" ht="19.95" customHeight="1" x14ac:dyDescent="0.25">
      <c r="A7" s="88">
        <v>7990902989</v>
      </c>
      <c r="B7" s="12" t="s">
        <v>461</v>
      </c>
      <c r="C7" s="43" t="s">
        <v>463</v>
      </c>
      <c r="D7" s="12" t="s">
        <v>462</v>
      </c>
      <c r="E7" s="12" t="s">
        <v>450</v>
      </c>
      <c r="F7" s="12" t="s">
        <v>449</v>
      </c>
      <c r="G7" s="12" t="s">
        <v>440</v>
      </c>
      <c r="H7" s="12" t="s">
        <v>447</v>
      </c>
      <c r="I7" s="12" t="s">
        <v>122</v>
      </c>
      <c r="J7" s="12" t="s">
        <v>441</v>
      </c>
      <c r="K7" s="12"/>
      <c r="L7" s="12"/>
      <c r="M7" s="12"/>
      <c r="N7" s="12" t="s">
        <v>16</v>
      </c>
      <c r="O7" s="13" t="s">
        <v>428</v>
      </c>
      <c r="P7" s="38" t="s">
        <v>21</v>
      </c>
      <c r="Q7" s="100" t="s">
        <v>120</v>
      </c>
      <c r="R7" s="100" t="s">
        <v>120</v>
      </c>
      <c r="S7" s="100" t="s">
        <v>120</v>
      </c>
      <c r="T7" s="100" t="s">
        <v>120</v>
      </c>
      <c r="U7" s="100" t="s">
        <v>120</v>
      </c>
      <c r="V7" s="100" t="s">
        <v>120</v>
      </c>
      <c r="W7" s="100" t="s">
        <v>120</v>
      </c>
      <c r="X7" s="100" t="s">
        <v>120</v>
      </c>
      <c r="Y7" s="100" t="s">
        <v>120</v>
      </c>
      <c r="Z7" s="100" t="s">
        <v>120</v>
      </c>
      <c r="AA7" s="100" t="s">
        <v>120</v>
      </c>
      <c r="AB7" s="100" t="s">
        <v>120</v>
      </c>
      <c r="AC7" s="100" t="s">
        <v>120</v>
      </c>
    </row>
    <row r="8" spans="1:29" ht="19.95" customHeight="1" x14ac:dyDescent="0.25">
      <c r="A8" s="88">
        <v>7990902989</v>
      </c>
      <c r="B8" s="12" t="s">
        <v>461</v>
      </c>
      <c r="C8" s="43" t="s">
        <v>463</v>
      </c>
      <c r="D8" s="12" t="s">
        <v>462</v>
      </c>
      <c r="E8" s="12" t="s">
        <v>450</v>
      </c>
      <c r="F8" s="12" t="s">
        <v>449</v>
      </c>
      <c r="G8" s="12" t="s">
        <v>440</v>
      </c>
      <c r="H8" s="12" t="s">
        <v>447</v>
      </c>
      <c r="I8" s="12" t="s">
        <v>122</v>
      </c>
      <c r="J8" s="12" t="s">
        <v>441</v>
      </c>
      <c r="K8" s="12"/>
      <c r="L8" s="12"/>
      <c r="M8" s="12"/>
      <c r="N8" s="12" t="s">
        <v>16</v>
      </c>
      <c r="O8" s="13" t="s">
        <v>429</v>
      </c>
      <c r="P8" s="38" t="s">
        <v>21</v>
      </c>
      <c r="Q8" s="100" t="s">
        <v>120</v>
      </c>
      <c r="R8" s="100" t="s">
        <v>120</v>
      </c>
      <c r="S8" s="100" t="s">
        <v>120</v>
      </c>
      <c r="T8" s="100" t="s">
        <v>120</v>
      </c>
      <c r="U8" s="100" t="s">
        <v>120</v>
      </c>
      <c r="V8" s="100" t="s">
        <v>120</v>
      </c>
      <c r="W8" s="100" t="s">
        <v>120</v>
      </c>
      <c r="X8" s="100" t="s">
        <v>120</v>
      </c>
      <c r="Y8" s="100" t="s">
        <v>120</v>
      </c>
      <c r="Z8" s="100" t="s">
        <v>120</v>
      </c>
      <c r="AA8" s="100" t="s">
        <v>120</v>
      </c>
      <c r="AB8" s="100" t="s">
        <v>120</v>
      </c>
      <c r="AC8" s="100" t="s">
        <v>120</v>
      </c>
    </row>
    <row r="9" spans="1:29" ht="19.95" customHeight="1" x14ac:dyDescent="0.25">
      <c r="A9" s="88">
        <v>7990902989</v>
      </c>
      <c r="B9" s="12" t="s">
        <v>461</v>
      </c>
      <c r="C9" s="43" t="s">
        <v>463</v>
      </c>
      <c r="D9" s="12" t="s">
        <v>462</v>
      </c>
      <c r="E9" s="12" t="s">
        <v>450</v>
      </c>
      <c r="F9" s="12" t="s">
        <v>449</v>
      </c>
      <c r="G9" s="12" t="s">
        <v>440</v>
      </c>
      <c r="H9" s="12" t="s">
        <v>447</v>
      </c>
      <c r="I9" s="12" t="s">
        <v>122</v>
      </c>
      <c r="J9" s="12" t="s">
        <v>441</v>
      </c>
      <c r="K9" s="12"/>
      <c r="L9" s="12"/>
      <c r="M9" s="12"/>
      <c r="N9" s="12" t="s">
        <v>16</v>
      </c>
      <c r="O9" s="13" t="s">
        <v>430</v>
      </c>
      <c r="P9" s="38" t="s">
        <v>21</v>
      </c>
      <c r="Q9" s="100" t="s">
        <v>120</v>
      </c>
      <c r="R9" s="100" t="s">
        <v>120</v>
      </c>
      <c r="S9" s="100" t="s">
        <v>120</v>
      </c>
      <c r="T9" s="100" t="s">
        <v>120</v>
      </c>
      <c r="U9" s="100" t="s">
        <v>120</v>
      </c>
      <c r="V9" s="100" t="s">
        <v>120</v>
      </c>
      <c r="W9" s="100" t="s">
        <v>120</v>
      </c>
      <c r="X9" s="100" t="s">
        <v>120</v>
      </c>
      <c r="Y9" s="100" t="s">
        <v>120</v>
      </c>
      <c r="Z9" s="100" t="s">
        <v>120</v>
      </c>
      <c r="AA9" s="100" t="s">
        <v>120</v>
      </c>
      <c r="AB9" s="100" t="s">
        <v>120</v>
      </c>
      <c r="AC9" s="100" t="s">
        <v>120</v>
      </c>
    </row>
    <row r="10" spans="1:29" ht="19.95" customHeight="1" x14ac:dyDescent="0.25">
      <c r="A10" s="88">
        <v>7990902989</v>
      </c>
      <c r="B10" s="12" t="s">
        <v>461</v>
      </c>
      <c r="C10" s="43" t="s">
        <v>463</v>
      </c>
      <c r="D10" s="12" t="s">
        <v>462</v>
      </c>
      <c r="E10" s="12" t="s">
        <v>450</v>
      </c>
      <c r="F10" s="12" t="s">
        <v>449</v>
      </c>
      <c r="G10" s="12" t="s">
        <v>440</v>
      </c>
      <c r="H10" s="12" t="s">
        <v>447</v>
      </c>
      <c r="I10" s="12" t="s">
        <v>122</v>
      </c>
      <c r="J10" s="12" t="s">
        <v>441</v>
      </c>
      <c r="K10" s="12"/>
      <c r="L10" s="12"/>
      <c r="M10" s="12"/>
      <c r="N10" s="12" t="s">
        <v>16</v>
      </c>
      <c r="O10" s="13" t="s">
        <v>431</v>
      </c>
      <c r="P10" s="38" t="s">
        <v>21</v>
      </c>
      <c r="Q10" s="100" t="s">
        <v>120</v>
      </c>
      <c r="R10" s="100" t="s">
        <v>120</v>
      </c>
      <c r="S10" s="100" t="s">
        <v>120</v>
      </c>
      <c r="T10" s="100" t="s">
        <v>120</v>
      </c>
      <c r="U10" s="100" t="s">
        <v>120</v>
      </c>
      <c r="V10" s="100" t="s">
        <v>120</v>
      </c>
      <c r="W10" s="100" t="s">
        <v>120</v>
      </c>
      <c r="X10" s="100" t="s">
        <v>120</v>
      </c>
      <c r="Y10" s="100" t="s">
        <v>120</v>
      </c>
      <c r="Z10" s="100" t="s">
        <v>120</v>
      </c>
      <c r="AA10" s="100" t="s">
        <v>120</v>
      </c>
      <c r="AB10" s="100" t="s">
        <v>120</v>
      </c>
      <c r="AC10" s="100" t="s">
        <v>120</v>
      </c>
    </row>
    <row r="11" spans="1:29" ht="19.95" customHeight="1" x14ac:dyDescent="0.25">
      <c r="A11" s="88">
        <v>7990902989</v>
      </c>
      <c r="B11" s="12" t="s">
        <v>461</v>
      </c>
      <c r="C11" s="43" t="s">
        <v>463</v>
      </c>
      <c r="D11" s="12" t="s">
        <v>462</v>
      </c>
      <c r="E11" s="12" t="s">
        <v>450</v>
      </c>
      <c r="F11" s="12" t="s">
        <v>449</v>
      </c>
      <c r="G11" s="12" t="s">
        <v>440</v>
      </c>
      <c r="H11" s="12" t="s">
        <v>447</v>
      </c>
      <c r="I11" s="12" t="s">
        <v>122</v>
      </c>
      <c r="J11" s="12" t="s">
        <v>441</v>
      </c>
      <c r="K11" s="12"/>
      <c r="L11" s="12"/>
      <c r="M11" s="12"/>
      <c r="N11" s="12" t="s">
        <v>16</v>
      </c>
      <c r="O11" s="13" t="s">
        <v>432</v>
      </c>
      <c r="P11" s="38" t="s">
        <v>18</v>
      </c>
      <c r="Q11" s="100" t="s">
        <v>120</v>
      </c>
      <c r="R11" s="100" t="s">
        <v>120</v>
      </c>
      <c r="S11" s="100" t="s">
        <v>120</v>
      </c>
      <c r="T11" s="100" t="s">
        <v>120</v>
      </c>
      <c r="U11" s="100" t="s">
        <v>120</v>
      </c>
      <c r="V11" s="100" t="s">
        <v>120</v>
      </c>
      <c r="W11" s="100" t="s">
        <v>120</v>
      </c>
      <c r="X11" s="100" t="s">
        <v>120</v>
      </c>
      <c r="Y11" s="100" t="s">
        <v>120</v>
      </c>
      <c r="Z11" s="100" t="s">
        <v>120</v>
      </c>
      <c r="AA11" s="100" t="s">
        <v>120</v>
      </c>
      <c r="AB11" s="100" t="s">
        <v>120</v>
      </c>
      <c r="AC11" s="100" t="s">
        <v>120</v>
      </c>
    </row>
    <row r="12" spans="1:29" ht="32.4" customHeight="1" x14ac:dyDescent="0.25">
      <c r="A12" s="88">
        <v>7990902989</v>
      </c>
      <c r="B12" s="12" t="s">
        <v>461</v>
      </c>
      <c r="C12" s="43" t="s">
        <v>463</v>
      </c>
      <c r="D12" s="12" t="s">
        <v>462</v>
      </c>
      <c r="E12" s="12" t="s">
        <v>450</v>
      </c>
      <c r="F12" s="12" t="s">
        <v>449</v>
      </c>
      <c r="G12" s="12" t="s">
        <v>440</v>
      </c>
      <c r="H12" s="12" t="s">
        <v>447</v>
      </c>
      <c r="I12" s="12" t="s">
        <v>122</v>
      </c>
      <c r="J12" s="12" t="s">
        <v>441</v>
      </c>
      <c r="K12" s="12"/>
      <c r="L12" s="12"/>
      <c r="M12" s="12"/>
      <c r="N12" s="12" t="s">
        <v>16</v>
      </c>
      <c r="O12" s="13" t="s">
        <v>433</v>
      </c>
      <c r="P12" s="38" t="s">
        <v>21</v>
      </c>
      <c r="Q12" s="100" t="s">
        <v>120</v>
      </c>
      <c r="R12" s="100" t="s">
        <v>120</v>
      </c>
      <c r="S12" s="100" t="s">
        <v>120</v>
      </c>
      <c r="T12" s="100" t="s">
        <v>120</v>
      </c>
      <c r="U12" s="100" t="s">
        <v>120</v>
      </c>
      <c r="V12" s="100" t="s">
        <v>120</v>
      </c>
      <c r="W12" s="100" t="s">
        <v>120</v>
      </c>
      <c r="X12" s="100" t="s">
        <v>120</v>
      </c>
      <c r="Y12" s="100" t="s">
        <v>120</v>
      </c>
      <c r="Z12" s="100" t="s">
        <v>120</v>
      </c>
      <c r="AA12" s="100" t="s">
        <v>120</v>
      </c>
      <c r="AB12" s="100" t="s">
        <v>120</v>
      </c>
      <c r="AC12" s="100" t="s">
        <v>120</v>
      </c>
    </row>
  </sheetData>
  <hyperlinks>
    <hyperlink ref="C2" r:id="rId1" xr:uid="{DE423F89-832E-4514-B567-61CD991C1DAF}"/>
    <hyperlink ref="C3" r:id="rId2" xr:uid="{6C45D41F-5ACC-492F-8B78-8AC2AE380382}"/>
    <hyperlink ref="C4" r:id="rId3" xr:uid="{8A0165C4-5354-42CA-94FE-A4D8B2E1B411}"/>
    <hyperlink ref="C5" r:id="rId4" xr:uid="{EF5DF78D-FC77-4043-B0FB-628F7026CCE5}"/>
    <hyperlink ref="C6" r:id="rId5" xr:uid="{9DB8619D-E42D-41F1-9824-020B5EF26AE7}"/>
    <hyperlink ref="C7" r:id="rId6" xr:uid="{581C791F-AACF-47C1-883E-BC7A6CF40AAC}"/>
    <hyperlink ref="C8" r:id="rId7" xr:uid="{BCB21549-5BC0-401D-91FE-6AF851E84623}"/>
    <hyperlink ref="C9" r:id="rId8" xr:uid="{EBB5F5A2-F6A2-47D0-BE96-13F4E71B8600}"/>
    <hyperlink ref="C10" r:id="rId9" xr:uid="{27FD0FBB-4583-43D7-AAFE-3C24A15CA597}"/>
    <hyperlink ref="C11" r:id="rId10" xr:uid="{A4A329B8-DD69-4ADD-8300-4956177D772A}"/>
    <hyperlink ref="C12" r:id="rId11" xr:uid="{546B383A-107B-42DE-B1C4-5D35416CD365}"/>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04651-B6B2-4A0B-93F0-ED2E3534056A}">
  <dimension ref="A1:AC12"/>
  <sheetViews>
    <sheetView topLeftCell="G1" workbookViewId="0">
      <selection activeCell="O1" sqref="O1:AC1"/>
    </sheetView>
  </sheetViews>
  <sheetFormatPr defaultColWidth="9.6640625" defaultRowHeight="15.6" x14ac:dyDescent="0.25"/>
  <cols>
    <col min="1" max="1" width="12.109375" style="7" bestFit="1" customWidth="1"/>
    <col min="2" max="2" width="18.109375" style="7" bestFit="1" customWidth="1"/>
    <col min="3" max="3" width="27.33203125" style="7" bestFit="1" customWidth="1"/>
    <col min="4" max="4" width="10.88671875" style="7" customWidth="1"/>
    <col min="5" max="5" width="15.21875" style="7" bestFit="1" customWidth="1"/>
    <col min="6" max="6" width="9" style="7" bestFit="1" customWidth="1"/>
    <col min="7" max="7" width="17.5546875" style="7" bestFit="1" customWidth="1"/>
    <col min="8" max="8" width="8.88671875" style="7" bestFit="1" customWidth="1"/>
    <col min="9" max="9" width="14.5546875" style="7" bestFit="1" customWidth="1"/>
    <col min="10" max="13" width="11.44140625" style="7" bestFit="1" customWidth="1"/>
    <col min="14" max="14" width="14.5546875" style="7" bestFit="1" customWidth="1"/>
    <col min="15" max="15" width="71" style="7" customWidth="1"/>
    <col min="16" max="16" width="15" style="7" customWidth="1"/>
    <col min="17" max="17" width="13" style="7" customWidth="1"/>
    <col min="18" max="19" width="10" style="7" customWidth="1"/>
    <col min="20" max="20" width="10.5546875" style="7" bestFit="1" customWidth="1"/>
    <col min="21" max="22" width="10.5546875" style="8" bestFit="1" customWidth="1"/>
    <col min="23" max="23" width="12" style="8" customWidth="1"/>
    <col min="24" max="28" width="10.5546875" style="7" bestFit="1" customWidth="1"/>
    <col min="29" max="29" width="10.6640625" style="7" bestFit="1" customWidth="1"/>
    <col min="30" max="16384" width="9.6640625" style="7"/>
  </cols>
  <sheetData>
    <row r="1" spans="1:29" s="9" customFormat="1" ht="27.6" x14ac:dyDescent="0.25">
      <c r="A1" s="35" t="s">
        <v>123</v>
      </c>
      <c r="B1" s="58" t="s">
        <v>1</v>
      </c>
      <c r="C1" s="35" t="s">
        <v>2</v>
      </c>
      <c r="D1" s="58" t="s">
        <v>3</v>
      </c>
      <c r="E1" s="35" t="s">
        <v>4</v>
      </c>
      <c r="F1" s="35" t="s">
        <v>5</v>
      </c>
      <c r="G1" s="35" t="s">
        <v>6</v>
      </c>
      <c r="H1" s="35" t="s">
        <v>7</v>
      </c>
      <c r="I1" s="58" t="s">
        <v>8</v>
      </c>
      <c r="J1" s="35" t="s">
        <v>9</v>
      </c>
      <c r="K1" s="35" t="s">
        <v>10</v>
      </c>
      <c r="L1" s="35" t="s">
        <v>126</v>
      </c>
      <c r="M1" s="35" t="s">
        <v>127</v>
      </c>
      <c r="N1" s="35"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88">
        <v>9340480878</v>
      </c>
      <c r="B2" s="12" t="s">
        <v>119</v>
      </c>
      <c r="C2" s="10" t="s">
        <v>442</v>
      </c>
      <c r="D2" s="12" t="s">
        <v>443</v>
      </c>
      <c r="E2" s="12" t="s">
        <v>438</v>
      </c>
      <c r="F2" s="12" t="s">
        <v>444</v>
      </c>
      <c r="G2" s="12" t="s">
        <v>440</v>
      </c>
      <c r="H2" s="12" t="s">
        <v>441</v>
      </c>
      <c r="I2" s="12" t="s">
        <v>118</v>
      </c>
      <c r="J2" s="12"/>
      <c r="K2" s="12"/>
      <c r="L2" s="12"/>
      <c r="M2" s="12"/>
      <c r="N2" s="12" t="s">
        <v>16</v>
      </c>
      <c r="O2" s="13" t="s">
        <v>424</v>
      </c>
      <c r="P2" s="38" t="s">
        <v>20</v>
      </c>
      <c r="Q2" s="99">
        <v>31100000</v>
      </c>
      <c r="R2" s="99" t="s">
        <v>120</v>
      </c>
      <c r="S2" s="99" t="s">
        <v>120</v>
      </c>
      <c r="T2" s="99">
        <v>2500000</v>
      </c>
      <c r="U2" s="99">
        <v>2500000</v>
      </c>
      <c r="V2" s="99">
        <v>2800000</v>
      </c>
      <c r="W2" s="99">
        <v>2800000</v>
      </c>
      <c r="X2" s="99">
        <v>3000000</v>
      </c>
      <c r="Y2" s="99">
        <v>3000000</v>
      </c>
      <c r="Z2" s="99">
        <v>3000000</v>
      </c>
      <c r="AA2" s="99">
        <v>3500000</v>
      </c>
      <c r="AB2" s="99">
        <v>3500000</v>
      </c>
      <c r="AC2" s="99">
        <v>4500000</v>
      </c>
    </row>
    <row r="3" spans="1:29" ht="19.95" customHeight="1" x14ac:dyDescent="0.25">
      <c r="A3" s="88">
        <v>9340480878</v>
      </c>
      <c r="B3" s="12" t="s">
        <v>119</v>
      </c>
      <c r="C3" s="10" t="s">
        <v>442</v>
      </c>
      <c r="D3" s="12" t="s">
        <v>443</v>
      </c>
      <c r="E3" s="12" t="s">
        <v>438</v>
      </c>
      <c r="F3" s="12" t="s">
        <v>444</v>
      </c>
      <c r="G3" s="12" t="s">
        <v>440</v>
      </c>
      <c r="H3" s="12" t="s">
        <v>441</v>
      </c>
      <c r="I3" s="12" t="s">
        <v>118</v>
      </c>
      <c r="J3" s="12"/>
      <c r="K3" s="12"/>
      <c r="L3" s="12"/>
      <c r="M3" s="12"/>
      <c r="N3" s="12" t="s">
        <v>16</v>
      </c>
      <c r="O3" s="13" t="s">
        <v>425</v>
      </c>
      <c r="P3" s="38" t="s">
        <v>21</v>
      </c>
      <c r="Q3" s="100">
        <v>1</v>
      </c>
      <c r="R3" s="99" t="s">
        <v>120</v>
      </c>
      <c r="S3" s="99" t="s">
        <v>120</v>
      </c>
      <c r="T3" s="100">
        <v>1</v>
      </c>
      <c r="U3" s="100">
        <v>1</v>
      </c>
      <c r="V3" s="100">
        <v>1</v>
      </c>
      <c r="W3" s="100">
        <v>1</v>
      </c>
      <c r="X3" s="100">
        <v>1</v>
      </c>
      <c r="Y3" s="100">
        <v>1</v>
      </c>
      <c r="Z3" s="100">
        <v>1</v>
      </c>
      <c r="AA3" s="100">
        <v>1</v>
      </c>
      <c r="AB3" s="100">
        <v>1</v>
      </c>
      <c r="AC3" s="100">
        <v>1</v>
      </c>
    </row>
    <row r="4" spans="1:29" ht="19.95" customHeight="1" x14ac:dyDescent="0.25">
      <c r="A4" s="88">
        <v>9340480878</v>
      </c>
      <c r="B4" s="12" t="s">
        <v>119</v>
      </c>
      <c r="C4" s="10" t="s">
        <v>442</v>
      </c>
      <c r="D4" s="12" t="s">
        <v>443</v>
      </c>
      <c r="E4" s="12" t="s">
        <v>438</v>
      </c>
      <c r="F4" s="12" t="s">
        <v>444</v>
      </c>
      <c r="G4" s="12" t="s">
        <v>440</v>
      </c>
      <c r="H4" s="12" t="s">
        <v>441</v>
      </c>
      <c r="I4" s="12" t="s">
        <v>118</v>
      </c>
      <c r="J4" s="12"/>
      <c r="K4" s="12"/>
      <c r="L4" s="12"/>
      <c r="M4" s="12"/>
      <c r="N4" s="12" t="s">
        <v>16</v>
      </c>
      <c r="O4" s="13" t="s">
        <v>434</v>
      </c>
      <c r="P4" s="38" t="s">
        <v>21</v>
      </c>
      <c r="Q4" s="100">
        <v>1</v>
      </c>
      <c r="R4" s="99" t="s">
        <v>120</v>
      </c>
      <c r="S4" s="99" t="s">
        <v>120</v>
      </c>
      <c r="T4" s="100">
        <v>1</v>
      </c>
      <c r="U4" s="100">
        <v>1</v>
      </c>
      <c r="V4" s="100">
        <v>1</v>
      </c>
      <c r="W4" s="100">
        <v>1</v>
      </c>
      <c r="X4" s="100">
        <v>1</v>
      </c>
      <c r="Y4" s="100">
        <v>1</v>
      </c>
      <c r="Z4" s="100">
        <v>1</v>
      </c>
      <c r="AA4" s="100">
        <v>1</v>
      </c>
      <c r="AB4" s="100">
        <v>1</v>
      </c>
      <c r="AC4" s="100">
        <v>1</v>
      </c>
    </row>
    <row r="5" spans="1:29" ht="19.95" customHeight="1" x14ac:dyDescent="0.25">
      <c r="A5" s="88">
        <v>9340480878</v>
      </c>
      <c r="B5" s="12" t="s">
        <v>119</v>
      </c>
      <c r="C5" s="10" t="s">
        <v>442</v>
      </c>
      <c r="D5" s="12" t="s">
        <v>443</v>
      </c>
      <c r="E5" s="12" t="s">
        <v>438</v>
      </c>
      <c r="F5" s="12" t="s">
        <v>444</v>
      </c>
      <c r="G5" s="12" t="s">
        <v>440</v>
      </c>
      <c r="H5" s="12" t="s">
        <v>441</v>
      </c>
      <c r="I5" s="12" t="s">
        <v>118</v>
      </c>
      <c r="J5" s="12"/>
      <c r="K5" s="12"/>
      <c r="L5" s="12"/>
      <c r="M5" s="12"/>
      <c r="N5" s="12" t="s">
        <v>16</v>
      </c>
      <c r="O5" s="13" t="s">
        <v>426</v>
      </c>
      <c r="P5" s="38" t="s">
        <v>21</v>
      </c>
      <c r="Q5" s="100">
        <v>1</v>
      </c>
      <c r="R5" s="99" t="s">
        <v>120</v>
      </c>
      <c r="S5" s="99" t="s">
        <v>120</v>
      </c>
      <c r="T5" s="100">
        <v>1</v>
      </c>
      <c r="U5" s="100">
        <v>1</v>
      </c>
      <c r="V5" s="100">
        <v>1</v>
      </c>
      <c r="W5" s="100">
        <v>1</v>
      </c>
      <c r="X5" s="100">
        <v>1</v>
      </c>
      <c r="Y5" s="100">
        <v>1</v>
      </c>
      <c r="Z5" s="100">
        <v>1</v>
      </c>
      <c r="AA5" s="100">
        <v>1</v>
      </c>
      <c r="AB5" s="100">
        <v>1</v>
      </c>
      <c r="AC5" s="100">
        <v>1</v>
      </c>
    </row>
    <row r="6" spans="1:29" ht="19.95" customHeight="1" x14ac:dyDescent="0.25">
      <c r="A6" s="88">
        <v>9340480878</v>
      </c>
      <c r="B6" s="12" t="s">
        <v>119</v>
      </c>
      <c r="C6" s="10" t="s">
        <v>442</v>
      </c>
      <c r="D6" s="12" t="s">
        <v>443</v>
      </c>
      <c r="E6" s="12" t="s">
        <v>438</v>
      </c>
      <c r="F6" s="12" t="s">
        <v>444</v>
      </c>
      <c r="G6" s="12" t="s">
        <v>440</v>
      </c>
      <c r="H6" s="12" t="s">
        <v>441</v>
      </c>
      <c r="I6" s="12" t="s">
        <v>118</v>
      </c>
      <c r="J6" s="12"/>
      <c r="K6" s="12"/>
      <c r="L6" s="12"/>
      <c r="M6" s="12"/>
      <c r="N6" s="12" t="s">
        <v>16</v>
      </c>
      <c r="O6" s="13" t="s">
        <v>427</v>
      </c>
      <c r="P6" s="38" t="s">
        <v>21</v>
      </c>
      <c r="Q6" s="100">
        <v>1</v>
      </c>
      <c r="R6" s="99" t="s">
        <v>120</v>
      </c>
      <c r="S6" s="99" t="s">
        <v>120</v>
      </c>
      <c r="T6" s="100">
        <v>1</v>
      </c>
      <c r="U6" s="100">
        <v>1</v>
      </c>
      <c r="V6" s="100">
        <v>1</v>
      </c>
      <c r="W6" s="100">
        <v>1</v>
      </c>
      <c r="X6" s="100">
        <v>1</v>
      </c>
      <c r="Y6" s="100">
        <v>1</v>
      </c>
      <c r="Z6" s="100">
        <v>1</v>
      </c>
      <c r="AA6" s="100">
        <v>1</v>
      </c>
      <c r="AB6" s="100">
        <v>1</v>
      </c>
      <c r="AC6" s="100">
        <v>1</v>
      </c>
    </row>
    <row r="7" spans="1:29" ht="19.95" customHeight="1" x14ac:dyDescent="0.25">
      <c r="A7" s="88">
        <v>9340480878</v>
      </c>
      <c r="B7" s="12" t="s">
        <v>119</v>
      </c>
      <c r="C7" s="10" t="s">
        <v>442</v>
      </c>
      <c r="D7" s="12" t="s">
        <v>443</v>
      </c>
      <c r="E7" s="12" t="s">
        <v>438</v>
      </c>
      <c r="F7" s="12" t="s">
        <v>444</v>
      </c>
      <c r="G7" s="12" t="s">
        <v>440</v>
      </c>
      <c r="H7" s="12" t="s">
        <v>441</v>
      </c>
      <c r="I7" s="12" t="s">
        <v>118</v>
      </c>
      <c r="J7" s="12"/>
      <c r="K7" s="12"/>
      <c r="L7" s="12"/>
      <c r="M7" s="12"/>
      <c r="N7" s="12" t="s">
        <v>16</v>
      </c>
      <c r="O7" s="13" t="s">
        <v>428</v>
      </c>
      <c r="P7" s="38" t="s">
        <v>21</v>
      </c>
      <c r="Q7" s="100">
        <v>1</v>
      </c>
      <c r="R7" s="99" t="s">
        <v>120</v>
      </c>
      <c r="S7" s="99" t="s">
        <v>120</v>
      </c>
      <c r="T7" s="100">
        <v>1</v>
      </c>
      <c r="U7" s="100">
        <v>1</v>
      </c>
      <c r="V7" s="100">
        <v>1</v>
      </c>
      <c r="W7" s="100">
        <v>1</v>
      </c>
      <c r="X7" s="100">
        <v>1</v>
      </c>
      <c r="Y7" s="100">
        <v>1</v>
      </c>
      <c r="Z7" s="100">
        <v>1</v>
      </c>
      <c r="AA7" s="100">
        <v>1</v>
      </c>
      <c r="AB7" s="100">
        <v>1</v>
      </c>
      <c r="AC7" s="100">
        <v>1</v>
      </c>
    </row>
    <row r="8" spans="1:29" ht="19.95" customHeight="1" x14ac:dyDescent="0.25">
      <c r="A8" s="88">
        <v>9340480878</v>
      </c>
      <c r="B8" s="12" t="s">
        <v>119</v>
      </c>
      <c r="C8" s="10" t="s">
        <v>442</v>
      </c>
      <c r="D8" s="12" t="s">
        <v>443</v>
      </c>
      <c r="E8" s="12" t="s">
        <v>438</v>
      </c>
      <c r="F8" s="12" t="s">
        <v>444</v>
      </c>
      <c r="G8" s="12" t="s">
        <v>440</v>
      </c>
      <c r="H8" s="12" t="s">
        <v>441</v>
      </c>
      <c r="I8" s="12" t="s">
        <v>118</v>
      </c>
      <c r="J8" s="12"/>
      <c r="K8" s="12"/>
      <c r="L8" s="12"/>
      <c r="M8" s="12"/>
      <c r="N8" s="12" t="s">
        <v>16</v>
      </c>
      <c r="O8" s="13" t="s">
        <v>429</v>
      </c>
      <c r="P8" s="38" t="s">
        <v>21</v>
      </c>
      <c r="Q8" s="100">
        <v>1</v>
      </c>
      <c r="R8" s="99" t="s">
        <v>120</v>
      </c>
      <c r="S8" s="99" t="s">
        <v>120</v>
      </c>
      <c r="T8" s="100">
        <v>1</v>
      </c>
      <c r="U8" s="100">
        <v>1</v>
      </c>
      <c r="V8" s="100">
        <v>1</v>
      </c>
      <c r="W8" s="100">
        <v>1</v>
      </c>
      <c r="X8" s="100">
        <v>1</v>
      </c>
      <c r="Y8" s="100">
        <v>1</v>
      </c>
      <c r="Z8" s="100">
        <v>1</v>
      </c>
      <c r="AA8" s="100">
        <v>1</v>
      </c>
      <c r="AB8" s="100">
        <v>1</v>
      </c>
      <c r="AC8" s="100">
        <v>1</v>
      </c>
    </row>
    <row r="9" spans="1:29" ht="19.95" customHeight="1" x14ac:dyDescent="0.25">
      <c r="A9" s="88">
        <v>9340480878</v>
      </c>
      <c r="B9" s="12" t="s">
        <v>119</v>
      </c>
      <c r="C9" s="10" t="s">
        <v>442</v>
      </c>
      <c r="D9" s="12" t="s">
        <v>443</v>
      </c>
      <c r="E9" s="12" t="s">
        <v>438</v>
      </c>
      <c r="F9" s="12" t="s">
        <v>444</v>
      </c>
      <c r="G9" s="12" t="s">
        <v>440</v>
      </c>
      <c r="H9" s="12" t="s">
        <v>441</v>
      </c>
      <c r="I9" s="12" t="s">
        <v>118</v>
      </c>
      <c r="J9" s="12"/>
      <c r="K9" s="12"/>
      <c r="L9" s="12"/>
      <c r="M9" s="12"/>
      <c r="N9" s="12" t="s">
        <v>16</v>
      </c>
      <c r="O9" s="13" t="s">
        <v>430</v>
      </c>
      <c r="P9" s="38" t="s">
        <v>21</v>
      </c>
      <c r="Q9" s="100">
        <v>1</v>
      </c>
      <c r="R9" s="99" t="s">
        <v>120</v>
      </c>
      <c r="S9" s="99" t="s">
        <v>120</v>
      </c>
      <c r="T9" s="100">
        <v>1</v>
      </c>
      <c r="U9" s="100">
        <v>1</v>
      </c>
      <c r="V9" s="100">
        <v>1</v>
      </c>
      <c r="W9" s="100">
        <v>1</v>
      </c>
      <c r="X9" s="100">
        <v>1</v>
      </c>
      <c r="Y9" s="100">
        <v>1</v>
      </c>
      <c r="Z9" s="100">
        <v>1</v>
      </c>
      <c r="AA9" s="100">
        <v>1</v>
      </c>
      <c r="AB9" s="100">
        <v>1</v>
      </c>
      <c r="AC9" s="100">
        <v>1</v>
      </c>
    </row>
    <row r="10" spans="1:29" ht="19.95" customHeight="1" x14ac:dyDescent="0.25">
      <c r="A10" s="88">
        <v>9340480878</v>
      </c>
      <c r="B10" s="12" t="s">
        <v>119</v>
      </c>
      <c r="C10" s="10" t="s">
        <v>442</v>
      </c>
      <c r="D10" s="12" t="s">
        <v>443</v>
      </c>
      <c r="E10" s="12" t="s">
        <v>438</v>
      </c>
      <c r="F10" s="12" t="s">
        <v>444</v>
      </c>
      <c r="G10" s="12" t="s">
        <v>440</v>
      </c>
      <c r="H10" s="12" t="s">
        <v>441</v>
      </c>
      <c r="I10" s="12" t="s">
        <v>118</v>
      </c>
      <c r="J10" s="12"/>
      <c r="K10" s="12"/>
      <c r="L10" s="12"/>
      <c r="M10" s="12"/>
      <c r="N10" s="12" t="s">
        <v>16</v>
      </c>
      <c r="O10" s="13" t="s">
        <v>431</v>
      </c>
      <c r="P10" s="38" t="s">
        <v>21</v>
      </c>
      <c r="Q10" s="100">
        <v>1</v>
      </c>
      <c r="R10" s="99" t="s">
        <v>120</v>
      </c>
      <c r="S10" s="99" t="s">
        <v>120</v>
      </c>
      <c r="T10" s="100">
        <v>0.25</v>
      </c>
      <c r="U10" s="100">
        <v>0.25</v>
      </c>
      <c r="V10" s="100">
        <v>0.25</v>
      </c>
      <c r="W10" s="100">
        <v>0.25</v>
      </c>
      <c r="X10" s="100">
        <v>0.25</v>
      </c>
      <c r="Y10" s="100">
        <v>0.25</v>
      </c>
      <c r="Z10" s="100">
        <v>0.25</v>
      </c>
      <c r="AA10" s="100">
        <v>0.25</v>
      </c>
      <c r="AB10" s="100">
        <v>0.25</v>
      </c>
      <c r="AC10" s="100">
        <v>0.25</v>
      </c>
    </row>
    <row r="11" spans="1:29" ht="19.95" customHeight="1" x14ac:dyDescent="0.25">
      <c r="A11" s="88">
        <v>9340480878</v>
      </c>
      <c r="B11" s="12" t="s">
        <v>119</v>
      </c>
      <c r="C11" s="10" t="s">
        <v>442</v>
      </c>
      <c r="D11" s="12" t="s">
        <v>443</v>
      </c>
      <c r="E11" s="12" t="s">
        <v>438</v>
      </c>
      <c r="F11" s="12" t="s">
        <v>444</v>
      </c>
      <c r="G11" s="12" t="s">
        <v>440</v>
      </c>
      <c r="H11" s="12" t="s">
        <v>441</v>
      </c>
      <c r="I11" s="12" t="s">
        <v>118</v>
      </c>
      <c r="J11" s="12"/>
      <c r="K11" s="12"/>
      <c r="L11" s="12"/>
      <c r="M11" s="12"/>
      <c r="N11" s="12" t="s">
        <v>16</v>
      </c>
      <c r="O11" s="13" t="s">
        <v>432</v>
      </c>
      <c r="P11" s="38" t="s">
        <v>18</v>
      </c>
      <c r="Q11" s="99">
        <v>10</v>
      </c>
      <c r="R11" s="99" t="s">
        <v>120</v>
      </c>
      <c r="S11" s="99" t="s">
        <v>120</v>
      </c>
      <c r="T11" s="99">
        <v>1</v>
      </c>
      <c r="U11" s="99">
        <v>1</v>
      </c>
      <c r="V11" s="99">
        <v>1</v>
      </c>
      <c r="W11" s="99">
        <v>1</v>
      </c>
      <c r="X11" s="99">
        <v>1</v>
      </c>
      <c r="Y11" s="99">
        <v>1</v>
      </c>
      <c r="Z11" s="99">
        <v>1</v>
      </c>
      <c r="AA11" s="99">
        <v>1</v>
      </c>
      <c r="AB11" s="99">
        <v>1</v>
      </c>
      <c r="AC11" s="99">
        <v>1</v>
      </c>
    </row>
    <row r="12" spans="1:29" ht="19.95" customHeight="1" x14ac:dyDescent="0.25">
      <c r="A12" s="88">
        <v>9340480878</v>
      </c>
      <c r="B12" s="12" t="s">
        <v>119</v>
      </c>
      <c r="C12" s="10" t="s">
        <v>442</v>
      </c>
      <c r="D12" s="12" t="s">
        <v>443</v>
      </c>
      <c r="E12" s="12" t="s">
        <v>438</v>
      </c>
      <c r="F12" s="12" t="s">
        <v>444</v>
      </c>
      <c r="G12" s="12" t="s">
        <v>440</v>
      </c>
      <c r="H12" s="12" t="s">
        <v>441</v>
      </c>
      <c r="I12" s="12" t="s">
        <v>118</v>
      </c>
      <c r="J12" s="12"/>
      <c r="K12" s="12"/>
      <c r="L12" s="12"/>
      <c r="M12" s="12"/>
      <c r="N12" s="12" t="s">
        <v>16</v>
      </c>
      <c r="O12" s="13" t="s">
        <v>433</v>
      </c>
      <c r="P12" s="38" t="s">
        <v>21</v>
      </c>
      <c r="Q12" s="100">
        <v>1</v>
      </c>
      <c r="R12" s="99" t="s">
        <v>120</v>
      </c>
      <c r="S12" s="99" t="s">
        <v>120</v>
      </c>
      <c r="T12" s="100">
        <v>1</v>
      </c>
      <c r="U12" s="100">
        <v>1</v>
      </c>
      <c r="V12" s="100">
        <v>1</v>
      </c>
      <c r="W12" s="100">
        <v>1</v>
      </c>
      <c r="X12" s="100">
        <v>1</v>
      </c>
      <c r="Y12" s="100">
        <v>1</v>
      </c>
      <c r="Z12" s="100">
        <v>1</v>
      </c>
      <c r="AA12" s="100">
        <v>1</v>
      </c>
      <c r="AB12" s="100">
        <v>1</v>
      </c>
      <c r="AC12" s="100">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75193-1F3D-44C3-9A58-3C2AED928CD6}">
  <dimension ref="A1:AC12"/>
  <sheetViews>
    <sheetView topLeftCell="H1" workbookViewId="0">
      <selection activeCell="O1" sqref="O1:AC1"/>
    </sheetView>
  </sheetViews>
  <sheetFormatPr defaultColWidth="9.6640625" defaultRowHeight="15.6" x14ac:dyDescent="0.25"/>
  <cols>
    <col min="1" max="1" width="12.109375" style="7" bestFit="1" customWidth="1"/>
    <col min="2" max="2" width="16.44140625" style="7" bestFit="1" customWidth="1"/>
    <col min="3" max="3" width="25.77734375" style="7" bestFit="1" customWidth="1"/>
    <col min="4" max="4" width="9.109375" style="7" bestFit="1" customWidth="1"/>
    <col min="5" max="5" width="21.6640625" style="7" bestFit="1" customWidth="1"/>
    <col min="6" max="6" width="9" style="7" bestFit="1" customWidth="1"/>
    <col min="7" max="7" width="17.5546875" style="7" bestFit="1" customWidth="1"/>
    <col min="8" max="8" width="8.88671875" style="8" bestFit="1" customWidth="1"/>
    <col min="9" max="9" width="16.44140625" style="8" bestFit="1" customWidth="1"/>
    <col min="10" max="10" width="11.44140625" style="8" bestFit="1" customWidth="1"/>
    <col min="11" max="13" width="11.44140625" style="7" bestFit="1" customWidth="1"/>
    <col min="14" max="14" width="14.5546875" style="7" bestFit="1" customWidth="1"/>
    <col min="15" max="15" width="53.21875" style="7" customWidth="1"/>
    <col min="16" max="16" width="9.6640625" style="7"/>
    <col min="17" max="17" width="12.109375" style="7" bestFit="1" customWidth="1"/>
    <col min="18" max="18" width="9.88671875" style="7" bestFit="1" customWidth="1"/>
    <col min="19" max="19" width="13.5546875" style="7" bestFit="1" customWidth="1"/>
    <col min="20" max="29" width="10.5546875" style="7" bestFit="1" customWidth="1"/>
    <col min="30" max="16384" width="9.6640625" style="7"/>
  </cols>
  <sheetData>
    <row r="1" spans="1:29" s="9" customFormat="1" ht="27.6" x14ac:dyDescent="0.25">
      <c r="A1" s="35" t="s">
        <v>123</v>
      </c>
      <c r="B1" s="58" t="s">
        <v>1</v>
      </c>
      <c r="C1" s="35" t="s">
        <v>2</v>
      </c>
      <c r="D1" s="58" t="s">
        <v>3</v>
      </c>
      <c r="E1" s="35" t="s">
        <v>4</v>
      </c>
      <c r="F1" s="35" t="s">
        <v>5</v>
      </c>
      <c r="G1" s="35" t="s">
        <v>6</v>
      </c>
      <c r="H1" s="35" t="s">
        <v>7</v>
      </c>
      <c r="I1" s="58" t="s">
        <v>8</v>
      </c>
      <c r="J1" s="35" t="s">
        <v>9</v>
      </c>
      <c r="K1" s="35" t="s">
        <v>10</v>
      </c>
      <c r="L1" s="35" t="s">
        <v>126</v>
      </c>
      <c r="M1" s="35" t="s">
        <v>127</v>
      </c>
      <c r="N1" s="35"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88">
        <v>7447029874</v>
      </c>
      <c r="B2" s="12" t="s">
        <v>465</v>
      </c>
      <c r="C2" s="10" t="s">
        <v>464</v>
      </c>
      <c r="D2" s="12" t="s">
        <v>466</v>
      </c>
      <c r="E2" s="12" t="s">
        <v>450</v>
      </c>
      <c r="F2" s="12" t="s">
        <v>444</v>
      </c>
      <c r="G2" s="12" t="s">
        <v>440</v>
      </c>
      <c r="H2" s="12" t="s">
        <v>443</v>
      </c>
      <c r="I2" s="12" t="s">
        <v>119</v>
      </c>
      <c r="J2" s="12" t="s">
        <v>441</v>
      </c>
      <c r="K2" s="12"/>
      <c r="L2" s="12"/>
      <c r="M2" s="12"/>
      <c r="N2" s="12" t="s">
        <v>16</v>
      </c>
      <c r="O2" s="13" t="s">
        <v>424</v>
      </c>
      <c r="P2" s="13" t="s">
        <v>20</v>
      </c>
      <c r="Q2" s="99">
        <v>15500000</v>
      </c>
      <c r="R2" s="99">
        <v>900000</v>
      </c>
      <c r="S2" s="99">
        <v>1000000</v>
      </c>
      <c r="T2" s="99">
        <v>1000000</v>
      </c>
      <c r="U2" s="99">
        <v>1200000</v>
      </c>
      <c r="V2" s="99">
        <v>1200000</v>
      </c>
      <c r="W2" s="99">
        <v>1200000</v>
      </c>
      <c r="X2" s="99">
        <v>1500000</v>
      </c>
      <c r="Y2" s="99">
        <v>1500000</v>
      </c>
      <c r="Z2" s="99">
        <v>1500000</v>
      </c>
      <c r="AA2" s="99">
        <v>1500000</v>
      </c>
      <c r="AB2" s="99">
        <v>1500000</v>
      </c>
      <c r="AC2" s="99">
        <v>1500000</v>
      </c>
    </row>
    <row r="3" spans="1:29" ht="19.95" customHeight="1" x14ac:dyDescent="0.25">
      <c r="A3" s="88">
        <v>7447029874</v>
      </c>
      <c r="B3" s="12" t="s">
        <v>465</v>
      </c>
      <c r="C3" s="10" t="s">
        <v>464</v>
      </c>
      <c r="D3" s="12" t="s">
        <v>466</v>
      </c>
      <c r="E3" s="12" t="s">
        <v>450</v>
      </c>
      <c r="F3" s="12" t="s">
        <v>444</v>
      </c>
      <c r="G3" s="12" t="s">
        <v>440</v>
      </c>
      <c r="H3" s="12" t="s">
        <v>443</v>
      </c>
      <c r="I3" s="12" t="s">
        <v>119</v>
      </c>
      <c r="J3" s="12" t="s">
        <v>441</v>
      </c>
      <c r="K3" s="12"/>
      <c r="L3" s="12"/>
      <c r="M3" s="12"/>
      <c r="N3" s="12" t="s">
        <v>16</v>
      </c>
      <c r="O3" s="13" t="s">
        <v>425</v>
      </c>
      <c r="P3" s="13" t="s">
        <v>21</v>
      </c>
      <c r="Q3" s="100">
        <v>1</v>
      </c>
      <c r="R3" s="100">
        <v>1</v>
      </c>
      <c r="S3" s="100">
        <v>1</v>
      </c>
      <c r="T3" s="100">
        <v>1</v>
      </c>
      <c r="U3" s="100">
        <v>1</v>
      </c>
      <c r="V3" s="100">
        <v>1</v>
      </c>
      <c r="W3" s="100">
        <v>1</v>
      </c>
      <c r="X3" s="100">
        <v>1</v>
      </c>
      <c r="Y3" s="100">
        <v>1</v>
      </c>
      <c r="Z3" s="100">
        <v>1</v>
      </c>
      <c r="AA3" s="100">
        <v>1</v>
      </c>
      <c r="AB3" s="100">
        <v>1</v>
      </c>
      <c r="AC3" s="100">
        <v>1</v>
      </c>
    </row>
    <row r="4" spans="1:29" ht="19.95" customHeight="1" x14ac:dyDescent="0.25">
      <c r="A4" s="88">
        <v>7447029874</v>
      </c>
      <c r="B4" s="12" t="s">
        <v>465</v>
      </c>
      <c r="C4" s="10" t="s">
        <v>464</v>
      </c>
      <c r="D4" s="12" t="s">
        <v>466</v>
      </c>
      <c r="E4" s="12" t="s">
        <v>450</v>
      </c>
      <c r="F4" s="12" t="s">
        <v>444</v>
      </c>
      <c r="G4" s="12" t="s">
        <v>440</v>
      </c>
      <c r="H4" s="12" t="s">
        <v>443</v>
      </c>
      <c r="I4" s="12" t="s">
        <v>119</v>
      </c>
      <c r="J4" s="12" t="s">
        <v>441</v>
      </c>
      <c r="K4" s="12"/>
      <c r="L4" s="12"/>
      <c r="M4" s="12"/>
      <c r="N4" s="12" t="s">
        <v>16</v>
      </c>
      <c r="O4" s="13" t="s">
        <v>434</v>
      </c>
      <c r="P4" s="13" t="s">
        <v>21</v>
      </c>
      <c r="Q4" s="100" t="s">
        <v>120</v>
      </c>
      <c r="R4" s="100" t="s">
        <v>120</v>
      </c>
      <c r="S4" s="100" t="s">
        <v>120</v>
      </c>
      <c r="T4" s="100" t="s">
        <v>120</v>
      </c>
      <c r="U4" s="100" t="s">
        <v>120</v>
      </c>
      <c r="V4" s="100" t="s">
        <v>120</v>
      </c>
      <c r="W4" s="100" t="s">
        <v>120</v>
      </c>
      <c r="X4" s="100" t="s">
        <v>120</v>
      </c>
      <c r="Y4" s="100" t="s">
        <v>120</v>
      </c>
      <c r="Z4" s="100" t="s">
        <v>120</v>
      </c>
      <c r="AA4" s="100" t="s">
        <v>120</v>
      </c>
      <c r="AB4" s="100" t="s">
        <v>120</v>
      </c>
      <c r="AC4" s="100" t="s">
        <v>120</v>
      </c>
    </row>
    <row r="5" spans="1:29" ht="19.95" customHeight="1" x14ac:dyDescent="0.25">
      <c r="A5" s="88">
        <v>7447029874</v>
      </c>
      <c r="B5" s="12" t="s">
        <v>465</v>
      </c>
      <c r="C5" s="10" t="s">
        <v>464</v>
      </c>
      <c r="D5" s="12" t="s">
        <v>466</v>
      </c>
      <c r="E5" s="12" t="s">
        <v>450</v>
      </c>
      <c r="F5" s="12" t="s">
        <v>444</v>
      </c>
      <c r="G5" s="12" t="s">
        <v>440</v>
      </c>
      <c r="H5" s="12" t="s">
        <v>443</v>
      </c>
      <c r="I5" s="12" t="s">
        <v>119</v>
      </c>
      <c r="J5" s="12" t="s">
        <v>441</v>
      </c>
      <c r="K5" s="12"/>
      <c r="L5" s="12"/>
      <c r="M5" s="12"/>
      <c r="N5" s="12" t="s">
        <v>16</v>
      </c>
      <c r="O5" s="13" t="s">
        <v>426</v>
      </c>
      <c r="P5" s="13" t="s">
        <v>21</v>
      </c>
      <c r="Q5" s="100" t="s">
        <v>120</v>
      </c>
      <c r="R5" s="100" t="s">
        <v>120</v>
      </c>
      <c r="S5" s="100" t="s">
        <v>120</v>
      </c>
      <c r="T5" s="100" t="s">
        <v>120</v>
      </c>
      <c r="U5" s="100" t="s">
        <v>120</v>
      </c>
      <c r="V5" s="100" t="s">
        <v>120</v>
      </c>
      <c r="W5" s="100" t="s">
        <v>120</v>
      </c>
      <c r="X5" s="100" t="s">
        <v>120</v>
      </c>
      <c r="Y5" s="100" t="s">
        <v>120</v>
      </c>
      <c r="Z5" s="100" t="s">
        <v>120</v>
      </c>
      <c r="AA5" s="100" t="s">
        <v>120</v>
      </c>
      <c r="AB5" s="100" t="s">
        <v>120</v>
      </c>
      <c r="AC5" s="100" t="s">
        <v>120</v>
      </c>
    </row>
    <row r="6" spans="1:29" ht="19.95" customHeight="1" x14ac:dyDescent="0.25">
      <c r="A6" s="88">
        <v>7447029874</v>
      </c>
      <c r="B6" s="12" t="s">
        <v>465</v>
      </c>
      <c r="C6" s="10" t="s">
        <v>464</v>
      </c>
      <c r="D6" s="12" t="s">
        <v>466</v>
      </c>
      <c r="E6" s="12" t="s">
        <v>450</v>
      </c>
      <c r="F6" s="12" t="s">
        <v>444</v>
      </c>
      <c r="G6" s="12" t="s">
        <v>440</v>
      </c>
      <c r="H6" s="12" t="s">
        <v>443</v>
      </c>
      <c r="I6" s="12" t="s">
        <v>119</v>
      </c>
      <c r="J6" s="12" t="s">
        <v>441</v>
      </c>
      <c r="K6" s="12"/>
      <c r="L6" s="12"/>
      <c r="M6" s="12"/>
      <c r="N6" s="12" t="s">
        <v>16</v>
      </c>
      <c r="O6" s="13" t="s">
        <v>427</v>
      </c>
      <c r="P6" s="13" t="s">
        <v>21</v>
      </c>
      <c r="Q6" s="100" t="s">
        <v>120</v>
      </c>
      <c r="R6" s="100" t="s">
        <v>120</v>
      </c>
      <c r="S6" s="100" t="s">
        <v>120</v>
      </c>
      <c r="T6" s="100" t="s">
        <v>120</v>
      </c>
      <c r="U6" s="100" t="s">
        <v>120</v>
      </c>
      <c r="V6" s="100" t="s">
        <v>120</v>
      </c>
      <c r="W6" s="100" t="s">
        <v>120</v>
      </c>
      <c r="X6" s="100" t="s">
        <v>120</v>
      </c>
      <c r="Y6" s="100" t="s">
        <v>120</v>
      </c>
      <c r="Z6" s="100" t="s">
        <v>120</v>
      </c>
      <c r="AA6" s="100" t="s">
        <v>120</v>
      </c>
      <c r="AB6" s="100" t="s">
        <v>120</v>
      </c>
      <c r="AC6" s="100" t="s">
        <v>120</v>
      </c>
    </row>
    <row r="7" spans="1:29" ht="19.95" customHeight="1" x14ac:dyDescent="0.25">
      <c r="A7" s="88">
        <v>7447029874</v>
      </c>
      <c r="B7" s="12" t="s">
        <v>465</v>
      </c>
      <c r="C7" s="10" t="s">
        <v>464</v>
      </c>
      <c r="D7" s="12" t="s">
        <v>466</v>
      </c>
      <c r="E7" s="12" t="s">
        <v>450</v>
      </c>
      <c r="F7" s="12" t="s">
        <v>444</v>
      </c>
      <c r="G7" s="12" t="s">
        <v>440</v>
      </c>
      <c r="H7" s="12" t="s">
        <v>443</v>
      </c>
      <c r="I7" s="12" t="s">
        <v>119</v>
      </c>
      <c r="J7" s="12" t="s">
        <v>441</v>
      </c>
      <c r="K7" s="12"/>
      <c r="L7" s="12"/>
      <c r="M7" s="12"/>
      <c r="N7" s="12" t="s">
        <v>16</v>
      </c>
      <c r="O7" s="13" t="s">
        <v>428</v>
      </c>
      <c r="P7" s="13" t="s">
        <v>21</v>
      </c>
      <c r="Q7" s="100" t="s">
        <v>120</v>
      </c>
      <c r="R7" s="100" t="s">
        <v>120</v>
      </c>
      <c r="S7" s="100" t="s">
        <v>120</v>
      </c>
      <c r="T7" s="100" t="s">
        <v>120</v>
      </c>
      <c r="U7" s="100" t="s">
        <v>120</v>
      </c>
      <c r="V7" s="100" t="s">
        <v>120</v>
      </c>
      <c r="W7" s="100" t="s">
        <v>120</v>
      </c>
      <c r="X7" s="100" t="s">
        <v>120</v>
      </c>
      <c r="Y7" s="100" t="s">
        <v>120</v>
      </c>
      <c r="Z7" s="100" t="s">
        <v>120</v>
      </c>
      <c r="AA7" s="100" t="s">
        <v>120</v>
      </c>
      <c r="AB7" s="100" t="s">
        <v>120</v>
      </c>
      <c r="AC7" s="100" t="s">
        <v>120</v>
      </c>
    </row>
    <row r="8" spans="1:29" ht="19.95" customHeight="1" x14ac:dyDescent="0.25">
      <c r="A8" s="88">
        <v>7447029874</v>
      </c>
      <c r="B8" s="12" t="s">
        <v>465</v>
      </c>
      <c r="C8" s="10" t="s">
        <v>464</v>
      </c>
      <c r="D8" s="12" t="s">
        <v>466</v>
      </c>
      <c r="E8" s="12" t="s">
        <v>450</v>
      </c>
      <c r="F8" s="12" t="s">
        <v>444</v>
      </c>
      <c r="G8" s="12" t="s">
        <v>440</v>
      </c>
      <c r="H8" s="12" t="s">
        <v>443</v>
      </c>
      <c r="I8" s="12" t="s">
        <v>119</v>
      </c>
      <c r="J8" s="12" t="s">
        <v>441</v>
      </c>
      <c r="K8" s="12"/>
      <c r="L8" s="12"/>
      <c r="M8" s="12"/>
      <c r="N8" s="12" t="s">
        <v>16</v>
      </c>
      <c r="O8" s="13" t="s">
        <v>429</v>
      </c>
      <c r="P8" s="13" t="s">
        <v>21</v>
      </c>
      <c r="Q8" s="100" t="s">
        <v>120</v>
      </c>
      <c r="R8" s="100" t="s">
        <v>120</v>
      </c>
      <c r="S8" s="100" t="s">
        <v>120</v>
      </c>
      <c r="T8" s="100" t="s">
        <v>120</v>
      </c>
      <c r="U8" s="100" t="s">
        <v>120</v>
      </c>
      <c r="V8" s="100" t="s">
        <v>120</v>
      </c>
      <c r="W8" s="100" t="s">
        <v>120</v>
      </c>
      <c r="X8" s="100" t="s">
        <v>120</v>
      </c>
      <c r="Y8" s="100" t="s">
        <v>120</v>
      </c>
      <c r="Z8" s="100" t="s">
        <v>120</v>
      </c>
      <c r="AA8" s="100" t="s">
        <v>120</v>
      </c>
      <c r="AB8" s="100" t="s">
        <v>120</v>
      </c>
      <c r="AC8" s="100" t="s">
        <v>120</v>
      </c>
    </row>
    <row r="9" spans="1:29" ht="19.95" customHeight="1" x14ac:dyDescent="0.25">
      <c r="A9" s="88">
        <v>7447029874</v>
      </c>
      <c r="B9" s="12" t="s">
        <v>465</v>
      </c>
      <c r="C9" s="10" t="s">
        <v>464</v>
      </c>
      <c r="D9" s="12" t="s">
        <v>466</v>
      </c>
      <c r="E9" s="12" t="s">
        <v>450</v>
      </c>
      <c r="F9" s="12" t="s">
        <v>444</v>
      </c>
      <c r="G9" s="12" t="s">
        <v>440</v>
      </c>
      <c r="H9" s="12" t="s">
        <v>443</v>
      </c>
      <c r="I9" s="12" t="s">
        <v>119</v>
      </c>
      <c r="J9" s="12" t="s">
        <v>441</v>
      </c>
      <c r="K9" s="12"/>
      <c r="L9" s="12"/>
      <c r="M9" s="12"/>
      <c r="N9" s="12" t="s">
        <v>16</v>
      </c>
      <c r="O9" s="13" t="s">
        <v>430</v>
      </c>
      <c r="P9" s="13" t="s">
        <v>21</v>
      </c>
      <c r="Q9" s="100" t="s">
        <v>120</v>
      </c>
      <c r="R9" s="100" t="s">
        <v>120</v>
      </c>
      <c r="S9" s="100" t="s">
        <v>120</v>
      </c>
      <c r="T9" s="100" t="s">
        <v>120</v>
      </c>
      <c r="U9" s="100" t="s">
        <v>120</v>
      </c>
      <c r="V9" s="100" t="s">
        <v>120</v>
      </c>
      <c r="W9" s="100" t="s">
        <v>120</v>
      </c>
      <c r="X9" s="100" t="s">
        <v>120</v>
      </c>
      <c r="Y9" s="100" t="s">
        <v>120</v>
      </c>
      <c r="Z9" s="100" t="s">
        <v>120</v>
      </c>
      <c r="AA9" s="100" t="s">
        <v>120</v>
      </c>
      <c r="AB9" s="100" t="s">
        <v>120</v>
      </c>
      <c r="AC9" s="100" t="s">
        <v>120</v>
      </c>
    </row>
    <row r="10" spans="1:29" ht="19.95" customHeight="1" x14ac:dyDescent="0.25">
      <c r="A10" s="88">
        <v>7447029874</v>
      </c>
      <c r="B10" s="12" t="s">
        <v>465</v>
      </c>
      <c r="C10" s="10" t="s">
        <v>464</v>
      </c>
      <c r="D10" s="12" t="s">
        <v>466</v>
      </c>
      <c r="E10" s="12" t="s">
        <v>450</v>
      </c>
      <c r="F10" s="12" t="s">
        <v>444</v>
      </c>
      <c r="G10" s="12" t="s">
        <v>440</v>
      </c>
      <c r="H10" s="12" t="s">
        <v>443</v>
      </c>
      <c r="I10" s="12" t="s">
        <v>119</v>
      </c>
      <c r="J10" s="12" t="s">
        <v>441</v>
      </c>
      <c r="K10" s="12"/>
      <c r="L10" s="12"/>
      <c r="M10" s="12"/>
      <c r="N10" s="12" t="s">
        <v>16</v>
      </c>
      <c r="O10" s="13" t="s">
        <v>431</v>
      </c>
      <c r="P10" s="13" t="s">
        <v>21</v>
      </c>
      <c r="Q10" s="100" t="s">
        <v>120</v>
      </c>
      <c r="R10" s="100" t="s">
        <v>120</v>
      </c>
      <c r="S10" s="100" t="s">
        <v>120</v>
      </c>
      <c r="T10" s="100" t="s">
        <v>120</v>
      </c>
      <c r="U10" s="100" t="s">
        <v>120</v>
      </c>
      <c r="V10" s="100" t="s">
        <v>120</v>
      </c>
      <c r="W10" s="100" t="s">
        <v>120</v>
      </c>
      <c r="X10" s="100" t="s">
        <v>120</v>
      </c>
      <c r="Y10" s="100" t="s">
        <v>120</v>
      </c>
      <c r="Z10" s="100" t="s">
        <v>120</v>
      </c>
      <c r="AA10" s="100" t="s">
        <v>120</v>
      </c>
      <c r="AB10" s="100" t="s">
        <v>120</v>
      </c>
      <c r="AC10" s="100" t="s">
        <v>120</v>
      </c>
    </row>
    <row r="11" spans="1:29" ht="19.95" customHeight="1" x14ac:dyDescent="0.25">
      <c r="A11" s="88">
        <v>7447029874</v>
      </c>
      <c r="B11" s="12" t="s">
        <v>465</v>
      </c>
      <c r="C11" s="10" t="s">
        <v>464</v>
      </c>
      <c r="D11" s="12" t="s">
        <v>466</v>
      </c>
      <c r="E11" s="12" t="s">
        <v>450</v>
      </c>
      <c r="F11" s="12" t="s">
        <v>444</v>
      </c>
      <c r="G11" s="12" t="s">
        <v>440</v>
      </c>
      <c r="H11" s="12" t="s">
        <v>443</v>
      </c>
      <c r="I11" s="12" t="s">
        <v>119</v>
      </c>
      <c r="J11" s="12" t="s">
        <v>441</v>
      </c>
      <c r="K11" s="12"/>
      <c r="L11" s="12"/>
      <c r="M11" s="12"/>
      <c r="N11" s="12" t="s">
        <v>16</v>
      </c>
      <c r="O11" s="13" t="s">
        <v>432</v>
      </c>
      <c r="P11" s="13" t="s">
        <v>18</v>
      </c>
      <c r="Q11" s="100" t="s">
        <v>120</v>
      </c>
      <c r="R11" s="100" t="s">
        <v>120</v>
      </c>
      <c r="S11" s="100" t="s">
        <v>120</v>
      </c>
      <c r="T11" s="100" t="s">
        <v>120</v>
      </c>
      <c r="U11" s="100" t="s">
        <v>120</v>
      </c>
      <c r="V11" s="100" t="s">
        <v>120</v>
      </c>
      <c r="W11" s="100" t="s">
        <v>120</v>
      </c>
      <c r="X11" s="100" t="s">
        <v>120</v>
      </c>
      <c r="Y11" s="100" t="s">
        <v>120</v>
      </c>
      <c r="Z11" s="100" t="s">
        <v>120</v>
      </c>
      <c r="AA11" s="100" t="s">
        <v>120</v>
      </c>
      <c r="AB11" s="100" t="s">
        <v>120</v>
      </c>
      <c r="AC11" s="100" t="s">
        <v>120</v>
      </c>
    </row>
    <row r="12" spans="1:29" ht="19.95" customHeight="1" x14ac:dyDescent="0.25">
      <c r="A12" s="88">
        <v>7447029874</v>
      </c>
      <c r="B12" s="12" t="s">
        <v>465</v>
      </c>
      <c r="C12" s="10" t="s">
        <v>464</v>
      </c>
      <c r="D12" s="12" t="s">
        <v>466</v>
      </c>
      <c r="E12" s="12" t="s">
        <v>450</v>
      </c>
      <c r="F12" s="12" t="s">
        <v>444</v>
      </c>
      <c r="G12" s="12" t="s">
        <v>440</v>
      </c>
      <c r="H12" s="12" t="s">
        <v>443</v>
      </c>
      <c r="I12" s="12" t="s">
        <v>119</v>
      </c>
      <c r="J12" s="12" t="s">
        <v>441</v>
      </c>
      <c r="K12" s="12"/>
      <c r="L12" s="12"/>
      <c r="M12" s="12"/>
      <c r="N12" s="12" t="s">
        <v>16</v>
      </c>
      <c r="O12" s="13" t="s">
        <v>433</v>
      </c>
      <c r="P12" s="13" t="s">
        <v>21</v>
      </c>
      <c r="Q12" s="100" t="s">
        <v>120</v>
      </c>
      <c r="R12" s="100" t="s">
        <v>120</v>
      </c>
      <c r="S12" s="100" t="s">
        <v>120</v>
      </c>
      <c r="T12" s="100" t="s">
        <v>120</v>
      </c>
      <c r="U12" s="100" t="s">
        <v>120</v>
      </c>
      <c r="V12" s="100" t="s">
        <v>120</v>
      </c>
      <c r="W12" s="100" t="s">
        <v>120</v>
      </c>
      <c r="X12" s="100" t="s">
        <v>120</v>
      </c>
      <c r="Y12" s="100" t="s">
        <v>120</v>
      </c>
      <c r="Z12" s="100" t="s">
        <v>120</v>
      </c>
      <c r="AA12" s="100" t="s">
        <v>120</v>
      </c>
      <c r="AB12" s="100" t="s">
        <v>120</v>
      </c>
      <c r="AC12" s="100" t="s">
        <v>120</v>
      </c>
    </row>
  </sheetData>
  <hyperlinks>
    <hyperlink ref="C2" r:id="rId1" xr:uid="{F291BFD3-82CA-41E1-9EDB-589C55FA4174}"/>
    <hyperlink ref="C3" r:id="rId2" xr:uid="{878232E9-A5AD-4B69-8EF2-520718B7B2DB}"/>
    <hyperlink ref="C4" r:id="rId3" xr:uid="{91D45394-59A9-4150-AF92-58F82EA7E635}"/>
    <hyperlink ref="C5" r:id="rId4" xr:uid="{67225A96-C8B1-4796-9B01-CAA80A6E6A54}"/>
    <hyperlink ref="C6" r:id="rId5" xr:uid="{57658E79-894B-4F37-81A5-21CB19C01082}"/>
    <hyperlink ref="C7" r:id="rId6" xr:uid="{1351E790-33E7-408C-9581-8798EEE3F1E8}"/>
    <hyperlink ref="C8" r:id="rId7" xr:uid="{DF7C8301-DD34-4298-896B-755811556D2E}"/>
    <hyperlink ref="C9" r:id="rId8" xr:uid="{7C39D03C-404C-4394-9EE9-EC1F95804DFB}"/>
    <hyperlink ref="C10" r:id="rId9" xr:uid="{A09FC1EF-6A24-4C34-BAD7-BBCA533CC4EB}"/>
    <hyperlink ref="C11" r:id="rId10" xr:uid="{A9768C19-C89E-4748-BE5B-98168EA301AF}"/>
    <hyperlink ref="C12" r:id="rId11" xr:uid="{2A7B224F-7CC4-4D73-BB93-BBC8066B43E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49CC8-42A7-48C0-ADBF-432006CBB35F}">
  <dimension ref="A1:AC12"/>
  <sheetViews>
    <sheetView topLeftCell="Q1" workbookViewId="0">
      <selection sqref="A1:AC1"/>
    </sheetView>
  </sheetViews>
  <sheetFormatPr defaultColWidth="9.6640625" defaultRowHeight="15.6" x14ac:dyDescent="0.25"/>
  <cols>
    <col min="1" max="1" width="12.109375" style="7" bestFit="1" customWidth="1"/>
    <col min="2" max="2" width="10.88671875" style="7" bestFit="1" customWidth="1"/>
    <col min="3" max="3" width="21" style="7" bestFit="1" customWidth="1"/>
    <col min="4" max="4" width="9.109375" style="7" bestFit="1" customWidth="1"/>
    <col min="5" max="5" width="21.6640625" style="7" bestFit="1" customWidth="1"/>
    <col min="6" max="6" width="9" style="7" bestFit="1" customWidth="1"/>
    <col min="7" max="7" width="17.5546875" style="8" bestFit="1" customWidth="1"/>
    <col min="8" max="8" width="8.88671875" style="8" bestFit="1" customWidth="1"/>
    <col min="9" max="9" width="16.44140625" style="8" bestFit="1" customWidth="1"/>
    <col min="10" max="13" width="11.44140625" style="7" bestFit="1" customWidth="1"/>
    <col min="14" max="14" width="14.5546875" style="7" bestFit="1" customWidth="1"/>
    <col min="15" max="15" width="51.33203125" style="7" customWidth="1"/>
    <col min="16" max="16" width="9.6640625" style="7"/>
    <col min="17" max="29" width="13.21875" style="7" customWidth="1"/>
    <col min="30" max="16384" width="9.6640625" style="7"/>
  </cols>
  <sheetData>
    <row r="1" spans="1:29" s="9" customFormat="1" ht="27.6" x14ac:dyDescent="0.25">
      <c r="A1" s="35" t="s">
        <v>123</v>
      </c>
      <c r="B1" s="58" t="s">
        <v>1</v>
      </c>
      <c r="C1" s="35" t="s">
        <v>2</v>
      </c>
      <c r="D1" s="58" t="s">
        <v>3</v>
      </c>
      <c r="E1" s="35" t="s">
        <v>4</v>
      </c>
      <c r="F1" s="35" t="s">
        <v>5</v>
      </c>
      <c r="G1" s="35" t="s">
        <v>6</v>
      </c>
      <c r="H1" s="35" t="s">
        <v>7</v>
      </c>
      <c r="I1" s="58" t="s">
        <v>8</v>
      </c>
      <c r="J1" s="35" t="s">
        <v>9</v>
      </c>
      <c r="K1" s="35" t="s">
        <v>10</v>
      </c>
      <c r="L1" s="35" t="s">
        <v>126</v>
      </c>
      <c r="M1" s="35" t="s">
        <v>127</v>
      </c>
      <c r="N1" s="35"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88">
        <v>8103205828</v>
      </c>
      <c r="B2" s="12" t="s">
        <v>121</v>
      </c>
      <c r="C2" s="10" t="s">
        <v>469</v>
      </c>
      <c r="D2" s="12" t="s">
        <v>467</v>
      </c>
      <c r="E2" s="12" t="s">
        <v>450</v>
      </c>
      <c r="F2" s="12" t="s">
        <v>468</v>
      </c>
      <c r="G2" s="12" t="s">
        <v>440</v>
      </c>
      <c r="H2" s="12" t="s">
        <v>441</v>
      </c>
      <c r="I2" s="12" t="s">
        <v>118</v>
      </c>
      <c r="J2" s="12"/>
      <c r="K2" s="12"/>
      <c r="L2" s="12"/>
      <c r="M2" s="12"/>
      <c r="N2" s="12" t="s">
        <v>16</v>
      </c>
      <c r="O2" s="13" t="s">
        <v>424</v>
      </c>
      <c r="P2" s="13" t="s">
        <v>20</v>
      </c>
      <c r="Q2" s="99">
        <v>9200000</v>
      </c>
      <c r="R2" s="100" t="s">
        <v>120</v>
      </c>
      <c r="S2" s="100" t="s">
        <v>120</v>
      </c>
      <c r="T2" s="100" t="s">
        <v>120</v>
      </c>
      <c r="U2" s="99">
        <v>800000</v>
      </c>
      <c r="V2" s="99">
        <v>800000</v>
      </c>
      <c r="W2" s="99">
        <v>800000</v>
      </c>
      <c r="X2" s="99">
        <v>1000000</v>
      </c>
      <c r="Y2" s="99">
        <v>1100000</v>
      </c>
      <c r="Z2" s="99">
        <v>1100000</v>
      </c>
      <c r="AA2" s="99">
        <v>1200000</v>
      </c>
      <c r="AB2" s="99">
        <v>1200000</v>
      </c>
      <c r="AC2" s="99">
        <v>1200000</v>
      </c>
    </row>
    <row r="3" spans="1:29" ht="19.95" customHeight="1" x14ac:dyDescent="0.25">
      <c r="A3" s="88">
        <v>8103205828</v>
      </c>
      <c r="B3" s="12" t="s">
        <v>121</v>
      </c>
      <c r="C3" s="10" t="s">
        <v>469</v>
      </c>
      <c r="D3" s="12" t="s">
        <v>467</v>
      </c>
      <c r="E3" s="12" t="s">
        <v>450</v>
      </c>
      <c r="F3" s="12" t="s">
        <v>468</v>
      </c>
      <c r="G3" s="12" t="s">
        <v>440</v>
      </c>
      <c r="H3" s="12" t="s">
        <v>441</v>
      </c>
      <c r="I3" s="12" t="s">
        <v>118</v>
      </c>
      <c r="J3" s="12"/>
      <c r="K3" s="12"/>
      <c r="L3" s="12"/>
      <c r="M3" s="12"/>
      <c r="N3" s="12" t="s">
        <v>16</v>
      </c>
      <c r="O3" s="13" t="s">
        <v>425</v>
      </c>
      <c r="P3" s="13" t="s">
        <v>21</v>
      </c>
      <c r="Q3" s="100">
        <v>1</v>
      </c>
      <c r="R3" s="100">
        <v>1</v>
      </c>
      <c r="S3" s="100">
        <v>1</v>
      </c>
      <c r="T3" s="100">
        <v>1</v>
      </c>
      <c r="U3" s="100">
        <v>1</v>
      </c>
      <c r="V3" s="100">
        <v>1</v>
      </c>
      <c r="W3" s="100">
        <v>1</v>
      </c>
      <c r="X3" s="100">
        <v>1</v>
      </c>
      <c r="Y3" s="100">
        <v>1</v>
      </c>
      <c r="Z3" s="100">
        <v>1</v>
      </c>
      <c r="AA3" s="100">
        <v>1</v>
      </c>
      <c r="AB3" s="100">
        <v>1</v>
      </c>
      <c r="AC3" s="100">
        <v>1</v>
      </c>
    </row>
    <row r="4" spans="1:29" ht="19.95" customHeight="1" x14ac:dyDescent="0.25">
      <c r="A4" s="88">
        <v>8103205828</v>
      </c>
      <c r="B4" s="12" t="s">
        <v>121</v>
      </c>
      <c r="C4" s="10" t="s">
        <v>469</v>
      </c>
      <c r="D4" s="12" t="s">
        <v>467</v>
      </c>
      <c r="E4" s="12" t="s">
        <v>450</v>
      </c>
      <c r="F4" s="12" t="s">
        <v>468</v>
      </c>
      <c r="G4" s="12" t="s">
        <v>440</v>
      </c>
      <c r="H4" s="12" t="s">
        <v>441</v>
      </c>
      <c r="I4" s="12" t="s">
        <v>118</v>
      </c>
      <c r="J4" s="12"/>
      <c r="K4" s="12"/>
      <c r="L4" s="12"/>
      <c r="M4" s="12"/>
      <c r="N4" s="12" t="s">
        <v>16</v>
      </c>
      <c r="O4" s="13" t="s">
        <v>434</v>
      </c>
      <c r="P4" s="13" t="s">
        <v>21</v>
      </c>
      <c r="Q4" s="100">
        <v>1</v>
      </c>
      <c r="R4" s="100">
        <v>1</v>
      </c>
      <c r="S4" s="100">
        <v>1</v>
      </c>
      <c r="T4" s="100">
        <v>1</v>
      </c>
      <c r="U4" s="100">
        <v>1</v>
      </c>
      <c r="V4" s="100">
        <v>1</v>
      </c>
      <c r="W4" s="100">
        <v>1</v>
      </c>
      <c r="X4" s="100">
        <v>1</v>
      </c>
      <c r="Y4" s="100">
        <v>1</v>
      </c>
      <c r="Z4" s="100">
        <v>1</v>
      </c>
      <c r="AA4" s="100">
        <v>1</v>
      </c>
      <c r="AB4" s="100">
        <v>1</v>
      </c>
      <c r="AC4" s="100">
        <v>1</v>
      </c>
    </row>
    <row r="5" spans="1:29" ht="19.95" customHeight="1" x14ac:dyDescent="0.25">
      <c r="A5" s="88">
        <v>8103205828</v>
      </c>
      <c r="B5" s="12" t="s">
        <v>121</v>
      </c>
      <c r="C5" s="10" t="s">
        <v>469</v>
      </c>
      <c r="D5" s="12" t="s">
        <v>467</v>
      </c>
      <c r="E5" s="12" t="s">
        <v>450</v>
      </c>
      <c r="F5" s="12" t="s">
        <v>468</v>
      </c>
      <c r="G5" s="12" t="s">
        <v>440</v>
      </c>
      <c r="H5" s="12" t="s">
        <v>441</v>
      </c>
      <c r="I5" s="12" t="s">
        <v>118</v>
      </c>
      <c r="J5" s="12"/>
      <c r="K5" s="12"/>
      <c r="L5" s="12"/>
      <c r="M5" s="12"/>
      <c r="N5" s="12" t="s">
        <v>16</v>
      </c>
      <c r="O5" s="13" t="s">
        <v>426</v>
      </c>
      <c r="P5" s="13" t="s">
        <v>21</v>
      </c>
      <c r="Q5" s="100" t="s">
        <v>120</v>
      </c>
      <c r="R5" s="100" t="s">
        <v>120</v>
      </c>
      <c r="S5" s="100" t="s">
        <v>120</v>
      </c>
      <c r="T5" s="100" t="s">
        <v>120</v>
      </c>
      <c r="U5" s="100" t="s">
        <v>120</v>
      </c>
      <c r="V5" s="100" t="s">
        <v>120</v>
      </c>
      <c r="W5" s="100" t="s">
        <v>120</v>
      </c>
      <c r="X5" s="100" t="s">
        <v>120</v>
      </c>
      <c r="Y5" s="100" t="s">
        <v>120</v>
      </c>
      <c r="Z5" s="100" t="s">
        <v>120</v>
      </c>
      <c r="AA5" s="100" t="s">
        <v>120</v>
      </c>
      <c r="AB5" s="100" t="s">
        <v>120</v>
      </c>
      <c r="AC5" s="100" t="s">
        <v>120</v>
      </c>
    </row>
    <row r="6" spans="1:29" ht="19.95" customHeight="1" x14ac:dyDescent="0.25">
      <c r="A6" s="88">
        <v>8103205828</v>
      </c>
      <c r="B6" s="12" t="s">
        <v>121</v>
      </c>
      <c r="C6" s="10" t="s">
        <v>469</v>
      </c>
      <c r="D6" s="12" t="s">
        <v>467</v>
      </c>
      <c r="E6" s="12" t="s">
        <v>450</v>
      </c>
      <c r="F6" s="12" t="s">
        <v>468</v>
      </c>
      <c r="G6" s="12" t="s">
        <v>440</v>
      </c>
      <c r="H6" s="12" t="s">
        <v>441</v>
      </c>
      <c r="I6" s="12" t="s">
        <v>118</v>
      </c>
      <c r="J6" s="12"/>
      <c r="K6" s="12"/>
      <c r="L6" s="12"/>
      <c r="M6" s="12"/>
      <c r="N6" s="12" t="s">
        <v>16</v>
      </c>
      <c r="O6" s="13" t="s">
        <v>427</v>
      </c>
      <c r="P6" s="13" t="s">
        <v>21</v>
      </c>
      <c r="Q6" s="100" t="s">
        <v>120</v>
      </c>
      <c r="R6" s="100" t="s">
        <v>120</v>
      </c>
      <c r="S6" s="100" t="s">
        <v>120</v>
      </c>
      <c r="T6" s="100" t="s">
        <v>120</v>
      </c>
      <c r="U6" s="100" t="s">
        <v>120</v>
      </c>
      <c r="V6" s="100" t="s">
        <v>120</v>
      </c>
      <c r="W6" s="100" t="s">
        <v>120</v>
      </c>
      <c r="X6" s="100" t="s">
        <v>120</v>
      </c>
      <c r="Y6" s="100" t="s">
        <v>120</v>
      </c>
      <c r="Z6" s="100" t="s">
        <v>120</v>
      </c>
      <c r="AA6" s="100" t="s">
        <v>120</v>
      </c>
      <c r="AB6" s="100" t="s">
        <v>120</v>
      </c>
      <c r="AC6" s="100" t="s">
        <v>120</v>
      </c>
    </row>
    <row r="7" spans="1:29" ht="19.95" customHeight="1" x14ac:dyDescent="0.25">
      <c r="A7" s="88">
        <v>8103205828</v>
      </c>
      <c r="B7" s="12" t="s">
        <v>121</v>
      </c>
      <c r="C7" s="10" t="s">
        <v>469</v>
      </c>
      <c r="D7" s="12" t="s">
        <v>467</v>
      </c>
      <c r="E7" s="12" t="s">
        <v>450</v>
      </c>
      <c r="F7" s="12" t="s">
        <v>468</v>
      </c>
      <c r="G7" s="12" t="s">
        <v>440</v>
      </c>
      <c r="H7" s="12" t="s">
        <v>441</v>
      </c>
      <c r="I7" s="12" t="s">
        <v>118</v>
      </c>
      <c r="J7" s="12"/>
      <c r="K7" s="12"/>
      <c r="L7" s="12"/>
      <c r="M7" s="12"/>
      <c r="N7" s="12" t="s">
        <v>16</v>
      </c>
      <c r="O7" s="13" t="s">
        <v>428</v>
      </c>
      <c r="P7" s="13" t="s">
        <v>21</v>
      </c>
      <c r="Q7" s="100" t="s">
        <v>120</v>
      </c>
      <c r="R7" s="100" t="s">
        <v>120</v>
      </c>
      <c r="S7" s="100" t="s">
        <v>120</v>
      </c>
      <c r="T7" s="100" t="s">
        <v>120</v>
      </c>
      <c r="U7" s="100" t="s">
        <v>120</v>
      </c>
      <c r="V7" s="100" t="s">
        <v>120</v>
      </c>
      <c r="W7" s="100" t="s">
        <v>120</v>
      </c>
      <c r="X7" s="100" t="s">
        <v>120</v>
      </c>
      <c r="Y7" s="100" t="s">
        <v>120</v>
      </c>
      <c r="Z7" s="100" t="s">
        <v>120</v>
      </c>
      <c r="AA7" s="100" t="s">
        <v>120</v>
      </c>
      <c r="AB7" s="100" t="s">
        <v>120</v>
      </c>
      <c r="AC7" s="100" t="s">
        <v>120</v>
      </c>
    </row>
    <row r="8" spans="1:29" ht="19.95" customHeight="1" x14ac:dyDescent="0.25">
      <c r="A8" s="88">
        <v>8103205828</v>
      </c>
      <c r="B8" s="12" t="s">
        <v>121</v>
      </c>
      <c r="C8" s="10" t="s">
        <v>469</v>
      </c>
      <c r="D8" s="12" t="s">
        <v>467</v>
      </c>
      <c r="E8" s="12" t="s">
        <v>450</v>
      </c>
      <c r="F8" s="12" t="s">
        <v>468</v>
      </c>
      <c r="G8" s="12" t="s">
        <v>440</v>
      </c>
      <c r="H8" s="12" t="s">
        <v>441</v>
      </c>
      <c r="I8" s="12" t="s">
        <v>118</v>
      </c>
      <c r="J8" s="12"/>
      <c r="K8" s="12"/>
      <c r="L8" s="12"/>
      <c r="M8" s="12"/>
      <c r="N8" s="12" t="s">
        <v>16</v>
      </c>
      <c r="O8" s="13" t="s">
        <v>429</v>
      </c>
      <c r="P8" s="13" t="s">
        <v>21</v>
      </c>
      <c r="Q8" s="100" t="s">
        <v>120</v>
      </c>
      <c r="R8" s="100" t="s">
        <v>120</v>
      </c>
      <c r="S8" s="100" t="s">
        <v>120</v>
      </c>
      <c r="T8" s="100" t="s">
        <v>120</v>
      </c>
      <c r="U8" s="100" t="s">
        <v>120</v>
      </c>
      <c r="V8" s="100" t="s">
        <v>120</v>
      </c>
      <c r="W8" s="100" t="s">
        <v>120</v>
      </c>
      <c r="X8" s="100" t="s">
        <v>120</v>
      </c>
      <c r="Y8" s="100" t="s">
        <v>120</v>
      </c>
      <c r="Z8" s="100" t="s">
        <v>120</v>
      </c>
      <c r="AA8" s="100" t="s">
        <v>120</v>
      </c>
      <c r="AB8" s="100" t="s">
        <v>120</v>
      </c>
      <c r="AC8" s="100" t="s">
        <v>120</v>
      </c>
    </row>
    <row r="9" spans="1:29" ht="19.95" customHeight="1" x14ac:dyDescent="0.25">
      <c r="A9" s="88">
        <v>8103205828</v>
      </c>
      <c r="B9" s="12" t="s">
        <v>121</v>
      </c>
      <c r="C9" s="10" t="s">
        <v>469</v>
      </c>
      <c r="D9" s="12" t="s">
        <v>467</v>
      </c>
      <c r="E9" s="12" t="s">
        <v>450</v>
      </c>
      <c r="F9" s="12" t="s">
        <v>468</v>
      </c>
      <c r="G9" s="12" t="s">
        <v>440</v>
      </c>
      <c r="H9" s="12" t="s">
        <v>441</v>
      </c>
      <c r="I9" s="12" t="s">
        <v>118</v>
      </c>
      <c r="J9" s="12"/>
      <c r="K9" s="12"/>
      <c r="L9" s="12"/>
      <c r="M9" s="12"/>
      <c r="N9" s="12" t="s">
        <v>16</v>
      </c>
      <c r="O9" s="13" t="s">
        <v>430</v>
      </c>
      <c r="P9" s="13" t="s">
        <v>21</v>
      </c>
      <c r="Q9" s="100" t="s">
        <v>120</v>
      </c>
      <c r="R9" s="100" t="s">
        <v>120</v>
      </c>
      <c r="S9" s="100" t="s">
        <v>120</v>
      </c>
      <c r="T9" s="100" t="s">
        <v>120</v>
      </c>
      <c r="U9" s="100" t="s">
        <v>120</v>
      </c>
      <c r="V9" s="100" t="s">
        <v>120</v>
      </c>
      <c r="W9" s="100" t="s">
        <v>120</v>
      </c>
      <c r="X9" s="100" t="s">
        <v>120</v>
      </c>
      <c r="Y9" s="100" t="s">
        <v>120</v>
      </c>
      <c r="Z9" s="100" t="s">
        <v>120</v>
      </c>
      <c r="AA9" s="100" t="s">
        <v>120</v>
      </c>
      <c r="AB9" s="100" t="s">
        <v>120</v>
      </c>
      <c r="AC9" s="100" t="s">
        <v>120</v>
      </c>
    </row>
    <row r="10" spans="1:29" ht="19.95" customHeight="1" x14ac:dyDescent="0.25">
      <c r="A10" s="88">
        <v>8103205828</v>
      </c>
      <c r="B10" s="12" t="s">
        <v>121</v>
      </c>
      <c r="C10" s="10" t="s">
        <v>469</v>
      </c>
      <c r="D10" s="12" t="s">
        <v>467</v>
      </c>
      <c r="E10" s="12" t="s">
        <v>450</v>
      </c>
      <c r="F10" s="12" t="s">
        <v>468</v>
      </c>
      <c r="G10" s="12" t="s">
        <v>440</v>
      </c>
      <c r="H10" s="12" t="s">
        <v>441</v>
      </c>
      <c r="I10" s="12" t="s">
        <v>118</v>
      </c>
      <c r="J10" s="12"/>
      <c r="K10" s="12"/>
      <c r="L10" s="12"/>
      <c r="M10" s="12"/>
      <c r="N10" s="12" t="s">
        <v>16</v>
      </c>
      <c r="O10" s="13" t="s">
        <v>431</v>
      </c>
      <c r="P10" s="13" t="s">
        <v>21</v>
      </c>
      <c r="Q10" s="100" t="s">
        <v>120</v>
      </c>
      <c r="R10" s="100" t="s">
        <v>120</v>
      </c>
      <c r="S10" s="100" t="s">
        <v>120</v>
      </c>
      <c r="T10" s="100" t="s">
        <v>120</v>
      </c>
      <c r="U10" s="100" t="s">
        <v>120</v>
      </c>
      <c r="V10" s="100" t="s">
        <v>120</v>
      </c>
      <c r="W10" s="100" t="s">
        <v>120</v>
      </c>
      <c r="X10" s="100" t="s">
        <v>120</v>
      </c>
      <c r="Y10" s="100" t="s">
        <v>120</v>
      </c>
      <c r="Z10" s="100" t="s">
        <v>120</v>
      </c>
      <c r="AA10" s="100" t="s">
        <v>120</v>
      </c>
      <c r="AB10" s="100" t="s">
        <v>120</v>
      </c>
      <c r="AC10" s="100" t="s">
        <v>120</v>
      </c>
    </row>
    <row r="11" spans="1:29" ht="19.95" customHeight="1" x14ac:dyDescent="0.25">
      <c r="A11" s="88">
        <v>8103205828</v>
      </c>
      <c r="B11" s="12" t="s">
        <v>121</v>
      </c>
      <c r="C11" s="10" t="s">
        <v>469</v>
      </c>
      <c r="D11" s="12" t="s">
        <v>467</v>
      </c>
      <c r="E11" s="12" t="s">
        <v>450</v>
      </c>
      <c r="F11" s="12" t="s">
        <v>468</v>
      </c>
      <c r="G11" s="12" t="s">
        <v>440</v>
      </c>
      <c r="H11" s="12" t="s">
        <v>441</v>
      </c>
      <c r="I11" s="12" t="s">
        <v>118</v>
      </c>
      <c r="J11" s="12"/>
      <c r="K11" s="12"/>
      <c r="L11" s="12"/>
      <c r="M11" s="12"/>
      <c r="N11" s="12" t="s">
        <v>16</v>
      </c>
      <c r="O11" s="13" t="s">
        <v>432</v>
      </c>
      <c r="P11" s="13" t="s">
        <v>18</v>
      </c>
      <c r="Q11" s="100" t="s">
        <v>120</v>
      </c>
      <c r="R11" s="100" t="s">
        <v>120</v>
      </c>
      <c r="S11" s="100" t="s">
        <v>120</v>
      </c>
      <c r="T11" s="100" t="s">
        <v>120</v>
      </c>
      <c r="U11" s="100" t="s">
        <v>120</v>
      </c>
      <c r="V11" s="100" t="s">
        <v>120</v>
      </c>
      <c r="W11" s="100" t="s">
        <v>120</v>
      </c>
      <c r="X11" s="100" t="s">
        <v>120</v>
      </c>
      <c r="Y11" s="100" t="s">
        <v>120</v>
      </c>
      <c r="Z11" s="100" t="s">
        <v>120</v>
      </c>
      <c r="AA11" s="100" t="s">
        <v>120</v>
      </c>
      <c r="AB11" s="100" t="s">
        <v>120</v>
      </c>
      <c r="AC11" s="100" t="s">
        <v>120</v>
      </c>
    </row>
    <row r="12" spans="1:29" ht="19.95" customHeight="1" x14ac:dyDescent="0.25">
      <c r="A12" s="88">
        <v>8103205828</v>
      </c>
      <c r="B12" s="12" t="s">
        <v>121</v>
      </c>
      <c r="C12" s="10" t="s">
        <v>469</v>
      </c>
      <c r="D12" s="12" t="s">
        <v>467</v>
      </c>
      <c r="E12" s="12" t="s">
        <v>450</v>
      </c>
      <c r="F12" s="12" t="s">
        <v>468</v>
      </c>
      <c r="G12" s="12" t="s">
        <v>440</v>
      </c>
      <c r="H12" s="12" t="s">
        <v>441</v>
      </c>
      <c r="I12" s="12" t="s">
        <v>118</v>
      </c>
      <c r="J12" s="12"/>
      <c r="K12" s="12"/>
      <c r="L12" s="12"/>
      <c r="M12" s="12"/>
      <c r="N12" s="12" t="s">
        <v>16</v>
      </c>
      <c r="O12" s="13" t="s">
        <v>433</v>
      </c>
      <c r="P12" s="13" t="s">
        <v>21</v>
      </c>
      <c r="Q12" s="100" t="s">
        <v>120</v>
      </c>
      <c r="R12" s="100" t="s">
        <v>120</v>
      </c>
      <c r="S12" s="100" t="s">
        <v>120</v>
      </c>
      <c r="T12" s="100" t="s">
        <v>120</v>
      </c>
      <c r="U12" s="100" t="s">
        <v>120</v>
      </c>
      <c r="V12" s="100" t="s">
        <v>120</v>
      </c>
      <c r="W12" s="100" t="s">
        <v>120</v>
      </c>
      <c r="X12" s="100" t="s">
        <v>120</v>
      </c>
      <c r="Y12" s="100" t="s">
        <v>120</v>
      </c>
      <c r="Z12" s="100" t="s">
        <v>120</v>
      </c>
      <c r="AA12" s="100" t="s">
        <v>120</v>
      </c>
      <c r="AB12" s="100" t="s">
        <v>120</v>
      </c>
      <c r="AC12" s="100" t="s">
        <v>120</v>
      </c>
    </row>
  </sheetData>
  <hyperlinks>
    <hyperlink ref="C2" r:id="rId1" xr:uid="{9A43876D-50B5-4093-B06C-3F8C6AA2E218}"/>
    <hyperlink ref="C3" r:id="rId2" xr:uid="{FFC0D801-E441-4458-B005-34BEA270F9D1}"/>
    <hyperlink ref="C4" r:id="rId3" xr:uid="{13703943-1ADA-439B-BD95-42D223C0E4AB}"/>
    <hyperlink ref="C5" r:id="rId4" xr:uid="{1053A7D1-61C3-4D54-AF43-45C938B1EB42}"/>
    <hyperlink ref="C6" r:id="rId5" xr:uid="{A1D9394C-3D36-4C78-89D5-652CD3C0D8C3}"/>
    <hyperlink ref="C7" r:id="rId6" xr:uid="{45633356-8AB7-432C-AD8B-731962638068}"/>
    <hyperlink ref="C8" r:id="rId7" xr:uid="{6CAA3624-3324-4A90-8CD3-BAA61D621675}"/>
    <hyperlink ref="C9" r:id="rId8" xr:uid="{86BCB7E7-7930-4795-9084-982A77977950}"/>
    <hyperlink ref="C10" r:id="rId9" xr:uid="{68165507-7736-4185-832D-4F133C6C1932}"/>
    <hyperlink ref="C11" r:id="rId10" xr:uid="{25DD6B62-23F5-48DA-BA3F-FDED462D2247}"/>
    <hyperlink ref="C12" r:id="rId11" xr:uid="{282F2C1A-2A03-42D1-9C9E-AD7FF261C0D8}"/>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0ECEB-53B9-4A35-9647-E89E1963AAB9}">
  <dimension ref="A1:AC32"/>
  <sheetViews>
    <sheetView topLeftCell="J1" workbookViewId="0">
      <selection activeCell="R12" sqref="R12"/>
    </sheetView>
  </sheetViews>
  <sheetFormatPr defaultRowHeight="13.2" x14ac:dyDescent="0.25"/>
  <cols>
    <col min="1" max="1" width="12.109375" bestFit="1" customWidth="1"/>
    <col min="2" max="2" width="14.109375" bestFit="1" customWidth="1"/>
    <col min="3" max="3" width="34.109375" bestFit="1" customWidth="1"/>
    <col min="4" max="4" width="10" customWidth="1"/>
    <col min="5" max="5" width="16" bestFit="1" customWidth="1"/>
    <col min="6" max="6" width="9" bestFit="1" customWidth="1"/>
    <col min="7" max="7" width="12.44140625" bestFit="1" customWidth="1"/>
    <col min="9" max="9" width="19.6640625" bestFit="1" customWidth="1"/>
    <col min="10" max="13" width="11.44140625" bestFit="1" customWidth="1"/>
    <col min="14" max="14" width="14.5546875" bestFit="1" customWidth="1"/>
    <col min="15" max="15" width="63.21875" customWidth="1"/>
    <col min="16" max="16" width="21.77734375" bestFit="1" customWidth="1"/>
    <col min="17" max="17" width="14.109375" bestFit="1" customWidth="1"/>
  </cols>
  <sheetData>
    <row r="1" spans="1:29" ht="27.6" x14ac:dyDescent="0.25">
      <c r="A1" s="35" t="s">
        <v>123</v>
      </c>
      <c r="B1" s="58" t="s">
        <v>1</v>
      </c>
      <c r="C1" s="35" t="s">
        <v>2</v>
      </c>
      <c r="D1" s="58" t="s">
        <v>3</v>
      </c>
      <c r="E1" s="35" t="s">
        <v>4</v>
      </c>
      <c r="F1" s="35" t="s">
        <v>5</v>
      </c>
      <c r="G1" s="35" t="s">
        <v>6</v>
      </c>
      <c r="H1" s="35" t="s">
        <v>7</v>
      </c>
      <c r="I1" s="58" t="s">
        <v>8</v>
      </c>
      <c r="J1" s="35" t="s">
        <v>9</v>
      </c>
      <c r="K1" s="35" t="s">
        <v>10</v>
      </c>
      <c r="L1" s="35" t="s">
        <v>126</v>
      </c>
      <c r="M1" s="35" t="s">
        <v>127</v>
      </c>
      <c r="N1" s="35" t="s">
        <v>11</v>
      </c>
      <c r="O1" s="35" t="s">
        <v>654</v>
      </c>
      <c r="P1" s="35" t="s">
        <v>655</v>
      </c>
      <c r="Q1" s="35" t="s">
        <v>656</v>
      </c>
      <c r="R1" s="35" t="s">
        <v>657</v>
      </c>
      <c r="S1" s="35" t="s">
        <v>658</v>
      </c>
      <c r="T1" s="35" t="s">
        <v>659</v>
      </c>
      <c r="U1" s="35" t="s">
        <v>660</v>
      </c>
      <c r="V1" s="35" t="s">
        <v>661</v>
      </c>
      <c r="W1" s="35" t="s">
        <v>662</v>
      </c>
      <c r="X1" s="35" t="s">
        <v>663</v>
      </c>
      <c r="Y1" s="35" t="s">
        <v>664</v>
      </c>
      <c r="Z1" s="35" t="s">
        <v>665</v>
      </c>
      <c r="AA1" s="35" t="s">
        <v>666</v>
      </c>
      <c r="AB1" s="35" t="s">
        <v>667</v>
      </c>
      <c r="AC1" s="35" t="s">
        <v>668</v>
      </c>
    </row>
    <row r="2" spans="1:29" ht="30" customHeight="1" x14ac:dyDescent="0.25">
      <c r="A2" s="38">
        <v>7389480612</v>
      </c>
      <c r="B2" s="56" t="s">
        <v>773</v>
      </c>
      <c r="C2" s="43" t="s">
        <v>772</v>
      </c>
      <c r="D2" s="56" t="s">
        <v>771</v>
      </c>
      <c r="E2" s="56" t="s">
        <v>768</v>
      </c>
      <c r="F2" s="56" t="s">
        <v>235</v>
      </c>
      <c r="G2" s="56" t="s">
        <v>769</v>
      </c>
      <c r="H2" s="56" t="s">
        <v>251</v>
      </c>
      <c r="I2" s="56" t="s">
        <v>671</v>
      </c>
      <c r="J2" s="56" t="s">
        <v>115</v>
      </c>
      <c r="K2" s="56" t="s">
        <v>770</v>
      </c>
      <c r="L2" s="56"/>
      <c r="M2" s="56"/>
      <c r="N2" s="56" t="s">
        <v>16</v>
      </c>
      <c r="O2" s="144" t="s">
        <v>774</v>
      </c>
      <c r="P2" s="56" t="s">
        <v>21</v>
      </c>
      <c r="Q2" s="143">
        <v>1</v>
      </c>
      <c r="R2" s="143">
        <v>1</v>
      </c>
      <c r="S2" s="143">
        <v>1</v>
      </c>
      <c r="T2" s="143">
        <v>1</v>
      </c>
      <c r="U2" s="143">
        <v>1</v>
      </c>
      <c r="V2" s="143">
        <v>1</v>
      </c>
      <c r="W2" s="143">
        <v>1</v>
      </c>
      <c r="X2" s="143">
        <v>1</v>
      </c>
      <c r="Y2" s="143">
        <v>1</v>
      </c>
      <c r="Z2" s="143">
        <v>1</v>
      </c>
      <c r="AA2" s="143">
        <v>1</v>
      </c>
      <c r="AB2" s="143">
        <v>1</v>
      </c>
      <c r="AC2" s="143">
        <v>1</v>
      </c>
    </row>
    <row r="3" spans="1:29" ht="30" customHeight="1" x14ac:dyDescent="0.25">
      <c r="A3" s="38">
        <v>7389480612</v>
      </c>
      <c r="B3" s="56" t="s">
        <v>773</v>
      </c>
      <c r="C3" s="43" t="s">
        <v>772</v>
      </c>
      <c r="D3" s="56" t="s">
        <v>771</v>
      </c>
      <c r="E3" s="56" t="s">
        <v>768</v>
      </c>
      <c r="F3" s="56" t="s">
        <v>235</v>
      </c>
      <c r="G3" s="56" t="s">
        <v>769</v>
      </c>
      <c r="H3" s="56" t="s">
        <v>251</v>
      </c>
      <c r="I3" s="56" t="s">
        <v>671</v>
      </c>
      <c r="J3" s="56" t="s">
        <v>115</v>
      </c>
      <c r="K3" s="56" t="s">
        <v>770</v>
      </c>
      <c r="L3" s="56"/>
      <c r="M3" s="56"/>
      <c r="N3" s="56" t="s">
        <v>16</v>
      </c>
      <c r="O3" s="144" t="s">
        <v>775</v>
      </c>
      <c r="P3" s="56" t="s">
        <v>21</v>
      </c>
      <c r="Q3" s="143">
        <v>1</v>
      </c>
      <c r="R3" s="143">
        <v>1</v>
      </c>
      <c r="S3" s="143">
        <v>1</v>
      </c>
      <c r="T3" s="143">
        <v>1</v>
      </c>
      <c r="U3" s="143">
        <v>1</v>
      </c>
      <c r="V3" s="143">
        <v>1</v>
      </c>
      <c r="W3" s="143">
        <v>1</v>
      </c>
      <c r="X3" s="143">
        <v>1</v>
      </c>
      <c r="Y3" s="143">
        <v>1</v>
      </c>
      <c r="Z3" s="143">
        <v>1</v>
      </c>
      <c r="AA3" s="143">
        <v>1</v>
      </c>
      <c r="AB3" s="143">
        <v>1</v>
      </c>
      <c r="AC3" s="143">
        <v>1</v>
      </c>
    </row>
    <row r="4" spans="1:29" ht="30" customHeight="1" x14ac:dyDescent="0.25">
      <c r="A4" s="38">
        <v>7389480612</v>
      </c>
      <c r="B4" s="56" t="s">
        <v>773</v>
      </c>
      <c r="C4" s="43" t="s">
        <v>772</v>
      </c>
      <c r="D4" s="56" t="s">
        <v>771</v>
      </c>
      <c r="E4" s="56" t="s">
        <v>768</v>
      </c>
      <c r="F4" s="56" t="s">
        <v>235</v>
      </c>
      <c r="G4" s="56" t="s">
        <v>769</v>
      </c>
      <c r="H4" s="56" t="s">
        <v>251</v>
      </c>
      <c r="I4" s="56" t="s">
        <v>671</v>
      </c>
      <c r="J4" s="56" t="s">
        <v>115</v>
      </c>
      <c r="K4" s="56" t="s">
        <v>770</v>
      </c>
      <c r="L4" s="56"/>
      <c r="M4" s="56"/>
      <c r="N4" s="56" t="s">
        <v>16</v>
      </c>
      <c r="O4" s="144" t="s">
        <v>776</v>
      </c>
      <c r="P4" s="56" t="s">
        <v>21</v>
      </c>
      <c r="Q4" s="143">
        <v>1</v>
      </c>
      <c r="R4" s="143">
        <v>1</v>
      </c>
      <c r="S4" s="143">
        <v>1</v>
      </c>
      <c r="T4" s="143">
        <v>1</v>
      </c>
      <c r="U4" s="143">
        <v>1</v>
      </c>
      <c r="V4" s="143">
        <v>1</v>
      </c>
      <c r="W4" s="143">
        <v>1</v>
      </c>
      <c r="X4" s="143">
        <v>1</v>
      </c>
      <c r="Y4" s="143">
        <v>1</v>
      </c>
      <c r="Z4" s="143">
        <v>1</v>
      </c>
      <c r="AA4" s="143">
        <v>1</v>
      </c>
      <c r="AB4" s="143">
        <v>1</v>
      </c>
      <c r="AC4" s="143">
        <v>1</v>
      </c>
    </row>
    <row r="5" spans="1:29" ht="30" customHeight="1" x14ac:dyDescent="0.25">
      <c r="A5" s="38">
        <v>7389480612</v>
      </c>
      <c r="B5" s="56" t="s">
        <v>773</v>
      </c>
      <c r="C5" s="43" t="s">
        <v>772</v>
      </c>
      <c r="D5" s="56" t="s">
        <v>771</v>
      </c>
      <c r="E5" s="56" t="s">
        <v>768</v>
      </c>
      <c r="F5" s="56" t="s">
        <v>235</v>
      </c>
      <c r="G5" s="56" t="s">
        <v>769</v>
      </c>
      <c r="H5" s="56" t="s">
        <v>251</v>
      </c>
      <c r="I5" s="56" t="s">
        <v>671</v>
      </c>
      <c r="J5" s="56" t="s">
        <v>115</v>
      </c>
      <c r="K5" s="56" t="s">
        <v>770</v>
      </c>
      <c r="L5" s="56"/>
      <c r="M5" s="56"/>
      <c r="N5" s="56" t="s">
        <v>16</v>
      </c>
      <c r="O5" s="144" t="s">
        <v>777</v>
      </c>
      <c r="P5" s="56" t="s">
        <v>21</v>
      </c>
      <c r="Q5" s="143">
        <v>1</v>
      </c>
      <c r="R5" s="143">
        <v>1</v>
      </c>
      <c r="S5" s="143">
        <v>1</v>
      </c>
      <c r="T5" s="143">
        <v>1</v>
      </c>
      <c r="U5" s="143">
        <v>1</v>
      </c>
      <c r="V5" s="143">
        <v>1</v>
      </c>
      <c r="W5" s="143">
        <v>1</v>
      </c>
      <c r="X5" s="143">
        <v>1</v>
      </c>
      <c r="Y5" s="143">
        <v>1</v>
      </c>
      <c r="Z5" s="143">
        <v>1</v>
      </c>
      <c r="AA5" s="143">
        <v>1</v>
      </c>
      <c r="AB5" s="143">
        <v>1</v>
      </c>
      <c r="AC5" s="143">
        <v>1</v>
      </c>
    </row>
    <row r="6" spans="1:29" ht="30" customHeight="1" x14ac:dyDescent="0.25">
      <c r="A6" s="38">
        <v>7389480612</v>
      </c>
      <c r="B6" s="56" t="s">
        <v>773</v>
      </c>
      <c r="C6" s="43" t="s">
        <v>772</v>
      </c>
      <c r="D6" s="56" t="s">
        <v>771</v>
      </c>
      <c r="E6" s="56" t="s">
        <v>768</v>
      </c>
      <c r="F6" s="56" t="s">
        <v>235</v>
      </c>
      <c r="G6" s="56" t="s">
        <v>769</v>
      </c>
      <c r="H6" s="56" t="s">
        <v>251</v>
      </c>
      <c r="I6" s="56" t="s">
        <v>671</v>
      </c>
      <c r="J6" s="56" t="s">
        <v>115</v>
      </c>
      <c r="K6" s="56" t="s">
        <v>770</v>
      </c>
      <c r="L6" s="56"/>
      <c r="M6" s="56"/>
      <c r="N6" s="56" t="s">
        <v>16</v>
      </c>
      <c r="O6" s="144" t="s">
        <v>778</v>
      </c>
      <c r="P6" s="56" t="s">
        <v>21</v>
      </c>
      <c r="Q6" s="143">
        <v>1</v>
      </c>
      <c r="R6" s="143">
        <v>1</v>
      </c>
      <c r="S6" s="143">
        <v>1</v>
      </c>
      <c r="T6" s="143">
        <v>1</v>
      </c>
      <c r="U6" s="143">
        <v>1</v>
      </c>
      <c r="V6" s="143">
        <v>1</v>
      </c>
      <c r="W6" s="143">
        <v>1</v>
      </c>
      <c r="X6" s="143">
        <v>1</v>
      </c>
      <c r="Y6" s="143">
        <v>1</v>
      </c>
      <c r="Z6" s="143">
        <v>1</v>
      </c>
      <c r="AA6" s="143">
        <v>1</v>
      </c>
      <c r="AB6" s="143">
        <v>1</v>
      </c>
      <c r="AC6" s="143">
        <v>1</v>
      </c>
    </row>
    <row r="7" spans="1:29" ht="30" customHeight="1" x14ac:dyDescent="0.25">
      <c r="A7" s="38">
        <v>7389480612</v>
      </c>
      <c r="B7" s="56" t="s">
        <v>773</v>
      </c>
      <c r="C7" s="43" t="s">
        <v>772</v>
      </c>
      <c r="D7" s="56" t="s">
        <v>771</v>
      </c>
      <c r="E7" s="56" t="s">
        <v>768</v>
      </c>
      <c r="F7" s="56" t="s">
        <v>235</v>
      </c>
      <c r="G7" s="56" t="s">
        <v>769</v>
      </c>
      <c r="H7" s="56" t="s">
        <v>251</v>
      </c>
      <c r="I7" s="56" t="s">
        <v>671</v>
      </c>
      <c r="J7" s="56" t="s">
        <v>115</v>
      </c>
      <c r="K7" s="56" t="s">
        <v>770</v>
      </c>
      <c r="L7" s="56"/>
      <c r="M7" s="56"/>
      <c r="N7" s="56" t="s">
        <v>16</v>
      </c>
      <c r="O7" s="144" t="s">
        <v>779</v>
      </c>
      <c r="P7" s="56" t="s">
        <v>21</v>
      </c>
      <c r="Q7" s="143">
        <v>1</v>
      </c>
      <c r="R7" s="143">
        <v>1</v>
      </c>
      <c r="S7" s="143">
        <v>1</v>
      </c>
      <c r="T7" s="143">
        <v>1</v>
      </c>
      <c r="U7" s="143">
        <v>1</v>
      </c>
      <c r="V7" s="143">
        <v>1</v>
      </c>
      <c r="W7" s="143">
        <v>1</v>
      </c>
      <c r="X7" s="143">
        <v>1</v>
      </c>
      <c r="Y7" s="143">
        <v>1</v>
      </c>
      <c r="Z7" s="143">
        <v>1</v>
      </c>
      <c r="AA7" s="143">
        <v>1</v>
      </c>
      <c r="AB7" s="143">
        <v>1</v>
      </c>
      <c r="AC7" s="143">
        <v>1</v>
      </c>
    </row>
    <row r="8" spans="1:29" ht="30" customHeight="1" x14ac:dyDescent="0.25">
      <c r="A8" s="38">
        <v>7389480612</v>
      </c>
      <c r="B8" s="56" t="s">
        <v>773</v>
      </c>
      <c r="C8" s="43" t="s">
        <v>772</v>
      </c>
      <c r="D8" s="56" t="s">
        <v>771</v>
      </c>
      <c r="E8" s="56" t="s">
        <v>768</v>
      </c>
      <c r="F8" s="56" t="s">
        <v>235</v>
      </c>
      <c r="G8" s="56" t="s">
        <v>769</v>
      </c>
      <c r="H8" s="56" t="s">
        <v>251</v>
      </c>
      <c r="I8" s="56" t="s">
        <v>671</v>
      </c>
      <c r="J8" s="56" t="s">
        <v>115</v>
      </c>
      <c r="K8" s="56" t="s">
        <v>770</v>
      </c>
      <c r="L8" s="56"/>
      <c r="M8" s="56"/>
      <c r="N8" s="56" t="s">
        <v>16</v>
      </c>
      <c r="O8" s="144" t="s">
        <v>780</v>
      </c>
      <c r="P8" s="142" t="s">
        <v>18</v>
      </c>
      <c r="Q8" s="81">
        <v>1</v>
      </c>
      <c r="R8" s="81"/>
      <c r="S8" s="81"/>
      <c r="T8" s="81"/>
      <c r="U8" s="81"/>
      <c r="V8" s="81">
        <v>1</v>
      </c>
      <c r="W8" s="81"/>
      <c r="X8" s="81"/>
      <c r="Y8" s="81"/>
      <c r="Z8" s="81"/>
      <c r="AA8" s="81"/>
      <c r="AB8" s="81"/>
      <c r="AC8" s="81"/>
    </row>
    <row r="9" spans="1:29" ht="30" customHeight="1" x14ac:dyDescent="0.25">
      <c r="A9" s="38">
        <v>7389480612</v>
      </c>
      <c r="B9" s="56" t="s">
        <v>773</v>
      </c>
      <c r="C9" s="43" t="s">
        <v>772</v>
      </c>
      <c r="D9" s="56" t="s">
        <v>771</v>
      </c>
      <c r="E9" s="56" t="s">
        <v>768</v>
      </c>
      <c r="F9" s="56" t="s">
        <v>235</v>
      </c>
      <c r="G9" s="56" t="s">
        <v>769</v>
      </c>
      <c r="H9" s="56" t="s">
        <v>251</v>
      </c>
      <c r="I9" s="56" t="s">
        <v>671</v>
      </c>
      <c r="J9" s="56" t="s">
        <v>115</v>
      </c>
      <c r="K9" s="56" t="s">
        <v>770</v>
      </c>
      <c r="L9" s="56"/>
      <c r="M9" s="56"/>
      <c r="N9" s="56" t="s">
        <v>16</v>
      </c>
      <c r="O9" s="144" t="s">
        <v>781</v>
      </c>
      <c r="P9" s="142" t="s">
        <v>18</v>
      </c>
      <c r="Q9" s="81">
        <v>12</v>
      </c>
      <c r="R9" s="81">
        <v>1</v>
      </c>
      <c r="S9" s="81">
        <v>1</v>
      </c>
      <c r="T9" s="81">
        <v>1</v>
      </c>
      <c r="U9" s="81">
        <v>1</v>
      </c>
      <c r="V9" s="81">
        <v>1</v>
      </c>
      <c r="W9" s="81">
        <v>1</v>
      </c>
      <c r="X9" s="81">
        <v>1</v>
      </c>
      <c r="Y9" s="81">
        <v>1</v>
      </c>
      <c r="Z9" s="81">
        <v>1</v>
      </c>
      <c r="AA9" s="81">
        <v>1</v>
      </c>
      <c r="AB9" s="81">
        <v>1</v>
      </c>
      <c r="AC9" s="81">
        <v>1</v>
      </c>
    </row>
    <row r="10" spans="1:29" ht="30" customHeight="1" x14ac:dyDescent="0.25">
      <c r="A10" s="38">
        <v>7389480612</v>
      </c>
      <c r="B10" s="56" t="s">
        <v>773</v>
      </c>
      <c r="C10" s="43" t="s">
        <v>772</v>
      </c>
      <c r="D10" s="56" t="s">
        <v>771</v>
      </c>
      <c r="E10" s="56" t="s">
        <v>768</v>
      </c>
      <c r="F10" s="56" t="s">
        <v>235</v>
      </c>
      <c r="G10" s="56" t="s">
        <v>769</v>
      </c>
      <c r="H10" s="56" t="s">
        <v>251</v>
      </c>
      <c r="I10" s="56" t="s">
        <v>671</v>
      </c>
      <c r="J10" s="56" t="s">
        <v>115</v>
      </c>
      <c r="K10" s="56" t="s">
        <v>770</v>
      </c>
      <c r="L10" s="56"/>
      <c r="M10" s="56"/>
      <c r="N10" s="56" t="s">
        <v>16</v>
      </c>
      <c r="O10" s="144" t="s">
        <v>782</v>
      </c>
      <c r="P10" s="142" t="s">
        <v>18</v>
      </c>
      <c r="Q10" s="81">
        <v>12</v>
      </c>
      <c r="R10" s="81">
        <v>1</v>
      </c>
      <c r="S10" s="81">
        <v>1</v>
      </c>
      <c r="T10" s="81">
        <v>1</v>
      </c>
      <c r="U10" s="81">
        <v>1</v>
      </c>
      <c r="V10" s="81">
        <v>1</v>
      </c>
      <c r="W10" s="81">
        <v>1</v>
      </c>
      <c r="X10" s="81">
        <v>1</v>
      </c>
      <c r="Y10" s="81">
        <v>1</v>
      </c>
      <c r="Z10" s="81">
        <v>1</v>
      </c>
      <c r="AA10" s="81">
        <v>1</v>
      </c>
      <c r="AB10" s="81">
        <v>1</v>
      </c>
      <c r="AC10" s="81">
        <v>1</v>
      </c>
    </row>
    <row r="11" spans="1:29" ht="30" customHeight="1" x14ac:dyDescent="0.25">
      <c r="A11" s="38">
        <v>7389480612</v>
      </c>
      <c r="B11" s="56" t="s">
        <v>773</v>
      </c>
      <c r="C11" s="43" t="s">
        <v>772</v>
      </c>
      <c r="D11" s="56" t="s">
        <v>771</v>
      </c>
      <c r="E11" s="56" t="s">
        <v>768</v>
      </c>
      <c r="F11" s="56" t="s">
        <v>235</v>
      </c>
      <c r="G11" s="56" t="s">
        <v>769</v>
      </c>
      <c r="H11" s="56" t="s">
        <v>251</v>
      </c>
      <c r="I11" s="56" t="s">
        <v>671</v>
      </c>
      <c r="J11" s="56" t="s">
        <v>115</v>
      </c>
      <c r="K11" s="56" t="s">
        <v>770</v>
      </c>
      <c r="L11" s="56"/>
      <c r="M11" s="56"/>
      <c r="N11" s="56" t="s">
        <v>16</v>
      </c>
      <c r="O11" s="144" t="s">
        <v>783</v>
      </c>
      <c r="P11" s="81"/>
      <c r="Q11" s="136" t="s">
        <v>784</v>
      </c>
      <c r="R11" s="81"/>
      <c r="S11" s="81"/>
      <c r="T11" s="81"/>
      <c r="U11" s="81"/>
      <c r="V11" s="81"/>
      <c r="W11" s="81"/>
      <c r="X11" s="81"/>
      <c r="Y11" s="81"/>
      <c r="Z11" s="81"/>
      <c r="AA11" s="81"/>
      <c r="AB11" s="81"/>
      <c r="AC11" s="81"/>
    </row>
    <row r="12" spans="1:29" ht="30" customHeight="1" x14ac:dyDescent="0.25">
      <c r="A12" s="38">
        <v>7389480612</v>
      </c>
      <c r="B12" s="56" t="s">
        <v>773</v>
      </c>
      <c r="C12" s="43" t="s">
        <v>772</v>
      </c>
      <c r="D12" s="56" t="s">
        <v>771</v>
      </c>
      <c r="E12" s="56" t="s">
        <v>768</v>
      </c>
      <c r="F12" s="56" t="s">
        <v>235</v>
      </c>
      <c r="G12" s="56" t="s">
        <v>769</v>
      </c>
      <c r="H12" s="56" t="s">
        <v>251</v>
      </c>
      <c r="I12" s="56" t="s">
        <v>671</v>
      </c>
      <c r="J12" s="56" t="s">
        <v>115</v>
      </c>
      <c r="K12" s="56" t="s">
        <v>770</v>
      </c>
      <c r="L12" s="56"/>
      <c r="M12" s="56"/>
      <c r="N12" s="56" t="s">
        <v>16</v>
      </c>
      <c r="O12" s="144" t="s">
        <v>785</v>
      </c>
      <c r="P12" s="81"/>
      <c r="Q12" s="136" t="s">
        <v>784</v>
      </c>
      <c r="R12" s="81"/>
      <c r="S12" s="81"/>
      <c r="T12" s="81"/>
      <c r="U12" s="81"/>
      <c r="V12" s="81"/>
      <c r="W12" s="81"/>
      <c r="X12" s="81"/>
      <c r="Y12" s="81"/>
      <c r="Z12" s="81"/>
      <c r="AA12" s="81"/>
      <c r="AB12" s="81"/>
      <c r="AC12" s="81"/>
    </row>
    <row r="13" spans="1:29" ht="30" customHeight="1" x14ac:dyDescent="0.25">
      <c r="A13" s="38">
        <v>7389480612</v>
      </c>
      <c r="B13" s="56" t="s">
        <v>773</v>
      </c>
      <c r="C13" s="43" t="s">
        <v>772</v>
      </c>
      <c r="D13" s="56" t="s">
        <v>771</v>
      </c>
      <c r="E13" s="56" t="s">
        <v>768</v>
      </c>
      <c r="F13" s="56" t="s">
        <v>235</v>
      </c>
      <c r="G13" s="56" t="s">
        <v>769</v>
      </c>
      <c r="H13" s="56" t="s">
        <v>251</v>
      </c>
      <c r="I13" s="56" t="s">
        <v>671</v>
      </c>
      <c r="J13" s="56" t="s">
        <v>115</v>
      </c>
      <c r="K13" s="56" t="s">
        <v>770</v>
      </c>
      <c r="L13" s="56"/>
      <c r="M13" s="56"/>
      <c r="N13" s="56" t="s">
        <v>16</v>
      </c>
      <c r="O13" s="144" t="s">
        <v>786</v>
      </c>
      <c r="P13" s="81"/>
      <c r="Q13" s="136" t="s">
        <v>784</v>
      </c>
      <c r="R13" s="81"/>
      <c r="S13" s="81"/>
      <c r="T13" s="81"/>
      <c r="U13" s="81"/>
      <c r="V13" s="81"/>
      <c r="W13" s="81"/>
      <c r="X13" s="81"/>
      <c r="Y13" s="81"/>
      <c r="Z13" s="81"/>
      <c r="AA13" s="81"/>
      <c r="AB13" s="81"/>
      <c r="AC13" s="81"/>
    </row>
    <row r="14" spans="1:29" ht="30" customHeight="1" x14ac:dyDescent="0.25">
      <c r="A14" s="38">
        <v>7389480612</v>
      </c>
      <c r="B14" s="56" t="s">
        <v>773</v>
      </c>
      <c r="C14" s="43" t="s">
        <v>772</v>
      </c>
      <c r="D14" s="56" t="s">
        <v>771</v>
      </c>
      <c r="E14" s="56" t="s">
        <v>768</v>
      </c>
      <c r="F14" s="56" t="s">
        <v>235</v>
      </c>
      <c r="G14" s="56" t="s">
        <v>769</v>
      </c>
      <c r="H14" s="56" t="s">
        <v>251</v>
      </c>
      <c r="I14" s="56" t="s">
        <v>671</v>
      </c>
      <c r="J14" s="56" t="s">
        <v>115</v>
      </c>
      <c r="K14" s="56" t="s">
        <v>770</v>
      </c>
      <c r="L14" s="56"/>
      <c r="M14" s="56"/>
      <c r="N14" s="56" t="s">
        <v>16</v>
      </c>
      <c r="O14" s="144" t="s">
        <v>787</v>
      </c>
      <c r="P14" s="56" t="s">
        <v>21</v>
      </c>
      <c r="Q14" s="143">
        <v>1</v>
      </c>
      <c r="R14" s="143">
        <v>1</v>
      </c>
      <c r="S14" s="143">
        <v>1</v>
      </c>
      <c r="T14" s="143">
        <v>1</v>
      </c>
      <c r="U14" s="143">
        <v>1</v>
      </c>
      <c r="V14" s="143">
        <v>1</v>
      </c>
      <c r="W14" s="143">
        <v>1</v>
      </c>
      <c r="X14" s="143">
        <v>1</v>
      </c>
      <c r="Y14" s="143">
        <v>1</v>
      </c>
      <c r="Z14" s="143">
        <v>1</v>
      </c>
      <c r="AA14" s="143">
        <v>1</v>
      </c>
      <c r="AB14" s="143">
        <v>1</v>
      </c>
      <c r="AC14" s="143">
        <v>1</v>
      </c>
    </row>
    <row r="15" spans="1:29" ht="30" customHeight="1" x14ac:dyDescent="0.25">
      <c r="A15" s="38">
        <v>7389480612</v>
      </c>
      <c r="B15" s="56" t="s">
        <v>773</v>
      </c>
      <c r="C15" s="43" t="s">
        <v>772</v>
      </c>
      <c r="D15" s="56" t="s">
        <v>771</v>
      </c>
      <c r="E15" s="56" t="s">
        <v>768</v>
      </c>
      <c r="F15" s="56" t="s">
        <v>235</v>
      </c>
      <c r="G15" s="56" t="s">
        <v>769</v>
      </c>
      <c r="H15" s="56" t="s">
        <v>251</v>
      </c>
      <c r="I15" s="56" t="s">
        <v>671</v>
      </c>
      <c r="J15" s="56" t="s">
        <v>115</v>
      </c>
      <c r="K15" s="56" t="s">
        <v>770</v>
      </c>
      <c r="L15" s="56"/>
      <c r="M15" s="56"/>
      <c r="N15" s="56" t="s">
        <v>16</v>
      </c>
      <c r="O15" s="144" t="s">
        <v>788</v>
      </c>
      <c r="P15" s="56" t="s">
        <v>21</v>
      </c>
      <c r="Q15" s="143">
        <v>1</v>
      </c>
      <c r="R15" s="143">
        <v>1</v>
      </c>
      <c r="S15" s="143">
        <v>1</v>
      </c>
      <c r="T15" s="143">
        <v>1</v>
      </c>
      <c r="U15" s="143">
        <v>1</v>
      </c>
      <c r="V15" s="143">
        <v>1</v>
      </c>
      <c r="W15" s="143">
        <v>1</v>
      </c>
      <c r="X15" s="143">
        <v>1</v>
      </c>
      <c r="Y15" s="143">
        <v>1</v>
      </c>
      <c r="Z15" s="143">
        <v>1</v>
      </c>
      <c r="AA15" s="143">
        <v>1</v>
      </c>
      <c r="AB15" s="143">
        <v>1</v>
      </c>
      <c r="AC15" s="143">
        <v>1</v>
      </c>
    </row>
    <row r="16" spans="1:29" ht="30" customHeight="1" x14ac:dyDescent="0.25">
      <c r="A16" s="38">
        <v>7389480612</v>
      </c>
      <c r="B16" s="56" t="s">
        <v>773</v>
      </c>
      <c r="C16" s="43" t="s">
        <v>772</v>
      </c>
      <c r="D16" s="56" t="s">
        <v>771</v>
      </c>
      <c r="E16" s="56" t="s">
        <v>768</v>
      </c>
      <c r="F16" s="56" t="s">
        <v>235</v>
      </c>
      <c r="G16" s="56" t="s">
        <v>769</v>
      </c>
      <c r="H16" s="56" t="s">
        <v>251</v>
      </c>
      <c r="I16" s="56" t="s">
        <v>671</v>
      </c>
      <c r="J16" s="56" t="s">
        <v>115</v>
      </c>
      <c r="K16" s="56" t="s">
        <v>770</v>
      </c>
      <c r="L16" s="56"/>
      <c r="M16" s="56"/>
      <c r="N16" s="56" t="s">
        <v>16</v>
      </c>
      <c r="O16" s="144" t="s">
        <v>789</v>
      </c>
      <c r="P16" s="56" t="s">
        <v>21</v>
      </c>
      <c r="Q16" s="143">
        <v>1</v>
      </c>
      <c r="R16" s="143">
        <v>1</v>
      </c>
      <c r="S16" s="143">
        <v>1</v>
      </c>
      <c r="T16" s="143">
        <v>1</v>
      </c>
      <c r="U16" s="143">
        <v>1</v>
      </c>
      <c r="V16" s="143">
        <v>1</v>
      </c>
      <c r="W16" s="143">
        <v>1</v>
      </c>
      <c r="X16" s="143">
        <v>1</v>
      </c>
      <c r="Y16" s="143">
        <v>1</v>
      </c>
      <c r="Z16" s="143">
        <v>1</v>
      </c>
      <c r="AA16" s="143">
        <v>1</v>
      </c>
      <c r="AB16" s="143">
        <v>1</v>
      </c>
      <c r="AC16" s="143">
        <v>1</v>
      </c>
    </row>
    <row r="17" spans="1:29" ht="30" customHeight="1" x14ac:dyDescent="0.25">
      <c r="A17" s="38">
        <v>7389480612</v>
      </c>
      <c r="B17" s="56" t="s">
        <v>773</v>
      </c>
      <c r="C17" s="43" t="s">
        <v>772</v>
      </c>
      <c r="D17" s="56" t="s">
        <v>771</v>
      </c>
      <c r="E17" s="56" t="s">
        <v>768</v>
      </c>
      <c r="F17" s="56" t="s">
        <v>235</v>
      </c>
      <c r="G17" s="56" t="s">
        <v>769</v>
      </c>
      <c r="H17" s="56" t="s">
        <v>251</v>
      </c>
      <c r="I17" s="56" t="s">
        <v>671</v>
      </c>
      <c r="J17" s="56" t="s">
        <v>115</v>
      </c>
      <c r="K17" s="56" t="s">
        <v>770</v>
      </c>
      <c r="L17" s="56"/>
      <c r="M17" s="56"/>
      <c r="N17" s="56" t="s">
        <v>16</v>
      </c>
      <c r="O17" s="144" t="s">
        <v>790</v>
      </c>
      <c r="P17" s="56" t="s">
        <v>21</v>
      </c>
      <c r="Q17" s="143">
        <v>1</v>
      </c>
      <c r="R17" s="143">
        <v>1</v>
      </c>
      <c r="S17" s="143">
        <v>1</v>
      </c>
      <c r="T17" s="143">
        <v>1</v>
      </c>
      <c r="U17" s="143">
        <v>1</v>
      </c>
      <c r="V17" s="143">
        <v>1</v>
      </c>
      <c r="W17" s="143">
        <v>1</v>
      </c>
      <c r="X17" s="143">
        <v>1</v>
      </c>
      <c r="Y17" s="143">
        <v>1</v>
      </c>
      <c r="Z17" s="143">
        <v>1</v>
      </c>
      <c r="AA17" s="143">
        <v>1</v>
      </c>
      <c r="AB17" s="143">
        <v>1</v>
      </c>
      <c r="AC17" s="143">
        <v>1</v>
      </c>
    </row>
    <row r="18" spans="1:29" ht="30" customHeight="1" x14ac:dyDescent="0.25">
      <c r="A18" s="38">
        <v>7389480612</v>
      </c>
      <c r="B18" s="56" t="s">
        <v>773</v>
      </c>
      <c r="C18" s="43" t="s">
        <v>772</v>
      </c>
      <c r="D18" s="56" t="s">
        <v>771</v>
      </c>
      <c r="E18" s="56" t="s">
        <v>768</v>
      </c>
      <c r="F18" s="56" t="s">
        <v>235</v>
      </c>
      <c r="G18" s="56" t="s">
        <v>769</v>
      </c>
      <c r="H18" s="56" t="s">
        <v>251</v>
      </c>
      <c r="I18" s="56" t="s">
        <v>671</v>
      </c>
      <c r="J18" s="56" t="s">
        <v>115</v>
      </c>
      <c r="K18" s="56" t="s">
        <v>770</v>
      </c>
      <c r="L18" s="56"/>
      <c r="M18" s="56"/>
      <c r="N18" s="56" t="s">
        <v>16</v>
      </c>
      <c r="O18" s="144" t="s">
        <v>791</v>
      </c>
      <c r="P18" s="142" t="s">
        <v>18</v>
      </c>
      <c r="Q18" s="81">
        <v>12</v>
      </c>
      <c r="R18" s="81">
        <v>3</v>
      </c>
      <c r="S18" s="81">
        <v>3</v>
      </c>
      <c r="T18" s="81"/>
      <c r="U18" s="81"/>
      <c r="V18" s="81"/>
      <c r="W18" s="81"/>
      <c r="X18" s="81"/>
      <c r="Y18" s="81"/>
      <c r="Z18" s="81"/>
      <c r="AA18" s="81">
        <v>3</v>
      </c>
      <c r="AB18" s="81">
        <v>3</v>
      </c>
      <c r="AC18" s="81"/>
    </row>
    <row r="19" spans="1:29" ht="30" customHeight="1" x14ac:dyDescent="0.25">
      <c r="A19" s="38">
        <v>7389480612</v>
      </c>
      <c r="B19" s="56" t="s">
        <v>773</v>
      </c>
      <c r="C19" s="43" t="s">
        <v>772</v>
      </c>
      <c r="D19" s="56" t="s">
        <v>771</v>
      </c>
      <c r="E19" s="56" t="s">
        <v>768</v>
      </c>
      <c r="F19" s="56" t="s">
        <v>235</v>
      </c>
      <c r="G19" s="56" t="s">
        <v>769</v>
      </c>
      <c r="H19" s="56" t="s">
        <v>251</v>
      </c>
      <c r="I19" s="56" t="s">
        <v>671</v>
      </c>
      <c r="J19" s="56" t="s">
        <v>115</v>
      </c>
      <c r="K19" s="56" t="s">
        <v>770</v>
      </c>
      <c r="L19" s="56"/>
      <c r="M19" s="56"/>
      <c r="N19" s="56" t="s">
        <v>16</v>
      </c>
      <c r="O19" s="144" t="s">
        <v>792</v>
      </c>
      <c r="P19" s="81"/>
      <c r="Q19" s="81" t="s">
        <v>793</v>
      </c>
      <c r="R19" s="81">
        <v>3</v>
      </c>
      <c r="S19" s="81">
        <v>3</v>
      </c>
      <c r="T19" s="81"/>
      <c r="U19" s="81"/>
      <c r="V19" s="81"/>
      <c r="W19" s="81"/>
      <c r="X19" s="81"/>
      <c r="Y19" s="81"/>
      <c r="Z19" s="81"/>
      <c r="AA19" s="81">
        <v>3</v>
      </c>
      <c r="AB19" s="81">
        <v>3</v>
      </c>
      <c r="AC19" s="81"/>
    </row>
    <row r="20" spans="1:29" ht="30" customHeight="1" x14ac:dyDescent="0.25">
      <c r="A20" s="38">
        <v>7389480612</v>
      </c>
      <c r="B20" s="56" t="s">
        <v>773</v>
      </c>
      <c r="C20" s="43" t="s">
        <v>772</v>
      </c>
      <c r="D20" s="56" t="s">
        <v>771</v>
      </c>
      <c r="E20" s="56" t="s">
        <v>768</v>
      </c>
      <c r="F20" s="56" t="s">
        <v>235</v>
      </c>
      <c r="G20" s="56" t="s">
        <v>769</v>
      </c>
      <c r="H20" s="56" t="s">
        <v>251</v>
      </c>
      <c r="I20" s="56" t="s">
        <v>671</v>
      </c>
      <c r="J20" s="56" t="s">
        <v>115</v>
      </c>
      <c r="K20" s="56" t="s">
        <v>770</v>
      </c>
      <c r="L20" s="56"/>
      <c r="M20" s="56"/>
      <c r="N20" s="56" t="s">
        <v>16</v>
      </c>
      <c r="O20" s="144" t="s">
        <v>794</v>
      </c>
      <c r="P20" s="142" t="s">
        <v>18</v>
      </c>
      <c r="Q20" s="81">
        <v>12</v>
      </c>
      <c r="R20" s="81">
        <v>3</v>
      </c>
      <c r="S20" s="81">
        <v>3</v>
      </c>
      <c r="T20" s="81"/>
      <c r="U20" s="81"/>
      <c r="V20" s="81"/>
      <c r="W20" s="81"/>
      <c r="X20" s="81"/>
      <c r="Y20" s="81"/>
      <c r="Z20" s="81"/>
      <c r="AA20" s="81">
        <v>3</v>
      </c>
      <c r="AB20" s="81">
        <v>3</v>
      </c>
      <c r="AC20" s="81"/>
    </row>
    <row r="21" spans="1:29" ht="30" customHeight="1" x14ac:dyDescent="0.25">
      <c r="A21" s="38">
        <v>7389480612</v>
      </c>
      <c r="B21" s="56" t="s">
        <v>773</v>
      </c>
      <c r="C21" s="43" t="s">
        <v>772</v>
      </c>
      <c r="D21" s="56" t="s">
        <v>771</v>
      </c>
      <c r="E21" s="56" t="s">
        <v>768</v>
      </c>
      <c r="F21" s="56" t="s">
        <v>235</v>
      </c>
      <c r="G21" s="56" t="s">
        <v>769</v>
      </c>
      <c r="H21" s="56" t="s">
        <v>251</v>
      </c>
      <c r="I21" s="56" t="s">
        <v>671</v>
      </c>
      <c r="J21" s="56" t="s">
        <v>115</v>
      </c>
      <c r="K21" s="56" t="s">
        <v>770</v>
      </c>
      <c r="L21" s="56"/>
      <c r="M21" s="56"/>
      <c r="N21" s="56" t="s">
        <v>16</v>
      </c>
      <c r="O21" s="144" t="s">
        <v>795</v>
      </c>
      <c r="P21" s="142" t="s">
        <v>18</v>
      </c>
      <c r="Q21" s="81">
        <v>12</v>
      </c>
      <c r="R21" s="81">
        <v>3</v>
      </c>
      <c r="S21" s="81">
        <v>3</v>
      </c>
      <c r="T21" s="81"/>
      <c r="U21" s="81"/>
      <c r="V21" s="81"/>
      <c r="W21" s="81"/>
      <c r="X21" s="81"/>
      <c r="Y21" s="81"/>
      <c r="Z21" s="81"/>
      <c r="AA21" s="81">
        <v>3</v>
      </c>
      <c r="AB21" s="81">
        <v>3</v>
      </c>
      <c r="AC21" s="81"/>
    </row>
    <row r="22" spans="1:29" ht="30" customHeight="1" x14ac:dyDescent="0.25">
      <c r="A22" s="38">
        <v>7389480612</v>
      </c>
      <c r="B22" s="56" t="s">
        <v>773</v>
      </c>
      <c r="C22" s="43" t="s">
        <v>772</v>
      </c>
      <c r="D22" s="56" t="s">
        <v>771</v>
      </c>
      <c r="E22" s="56" t="s">
        <v>768</v>
      </c>
      <c r="F22" s="56" t="s">
        <v>235</v>
      </c>
      <c r="G22" s="56" t="s">
        <v>769</v>
      </c>
      <c r="H22" s="56" t="s">
        <v>251</v>
      </c>
      <c r="I22" s="56" t="s">
        <v>671</v>
      </c>
      <c r="J22" s="56" t="s">
        <v>115</v>
      </c>
      <c r="K22" s="56" t="s">
        <v>770</v>
      </c>
      <c r="L22" s="56"/>
      <c r="M22" s="56"/>
      <c r="N22" s="56" t="s">
        <v>16</v>
      </c>
      <c r="O22" s="144" t="s">
        <v>796</v>
      </c>
      <c r="P22" s="142" t="s">
        <v>18</v>
      </c>
      <c r="Q22" s="81">
        <v>12</v>
      </c>
      <c r="R22" s="81">
        <v>3</v>
      </c>
      <c r="S22" s="81">
        <v>3</v>
      </c>
      <c r="T22" s="81"/>
      <c r="U22" s="81"/>
      <c r="V22" s="81"/>
      <c r="W22" s="81"/>
      <c r="X22" s="81"/>
      <c r="Y22" s="81"/>
      <c r="Z22" s="81"/>
      <c r="AA22" s="81">
        <v>3</v>
      </c>
      <c r="AB22" s="81">
        <v>3</v>
      </c>
      <c r="AC22" s="81"/>
    </row>
    <row r="23" spans="1:29" ht="30" customHeight="1" x14ac:dyDescent="0.25">
      <c r="A23" s="38">
        <v>7389480612</v>
      </c>
      <c r="B23" s="56" t="s">
        <v>773</v>
      </c>
      <c r="C23" s="43" t="s">
        <v>772</v>
      </c>
      <c r="D23" s="56" t="s">
        <v>771</v>
      </c>
      <c r="E23" s="56" t="s">
        <v>768</v>
      </c>
      <c r="F23" s="56" t="s">
        <v>235</v>
      </c>
      <c r="G23" s="56" t="s">
        <v>769</v>
      </c>
      <c r="H23" s="56" t="s">
        <v>251</v>
      </c>
      <c r="I23" s="56" t="s">
        <v>671</v>
      </c>
      <c r="J23" s="56" t="s">
        <v>115</v>
      </c>
      <c r="K23" s="56" t="s">
        <v>770</v>
      </c>
      <c r="L23" s="56"/>
      <c r="M23" s="56"/>
      <c r="N23" s="56" t="s">
        <v>16</v>
      </c>
      <c r="O23" s="144" t="s">
        <v>797</v>
      </c>
      <c r="P23" s="142" t="s">
        <v>18</v>
      </c>
      <c r="Q23" s="81">
        <v>12</v>
      </c>
      <c r="R23" s="81">
        <v>3</v>
      </c>
      <c r="S23" s="81">
        <v>3</v>
      </c>
      <c r="T23" s="81"/>
      <c r="U23" s="81"/>
      <c r="V23" s="81"/>
      <c r="W23" s="81"/>
      <c r="X23" s="81"/>
      <c r="Y23" s="81"/>
      <c r="Z23" s="81"/>
      <c r="AA23" s="81">
        <v>3</v>
      </c>
      <c r="AB23" s="81">
        <v>3</v>
      </c>
      <c r="AC23" s="81"/>
    </row>
    <row r="24" spans="1:29" ht="30" customHeight="1" x14ac:dyDescent="0.25">
      <c r="A24" s="38">
        <v>7389480612</v>
      </c>
      <c r="B24" s="56" t="s">
        <v>773</v>
      </c>
      <c r="C24" s="43" t="s">
        <v>772</v>
      </c>
      <c r="D24" s="56" t="s">
        <v>771</v>
      </c>
      <c r="E24" s="56" t="s">
        <v>768</v>
      </c>
      <c r="F24" s="56" t="s">
        <v>235</v>
      </c>
      <c r="G24" s="56" t="s">
        <v>769</v>
      </c>
      <c r="H24" s="56" t="s">
        <v>251</v>
      </c>
      <c r="I24" s="56" t="s">
        <v>671</v>
      </c>
      <c r="J24" s="56" t="s">
        <v>115</v>
      </c>
      <c r="K24" s="56" t="s">
        <v>770</v>
      </c>
      <c r="L24" s="56"/>
      <c r="M24" s="56"/>
      <c r="N24" s="56" t="s">
        <v>16</v>
      </c>
      <c r="O24" s="144" t="s">
        <v>798</v>
      </c>
      <c r="P24" s="142" t="s">
        <v>18</v>
      </c>
      <c r="Q24" s="81">
        <v>12</v>
      </c>
      <c r="R24" s="81">
        <v>3</v>
      </c>
      <c r="S24" s="81">
        <v>3</v>
      </c>
      <c r="T24" s="81"/>
      <c r="U24" s="81"/>
      <c r="V24" s="81"/>
      <c r="W24" s="81"/>
      <c r="X24" s="81"/>
      <c r="Y24" s="81"/>
      <c r="Z24" s="81"/>
      <c r="AA24" s="81">
        <v>3</v>
      </c>
      <c r="AB24" s="81">
        <v>3</v>
      </c>
      <c r="AC24" s="81"/>
    </row>
    <row r="25" spans="1:29" ht="30" customHeight="1" x14ac:dyDescent="0.25">
      <c r="A25" s="38">
        <v>7389480612</v>
      </c>
      <c r="B25" s="56" t="s">
        <v>773</v>
      </c>
      <c r="C25" s="43" t="s">
        <v>772</v>
      </c>
      <c r="D25" s="56" t="s">
        <v>771</v>
      </c>
      <c r="E25" s="56" t="s">
        <v>768</v>
      </c>
      <c r="F25" s="56" t="s">
        <v>235</v>
      </c>
      <c r="G25" s="56" t="s">
        <v>769</v>
      </c>
      <c r="H25" s="56" t="s">
        <v>251</v>
      </c>
      <c r="I25" s="56" t="s">
        <v>671</v>
      </c>
      <c r="J25" s="56" t="s">
        <v>115</v>
      </c>
      <c r="K25" s="56" t="s">
        <v>770</v>
      </c>
      <c r="L25" s="56"/>
      <c r="M25" s="56"/>
      <c r="N25" s="56" t="s">
        <v>16</v>
      </c>
      <c r="O25" s="144" t="s">
        <v>799</v>
      </c>
      <c r="P25" s="81"/>
      <c r="Q25" s="136" t="s">
        <v>784</v>
      </c>
      <c r="R25" s="81"/>
      <c r="S25" s="81"/>
      <c r="T25" s="81"/>
      <c r="U25" s="81"/>
      <c r="V25" s="81"/>
      <c r="W25" s="81"/>
      <c r="X25" s="81"/>
      <c r="Y25" s="81"/>
      <c r="Z25" s="81"/>
      <c r="AA25" s="81"/>
      <c r="AB25" s="81"/>
      <c r="AC25" s="81"/>
    </row>
    <row r="26" spans="1:29" ht="30" customHeight="1" x14ac:dyDescent="0.25">
      <c r="A26" s="38">
        <v>7389480612</v>
      </c>
      <c r="B26" s="56" t="s">
        <v>773</v>
      </c>
      <c r="C26" s="43" t="s">
        <v>772</v>
      </c>
      <c r="D26" s="56" t="s">
        <v>771</v>
      </c>
      <c r="E26" s="56" t="s">
        <v>768</v>
      </c>
      <c r="F26" s="56" t="s">
        <v>235</v>
      </c>
      <c r="G26" s="56" t="s">
        <v>769</v>
      </c>
      <c r="H26" s="56" t="s">
        <v>251</v>
      </c>
      <c r="I26" s="56" t="s">
        <v>671</v>
      </c>
      <c r="J26" s="56" t="s">
        <v>115</v>
      </c>
      <c r="K26" s="56" t="s">
        <v>770</v>
      </c>
      <c r="L26" s="56"/>
      <c r="M26" s="56"/>
      <c r="N26" s="56" t="s">
        <v>16</v>
      </c>
      <c r="O26" s="144" t="s">
        <v>800</v>
      </c>
      <c r="P26" s="81"/>
      <c r="Q26" s="136" t="s">
        <v>784</v>
      </c>
      <c r="R26" s="81"/>
      <c r="S26" s="81"/>
      <c r="T26" s="81"/>
      <c r="U26" s="81"/>
      <c r="V26" s="81"/>
      <c r="W26" s="81"/>
      <c r="X26" s="81"/>
      <c r="Y26" s="81"/>
      <c r="Z26" s="81"/>
      <c r="AA26" s="81"/>
      <c r="AB26" s="81"/>
      <c r="AC26" s="81"/>
    </row>
    <row r="27" spans="1:29" ht="30" customHeight="1" x14ac:dyDescent="0.25">
      <c r="A27" s="38">
        <v>7389480612</v>
      </c>
      <c r="B27" s="56" t="s">
        <v>773</v>
      </c>
      <c r="C27" s="43" t="s">
        <v>772</v>
      </c>
      <c r="D27" s="56" t="s">
        <v>771</v>
      </c>
      <c r="E27" s="56" t="s">
        <v>768</v>
      </c>
      <c r="F27" s="56" t="s">
        <v>235</v>
      </c>
      <c r="G27" s="56" t="s">
        <v>769</v>
      </c>
      <c r="H27" s="56" t="s">
        <v>251</v>
      </c>
      <c r="I27" s="56" t="s">
        <v>671</v>
      </c>
      <c r="J27" s="56" t="s">
        <v>115</v>
      </c>
      <c r="K27" s="56" t="s">
        <v>770</v>
      </c>
      <c r="L27" s="56"/>
      <c r="M27" s="56"/>
      <c r="N27" s="56" t="s">
        <v>16</v>
      </c>
      <c r="O27" s="144" t="s">
        <v>801</v>
      </c>
      <c r="P27" s="81"/>
      <c r="Q27" s="136" t="s">
        <v>784</v>
      </c>
      <c r="R27" s="81"/>
      <c r="S27" s="81"/>
      <c r="T27" s="81"/>
      <c r="U27" s="81"/>
      <c r="V27" s="81"/>
      <c r="W27" s="81"/>
      <c r="X27" s="81"/>
      <c r="Y27" s="81"/>
      <c r="Z27" s="81"/>
      <c r="AA27" s="81"/>
      <c r="AB27" s="81"/>
      <c r="AC27" s="81"/>
    </row>
    <row r="28" spans="1:29" ht="30" customHeight="1" x14ac:dyDescent="0.25">
      <c r="A28" s="38">
        <v>7389480612</v>
      </c>
      <c r="B28" s="56" t="s">
        <v>773</v>
      </c>
      <c r="C28" s="43" t="s">
        <v>772</v>
      </c>
      <c r="D28" s="56" t="s">
        <v>771</v>
      </c>
      <c r="E28" s="56" t="s">
        <v>768</v>
      </c>
      <c r="F28" s="56" t="s">
        <v>235</v>
      </c>
      <c r="G28" s="56" t="s">
        <v>769</v>
      </c>
      <c r="H28" s="56" t="s">
        <v>251</v>
      </c>
      <c r="I28" s="56" t="s">
        <v>671</v>
      </c>
      <c r="J28" s="56" t="s">
        <v>115</v>
      </c>
      <c r="K28" s="56" t="s">
        <v>770</v>
      </c>
      <c r="L28" s="56"/>
      <c r="M28" s="56"/>
      <c r="N28" s="56" t="s">
        <v>16</v>
      </c>
      <c r="O28" s="144" t="s">
        <v>802</v>
      </c>
      <c r="P28" s="56" t="s">
        <v>21</v>
      </c>
      <c r="Q28" s="143">
        <v>1</v>
      </c>
      <c r="R28" s="143">
        <v>1</v>
      </c>
      <c r="S28" s="143">
        <v>1</v>
      </c>
      <c r="T28" s="143">
        <v>1</v>
      </c>
      <c r="U28" s="143">
        <v>1</v>
      </c>
      <c r="V28" s="143">
        <v>1</v>
      </c>
      <c r="W28" s="143">
        <v>1</v>
      </c>
      <c r="X28" s="143">
        <v>1</v>
      </c>
      <c r="Y28" s="143">
        <v>1</v>
      </c>
      <c r="Z28" s="143">
        <v>1</v>
      </c>
      <c r="AA28" s="143">
        <v>1</v>
      </c>
      <c r="AB28" s="143">
        <v>1</v>
      </c>
      <c r="AC28" s="143">
        <v>1</v>
      </c>
    </row>
    <row r="29" spans="1:29" ht="30" customHeight="1" x14ac:dyDescent="0.25">
      <c r="A29" s="38">
        <v>7389480612</v>
      </c>
      <c r="B29" s="56" t="s">
        <v>773</v>
      </c>
      <c r="C29" s="43" t="s">
        <v>772</v>
      </c>
      <c r="D29" s="56" t="s">
        <v>771</v>
      </c>
      <c r="E29" s="56" t="s">
        <v>768</v>
      </c>
      <c r="F29" s="56" t="s">
        <v>235</v>
      </c>
      <c r="G29" s="56" t="s">
        <v>769</v>
      </c>
      <c r="H29" s="56" t="s">
        <v>251</v>
      </c>
      <c r="I29" s="56" t="s">
        <v>671</v>
      </c>
      <c r="J29" s="56" t="s">
        <v>115</v>
      </c>
      <c r="K29" s="56" t="s">
        <v>770</v>
      </c>
      <c r="L29" s="56"/>
      <c r="M29" s="56"/>
      <c r="N29" s="56" t="s">
        <v>16</v>
      </c>
      <c r="O29" s="144" t="s">
        <v>803</v>
      </c>
      <c r="P29" s="56" t="s">
        <v>21</v>
      </c>
      <c r="Q29" s="143">
        <v>1</v>
      </c>
      <c r="R29" s="143">
        <v>1</v>
      </c>
      <c r="S29" s="143">
        <v>1</v>
      </c>
      <c r="T29" s="143">
        <v>1</v>
      </c>
      <c r="U29" s="143">
        <v>1</v>
      </c>
      <c r="V29" s="143">
        <v>1</v>
      </c>
      <c r="W29" s="143">
        <v>1</v>
      </c>
      <c r="X29" s="143">
        <v>1</v>
      </c>
      <c r="Y29" s="143">
        <v>1</v>
      </c>
      <c r="Z29" s="143">
        <v>1</v>
      </c>
      <c r="AA29" s="143">
        <v>1</v>
      </c>
      <c r="AB29" s="143">
        <v>1</v>
      </c>
      <c r="AC29" s="143">
        <v>1</v>
      </c>
    </row>
    <row r="30" spans="1:29" ht="30" customHeight="1" x14ac:dyDescent="0.25">
      <c r="A30" s="38">
        <v>7389480612</v>
      </c>
      <c r="B30" s="56" t="s">
        <v>773</v>
      </c>
      <c r="C30" s="43" t="s">
        <v>772</v>
      </c>
      <c r="D30" s="56" t="s">
        <v>771</v>
      </c>
      <c r="E30" s="56" t="s">
        <v>768</v>
      </c>
      <c r="F30" s="56" t="s">
        <v>235</v>
      </c>
      <c r="G30" s="56" t="s">
        <v>769</v>
      </c>
      <c r="H30" s="56" t="s">
        <v>251</v>
      </c>
      <c r="I30" s="56" t="s">
        <v>671</v>
      </c>
      <c r="J30" s="56" t="s">
        <v>115</v>
      </c>
      <c r="K30" s="56" t="s">
        <v>770</v>
      </c>
      <c r="L30" s="56"/>
      <c r="M30" s="56"/>
      <c r="N30" s="56" t="s">
        <v>16</v>
      </c>
      <c r="O30" s="144" t="s">
        <v>804</v>
      </c>
      <c r="P30" s="56" t="s">
        <v>21</v>
      </c>
      <c r="Q30" s="143">
        <v>1</v>
      </c>
      <c r="R30" s="143">
        <v>1</v>
      </c>
      <c r="S30" s="143">
        <v>1</v>
      </c>
      <c r="T30" s="143">
        <v>1</v>
      </c>
      <c r="U30" s="143">
        <v>1</v>
      </c>
      <c r="V30" s="143">
        <v>1</v>
      </c>
      <c r="W30" s="143">
        <v>1</v>
      </c>
      <c r="X30" s="143">
        <v>1</v>
      </c>
      <c r="Y30" s="143">
        <v>1</v>
      </c>
      <c r="Z30" s="143">
        <v>1</v>
      </c>
      <c r="AA30" s="143">
        <v>1</v>
      </c>
      <c r="AB30" s="143">
        <v>1</v>
      </c>
      <c r="AC30" s="143">
        <v>1</v>
      </c>
    </row>
    <row r="31" spans="1:29" ht="30" customHeight="1" x14ac:dyDescent="0.25">
      <c r="A31" s="38">
        <v>7389480612</v>
      </c>
      <c r="B31" s="56" t="s">
        <v>773</v>
      </c>
      <c r="C31" s="43" t="s">
        <v>772</v>
      </c>
      <c r="D31" s="56" t="s">
        <v>771</v>
      </c>
      <c r="E31" s="56" t="s">
        <v>768</v>
      </c>
      <c r="F31" s="56" t="s">
        <v>235</v>
      </c>
      <c r="G31" s="56" t="s">
        <v>769</v>
      </c>
      <c r="H31" s="56" t="s">
        <v>251</v>
      </c>
      <c r="I31" s="56" t="s">
        <v>671</v>
      </c>
      <c r="J31" s="56" t="s">
        <v>115</v>
      </c>
      <c r="K31" s="56" t="s">
        <v>770</v>
      </c>
      <c r="L31" s="56"/>
      <c r="M31" s="56"/>
      <c r="N31" s="56" t="s">
        <v>16</v>
      </c>
      <c r="O31" s="144" t="s">
        <v>805</v>
      </c>
      <c r="P31" s="56" t="s">
        <v>21</v>
      </c>
      <c r="Q31" s="143">
        <v>1</v>
      </c>
      <c r="R31" s="143">
        <v>1</v>
      </c>
      <c r="S31" s="143">
        <v>1</v>
      </c>
      <c r="T31" s="143">
        <v>1</v>
      </c>
      <c r="U31" s="143">
        <v>1</v>
      </c>
      <c r="V31" s="143">
        <v>1</v>
      </c>
      <c r="W31" s="143">
        <v>1</v>
      </c>
      <c r="X31" s="143">
        <v>1</v>
      </c>
      <c r="Y31" s="143">
        <v>1</v>
      </c>
      <c r="Z31" s="143">
        <v>1</v>
      </c>
      <c r="AA31" s="143">
        <v>1</v>
      </c>
      <c r="AB31" s="143">
        <v>1</v>
      </c>
      <c r="AC31" s="143">
        <v>1</v>
      </c>
    </row>
    <row r="32" spans="1:29" ht="30" customHeight="1" x14ac:dyDescent="0.25">
      <c r="A32" s="38">
        <v>7389480612</v>
      </c>
      <c r="B32" s="56" t="s">
        <v>773</v>
      </c>
      <c r="C32" s="43" t="s">
        <v>772</v>
      </c>
      <c r="D32" s="56" t="s">
        <v>771</v>
      </c>
      <c r="E32" s="56" t="s">
        <v>768</v>
      </c>
      <c r="F32" s="56" t="s">
        <v>235</v>
      </c>
      <c r="G32" s="56" t="s">
        <v>769</v>
      </c>
      <c r="H32" s="56" t="s">
        <v>251</v>
      </c>
      <c r="I32" s="56" t="s">
        <v>671</v>
      </c>
      <c r="J32" s="56" t="s">
        <v>115</v>
      </c>
      <c r="K32" s="56" t="s">
        <v>770</v>
      </c>
      <c r="L32" s="56"/>
      <c r="M32" s="56"/>
      <c r="N32" s="56" t="s">
        <v>16</v>
      </c>
      <c r="O32" s="144" t="s">
        <v>806</v>
      </c>
      <c r="P32" s="56" t="s">
        <v>21</v>
      </c>
      <c r="Q32" s="143">
        <v>1</v>
      </c>
      <c r="R32" s="143">
        <v>1</v>
      </c>
      <c r="S32" s="143">
        <v>1</v>
      </c>
      <c r="T32" s="143">
        <v>1</v>
      </c>
      <c r="U32" s="143">
        <v>1</v>
      </c>
      <c r="V32" s="143">
        <v>1</v>
      </c>
      <c r="W32" s="143">
        <v>1</v>
      </c>
      <c r="X32" s="143">
        <v>1</v>
      </c>
      <c r="Y32" s="143">
        <v>1</v>
      </c>
      <c r="Z32" s="143">
        <v>1</v>
      </c>
      <c r="AA32" s="143">
        <v>1</v>
      </c>
      <c r="AB32" s="143">
        <v>1</v>
      </c>
      <c r="AC32" s="143">
        <v>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9EB8B-1B7E-473A-8AB1-4F7914668288}">
  <dimension ref="A1:AC32"/>
  <sheetViews>
    <sheetView topLeftCell="I4" workbookViewId="0">
      <selection activeCell="P12" sqref="P12"/>
    </sheetView>
  </sheetViews>
  <sheetFormatPr defaultRowHeight="13.2" x14ac:dyDescent="0.25"/>
  <cols>
    <col min="1" max="1" width="12.109375" bestFit="1" customWidth="1"/>
    <col min="2" max="2" width="12.5546875" bestFit="1" customWidth="1"/>
    <col min="3" max="3" width="32" bestFit="1" customWidth="1"/>
    <col min="4" max="4" width="10" customWidth="1"/>
    <col min="5" max="5" width="16" bestFit="1" customWidth="1"/>
    <col min="6" max="6" width="9" bestFit="1" customWidth="1"/>
    <col min="7" max="7" width="12.44140625" bestFit="1" customWidth="1"/>
    <col min="9" max="9" width="13.21875" bestFit="1" customWidth="1"/>
    <col min="10" max="13" width="11.44140625" bestFit="1" customWidth="1"/>
    <col min="14" max="14" width="14.5546875" bestFit="1" customWidth="1"/>
    <col min="15" max="15" width="63.21875" customWidth="1"/>
    <col min="16" max="16" width="21.77734375" bestFit="1" customWidth="1"/>
    <col min="17" max="17" width="14.109375" bestFit="1" customWidth="1"/>
  </cols>
  <sheetData>
    <row r="1" spans="1:29" ht="27.6" x14ac:dyDescent="0.25">
      <c r="A1" s="35" t="s">
        <v>123</v>
      </c>
      <c r="B1" s="58" t="s">
        <v>1</v>
      </c>
      <c r="C1" s="35" t="s">
        <v>2</v>
      </c>
      <c r="D1" s="58" t="s">
        <v>3</v>
      </c>
      <c r="E1" s="35" t="s">
        <v>4</v>
      </c>
      <c r="F1" s="35" t="s">
        <v>5</v>
      </c>
      <c r="G1" s="35" t="s">
        <v>6</v>
      </c>
      <c r="H1" s="35" t="s">
        <v>7</v>
      </c>
      <c r="I1" s="58" t="s">
        <v>8</v>
      </c>
      <c r="J1" s="35" t="s">
        <v>9</v>
      </c>
      <c r="K1" s="35" t="s">
        <v>10</v>
      </c>
      <c r="L1" s="35" t="s">
        <v>126</v>
      </c>
      <c r="M1" s="35" t="s">
        <v>127</v>
      </c>
      <c r="N1" s="35" t="s">
        <v>11</v>
      </c>
      <c r="O1" s="35" t="s">
        <v>654</v>
      </c>
      <c r="P1" s="35" t="s">
        <v>655</v>
      </c>
      <c r="Q1" s="35" t="s">
        <v>656</v>
      </c>
      <c r="R1" s="35" t="s">
        <v>657</v>
      </c>
      <c r="S1" s="35" t="s">
        <v>658</v>
      </c>
      <c r="T1" s="35" t="s">
        <v>659</v>
      </c>
      <c r="U1" s="35" t="s">
        <v>660</v>
      </c>
      <c r="V1" s="35" t="s">
        <v>661</v>
      </c>
      <c r="W1" s="35" t="s">
        <v>662</v>
      </c>
      <c r="X1" s="35" t="s">
        <v>663</v>
      </c>
      <c r="Y1" s="35" t="s">
        <v>664</v>
      </c>
      <c r="Z1" s="35" t="s">
        <v>665</v>
      </c>
      <c r="AA1" s="35" t="s">
        <v>666</v>
      </c>
      <c r="AB1" s="35" t="s">
        <v>667</v>
      </c>
      <c r="AC1" s="35" t="s">
        <v>668</v>
      </c>
    </row>
    <row r="2" spans="1:29" s="117" customFormat="1" ht="30" customHeight="1" x14ac:dyDescent="0.25">
      <c r="A2" s="38">
        <v>7077626766</v>
      </c>
      <c r="B2" s="56" t="s">
        <v>767</v>
      </c>
      <c r="C2" s="43" t="s">
        <v>766</v>
      </c>
      <c r="D2" s="56" t="s">
        <v>308</v>
      </c>
      <c r="E2" s="56" t="s">
        <v>768</v>
      </c>
      <c r="F2" s="56" t="s">
        <v>349</v>
      </c>
      <c r="G2" s="56" t="s">
        <v>769</v>
      </c>
      <c r="H2" s="56" t="s">
        <v>347</v>
      </c>
      <c r="I2" s="56" t="s">
        <v>350</v>
      </c>
      <c r="J2" s="56" t="s">
        <v>115</v>
      </c>
      <c r="K2" s="56" t="s">
        <v>770</v>
      </c>
      <c r="L2" s="56"/>
      <c r="M2" s="56"/>
      <c r="N2" s="56" t="s">
        <v>16</v>
      </c>
      <c r="O2" s="144" t="s">
        <v>774</v>
      </c>
      <c r="P2" s="56" t="s">
        <v>21</v>
      </c>
      <c r="Q2" s="143">
        <v>1</v>
      </c>
      <c r="R2" s="143">
        <v>1</v>
      </c>
      <c r="S2" s="143">
        <v>1</v>
      </c>
      <c r="T2" s="143">
        <v>1</v>
      </c>
      <c r="U2" s="143">
        <v>1</v>
      </c>
      <c r="V2" s="143">
        <v>1</v>
      </c>
      <c r="W2" s="143">
        <v>1</v>
      </c>
      <c r="X2" s="143">
        <v>1</v>
      </c>
      <c r="Y2" s="143">
        <v>1</v>
      </c>
      <c r="Z2" s="143">
        <v>1</v>
      </c>
      <c r="AA2" s="143">
        <v>1</v>
      </c>
      <c r="AB2" s="143">
        <v>1</v>
      </c>
      <c r="AC2" s="143">
        <v>1</v>
      </c>
    </row>
    <row r="3" spans="1:29" s="117" customFormat="1" ht="30" customHeight="1" x14ac:dyDescent="0.25">
      <c r="A3" s="38">
        <v>7077626766</v>
      </c>
      <c r="B3" s="56" t="s">
        <v>767</v>
      </c>
      <c r="C3" s="43" t="s">
        <v>766</v>
      </c>
      <c r="D3" s="56" t="s">
        <v>308</v>
      </c>
      <c r="E3" s="56" t="s">
        <v>768</v>
      </c>
      <c r="F3" s="56" t="s">
        <v>349</v>
      </c>
      <c r="G3" s="56" t="s">
        <v>769</v>
      </c>
      <c r="H3" s="56" t="s">
        <v>347</v>
      </c>
      <c r="I3" s="56" t="s">
        <v>350</v>
      </c>
      <c r="J3" s="56" t="s">
        <v>115</v>
      </c>
      <c r="K3" s="56" t="s">
        <v>770</v>
      </c>
      <c r="L3" s="56"/>
      <c r="M3" s="56"/>
      <c r="N3" s="56" t="s">
        <v>16</v>
      </c>
      <c r="O3" s="144" t="s">
        <v>775</v>
      </c>
      <c r="P3" s="56" t="s">
        <v>21</v>
      </c>
      <c r="Q3" s="143">
        <v>1</v>
      </c>
      <c r="R3" s="143">
        <v>1</v>
      </c>
      <c r="S3" s="143">
        <v>1</v>
      </c>
      <c r="T3" s="143">
        <v>1</v>
      </c>
      <c r="U3" s="143">
        <v>1</v>
      </c>
      <c r="V3" s="143">
        <v>1</v>
      </c>
      <c r="W3" s="143">
        <v>1</v>
      </c>
      <c r="X3" s="143">
        <v>1</v>
      </c>
      <c r="Y3" s="143">
        <v>1</v>
      </c>
      <c r="Z3" s="143">
        <v>1</v>
      </c>
      <c r="AA3" s="143">
        <v>1</v>
      </c>
      <c r="AB3" s="143">
        <v>1</v>
      </c>
      <c r="AC3" s="143">
        <v>1</v>
      </c>
    </row>
    <row r="4" spans="1:29" s="117" customFormat="1" ht="30" customHeight="1" x14ac:dyDescent="0.25">
      <c r="A4" s="38">
        <v>7077626766</v>
      </c>
      <c r="B4" s="56" t="s">
        <v>767</v>
      </c>
      <c r="C4" s="43" t="s">
        <v>766</v>
      </c>
      <c r="D4" s="56" t="s">
        <v>308</v>
      </c>
      <c r="E4" s="56" t="s">
        <v>768</v>
      </c>
      <c r="F4" s="56" t="s">
        <v>349</v>
      </c>
      <c r="G4" s="56" t="s">
        <v>769</v>
      </c>
      <c r="H4" s="56" t="s">
        <v>347</v>
      </c>
      <c r="I4" s="56" t="s">
        <v>350</v>
      </c>
      <c r="J4" s="56" t="s">
        <v>115</v>
      </c>
      <c r="K4" s="56" t="s">
        <v>770</v>
      </c>
      <c r="L4" s="56"/>
      <c r="M4" s="56"/>
      <c r="N4" s="56" t="s">
        <v>16</v>
      </c>
      <c r="O4" s="144" t="s">
        <v>776</v>
      </c>
      <c r="P4" s="56" t="s">
        <v>21</v>
      </c>
      <c r="Q4" s="143">
        <v>1</v>
      </c>
      <c r="R4" s="143">
        <v>1</v>
      </c>
      <c r="S4" s="143">
        <v>1</v>
      </c>
      <c r="T4" s="143">
        <v>1</v>
      </c>
      <c r="U4" s="143">
        <v>1</v>
      </c>
      <c r="V4" s="143">
        <v>1</v>
      </c>
      <c r="W4" s="143">
        <v>1</v>
      </c>
      <c r="X4" s="143">
        <v>1</v>
      </c>
      <c r="Y4" s="143">
        <v>1</v>
      </c>
      <c r="Z4" s="143">
        <v>1</v>
      </c>
      <c r="AA4" s="143">
        <v>1</v>
      </c>
      <c r="AB4" s="143">
        <v>1</v>
      </c>
      <c r="AC4" s="143">
        <v>1</v>
      </c>
    </row>
    <row r="5" spans="1:29" s="117" customFormat="1" ht="30" customHeight="1" x14ac:dyDescent="0.25">
      <c r="A5" s="38">
        <v>7077626766</v>
      </c>
      <c r="B5" s="56" t="s">
        <v>767</v>
      </c>
      <c r="C5" s="43" t="s">
        <v>766</v>
      </c>
      <c r="D5" s="56" t="s">
        <v>308</v>
      </c>
      <c r="E5" s="56" t="s">
        <v>768</v>
      </c>
      <c r="F5" s="56" t="s">
        <v>349</v>
      </c>
      <c r="G5" s="56" t="s">
        <v>769</v>
      </c>
      <c r="H5" s="56" t="s">
        <v>347</v>
      </c>
      <c r="I5" s="56" t="s">
        <v>350</v>
      </c>
      <c r="J5" s="56" t="s">
        <v>115</v>
      </c>
      <c r="K5" s="56" t="s">
        <v>770</v>
      </c>
      <c r="L5" s="56"/>
      <c r="M5" s="56"/>
      <c r="N5" s="56" t="s">
        <v>16</v>
      </c>
      <c r="O5" s="144" t="s">
        <v>777</v>
      </c>
      <c r="P5" s="56" t="s">
        <v>21</v>
      </c>
      <c r="Q5" s="143">
        <v>1</v>
      </c>
      <c r="R5" s="143">
        <v>1</v>
      </c>
      <c r="S5" s="143">
        <v>1</v>
      </c>
      <c r="T5" s="143">
        <v>1</v>
      </c>
      <c r="U5" s="143">
        <v>1</v>
      </c>
      <c r="V5" s="143">
        <v>1</v>
      </c>
      <c r="W5" s="143">
        <v>1</v>
      </c>
      <c r="X5" s="143">
        <v>1</v>
      </c>
      <c r="Y5" s="143">
        <v>1</v>
      </c>
      <c r="Z5" s="143">
        <v>1</v>
      </c>
      <c r="AA5" s="143">
        <v>1</v>
      </c>
      <c r="AB5" s="143">
        <v>1</v>
      </c>
      <c r="AC5" s="143">
        <v>1</v>
      </c>
    </row>
    <row r="6" spans="1:29" s="117" customFormat="1" ht="30" customHeight="1" x14ac:dyDescent="0.25">
      <c r="A6" s="38">
        <v>7077626766</v>
      </c>
      <c r="B6" s="56" t="s">
        <v>767</v>
      </c>
      <c r="C6" s="43" t="s">
        <v>766</v>
      </c>
      <c r="D6" s="56" t="s">
        <v>308</v>
      </c>
      <c r="E6" s="56" t="s">
        <v>768</v>
      </c>
      <c r="F6" s="56" t="s">
        <v>349</v>
      </c>
      <c r="G6" s="56" t="s">
        <v>769</v>
      </c>
      <c r="H6" s="56" t="s">
        <v>347</v>
      </c>
      <c r="I6" s="56" t="s">
        <v>350</v>
      </c>
      <c r="J6" s="56" t="s">
        <v>115</v>
      </c>
      <c r="K6" s="56" t="s">
        <v>770</v>
      </c>
      <c r="L6" s="56"/>
      <c r="M6" s="56"/>
      <c r="N6" s="56" t="s">
        <v>16</v>
      </c>
      <c r="O6" s="144" t="s">
        <v>778</v>
      </c>
      <c r="P6" s="56" t="s">
        <v>21</v>
      </c>
      <c r="Q6" s="143">
        <v>1</v>
      </c>
      <c r="R6" s="143">
        <v>1</v>
      </c>
      <c r="S6" s="143">
        <v>1</v>
      </c>
      <c r="T6" s="143">
        <v>1</v>
      </c>
      <c r="U6" s="143">
        <v>1</v>
      </c>
      <c r="V6" s="143">
        <v>1</v>
      </c>
      <c r="W6" s="143">
        <v>1</v>
      </c>
      <c r="X6" s="143">
        <v>1</v>
      </c>
      <c r="Y6" s="143">
        <v>1</v>
      </c>
      <c r="Z6" s="143">
        <v>1</v>
      </c>
      <c r="AA6" s="143">
        <v>1</v>
      </c>
      <c r="AB6" s="143">
        <v>1</v>
      </c>
      <c r="AC6" s="143">
        <v>1</v>
      </c>
    </row>
    <row r="7" spans="1:29" s="117" customFormat="1" ht="30" customHeight="1" x14ac:dyDescent="0.25">
      <c r="A7" s="38">
        <v>7077626766</v>
      </c>
      <c r="B7" s="56" t="s">
        <v>767</v>
      </c>
      <c r="C7" s="43" t="s">
        <v>766</v>
      </c>
      <c r="D7" s="56" t="s">
        <v>308</v>
      </c>
      <c r="E7" s="56" t="s">
        <v>768</v>
      </c>
      <c r="F7" s="56" t="s">
        <v>349</v>
      </c>
      <c r="G7" s="56" t="s">
        <v>769</v>
      </c>
      <c r="H7" s="56" t="s">
        <v>347</v>
      </c>
      <c r="I7" s="56" t="s">
        <v>350</v>
      </c>
      <c r="J7" s="56" t="s">
        <v>115</v>
      </c>
      <c r="K7" s="56" t="s">
        <v>770</v>
      </c>
      <c r="L7" s="56"/>
      <c r="M7" s="56"/>
      <c r="N7" s="56" t="s">
        <v>16</v>
      </c>
      <c r="O7" s="144" t="s">
        <v>779</v>
      </c>
      <c r="P7" s="56" t="s">
        <v>21</v>
      </c>
      <c r="Q7" s="143">
        <v>1</v>
      </c>
      <c r="R7" s="143">
        <v>1</v>
      </c>
      <c r="S7" s="143">
        <v>1</v>
      </c>
      <c r="T7" s="143">
        <v>1</v>
      </c>
      <c r="U7" s="143">
        <v>1</v>
      </c>
      <c r="V7" s="143">
        <v>1</v>
      </c>
      <c r="W7" s="143">
        <v>1</v>
      </c>
      <c r="X7" s="143">
        <v>1</v>
      </c>
      <c r="Y7" s="143">
        <v>1</v>
      </c>
      <c r="Z7" s="143">
        <v>1</v>
      </c>
      <c r="AA7" s="143">
        <v>1</v>
      </c>
      <c r="AB7" s="143">
        <v>1</v>
      </c>
      <c r="AC7" s="143">
        <v>1</v>
      </c>
    </row>
    <row r="8" spans="1:29" s="117" customFormat="1" ht="30" customHeight="1" x14ac:dyDescent="0.25">
      <c r="A8" s="38">
        <v>7077626766</v>
      </c>
      <c r="B8" s="56" t="s">
        <v>767</v>
      </c>
      <c r="C8" s="43" t="s">
        <v>766</v>
      </c>
      <c r="D8" s="56" t="s">
        <v>308</v>
      </c>
      <c r="E8" s="56" t="s">
        <v>768</v>
      </c>
      <c r="F8" s="56" t="s">
        <v>349</v>
      </c>
      <c r="G8" s="56" t="s">
        <v>769</v>
      </c>
      <c r="H8" s="56" t="s">
        <v>347</v>
      </c>
      <c r="I8" s="56" t="s">
        <v>350</v>
      </c>
      <c r="J8" s="56" t="s">
        <v>115</v>
      </c>
      <c r="K8" s="56" t="s">
        <v>770</v>
      </c>
      <c r="L8" s="56"/>
      <c r="M8" s="56"/>
      <c r="N8" s="56" t="s">
        <v>16</v>
      </c>
      <c r="O8" s="144" t="s">
        <v>780</v>
      </c>
      <c r="P8" s="142" t="s">
        <v>18</v>
      </c>
      <c r="Q8" s="81">
        <v>1</v>
      </c>
      <c r="R8" s="81"/>
      <c r="S8" s="81"/>
      <c r="T8" s="81"/>
      <c r="U8" s="81"/>
      <c r="V8" s="81">
        <v>1</v>
      </c>
      <c r="W8" s="81"/>
      <c r="X8" s="81"/>
      <c r="Y8" s="81"/>
      <c r="Z8" s="81"/>
      <c r="AA8" s="81"/>
      <c r="AB8" s="81"/>
      <c r="AC8" s="81"/>
    </row>
    <row r="9" spans="1:29" s="117" customFormat="1" ht="30" customHeight="1" x14ac:dyDescent="0.25">
      <c r="A9" s="38">
        <v>7077626766</v>
      </c>
      <c r="B9" s="56" t="s">
        <v>767</v>
      </c>
      <c r="C9" s="43" t="s">
        <v>766</v>
      </c>
      <c r="D9" s="56" t="s">
        <v>308</v>
      </c>
      <c r="E9" s="56" t="s">
        <v>768</v>
      </c>
      <c r="F9" s="56" t="s">
        <v>349</v>
      </c>
      <c r="G9" s="56" t="s">
        <v>769</v>
      </c>
      <c r="H9" s="56" t="s">
        <v>347</v>
      </c>
      <c r="I9" s="56" t="s">
        <v>350</v>
      </c>
      <c r="J9" s="56" t="s">
        <v>115</v>
      </c>
      <c r="K9" s="56" t="s">
        <v>770</v>
      </c>
      <c r="L9" s="56"/>
      <c r="M9" s="56"/>
      <c r="N9" s="56" t="s">
        <v>16</v>
      </c>
      <c r="O9" s="144" t="s">
        <v>781</v>
      </c>
      <c r="P9" s="142" t="s">
        <v>18</v>
      </c>
      <c r="Q9" s="81">
        <v>12</v>
      </c>
      <c r="R9" s="81">
        <v>1</v>
      </c>
      <c r="S9" s="81">
        <v>1</v>
      </c>
      <c r="T9" s="81">
        <v>1</v>
      </c>
      <c r="U9" s="81">
        <v>1</v>
      </c>
      <c r="V9" s="81">
        <v>1</v>
      </c>
      <c r="W9" s="81">
        <v>1</v>
      </c>
      <c r="X9" s="81">
        <v>1</v>
      </c>
      <c r="Y9" s="81">
        <v>1</v>
      </c>
      <c r="Z9" s="81">
        <v>1</v>
      </c>
      <c r="AA9" s="81">
        <v>1</v>
      </c>
      <c r="AB9" s="81">
        <v>1</v>
      </c>
      <c r="AC9" s="81">
        <v>1</v>
      </c>
    </row>
    <row r="10" spans="1:29" s="117" customFormat="1" ht="30" customHeight="1" x14ac:dyDescent="0.25">
      <c r="A10" s="38">
        <v>7077626766</v>
      </c>
      <c r="B10" s="56" t="s">
        <v>767</v>
      </c>
      <c r="C10" s="43" t="s">
        <v>766</v>
      </c>
      <c r="D10" s="56" t="s">
        <v>308</v>
      </c>
      <c r="E10" s="56" t="s">
        <v>768</v>
      </c>
      <c r="F10" s="56" t="s">
        <v>349</v>
      </c>
      <c r="G10" s="56" t="s">
        <v>769</v>
      </c>
      <c r="H10" s="56" t="s">
        <v>347</v>
      </c>
      <c r="I10" s="56" t="s">
        <v>350</v>
      </c>
      <c r="J10" s="56" t="s">
        <v>115</v>
      </c>
      <c r="K10" s="56" t="s">
        <v>770</v>
      </c>
      <c r="L10" s="56"/>
      <c r="M10" s="56"/>
      <c r="N10" s="56" t="s">
        <v>16</v>
      </c>
      <c r="O10" s="144" t="s">
        <v>782</v>
      </c>
      <c r="P10" s="142" t="s">
        <v>18</v>
      </c>
      <c r="Q10" s="81">
        <v>12</v>
      </c>
      <c r="R10" s="81">
        <v>1</v>
      </c>
      <c r="S10" s="81">
        <v>1</v>
      </c>
      <c r="T10" s="81">
        <v>1</v>
      </c>
      <c r="U10" s="81">
        <v>1</v>
      </c>
      <c r="V10" s="81">
        <v>1</v>
      </c>
      <c r="W10" s="81">
        <v>1</v>
      </c>
      <c r="X10" s="81">
        <v>1</v>
      </c>
      <c r="Y10" s="81">
        <v>1</v>
      </c>
      <c r="Z10" s="81">
        <v>1</v>
      </c>
      <c r="AA10" s="81">
        <v>1</v>
      </c>
      <c r="AB10" s="81">
        <v>1</v>
      </c>
      <c r="AC10" s="81">
        <v>1</v>
      </c>
    </row>
    <row r="11" spans="1:29" s="117" customFormat="1" ht="30" customHeight="1" x14ac:dyDescent="0.25">
      <c r="A11" s="38">
        <v>7077626766</v>
      </c>
      <c r="B11" s="56" t="s">
        <v>767</v>
      </c>
      <c r="C11" s="43" t="s">
        <v>766</v>
      </c>
      <c r="D11" s="56" t="s">
        <v>308</v>
      </c>
      <c r="E11" s="56" t="s">
        <v>768</v>
      </c>
      <c r="F11" s="56" t="s">
        <v>349</v>
      </c>
      <c r="G11" s="56" t="s">
        <v>769</v>
      </c>
      <c r="H11" s="56" t="s">
        <v>347</v>
      </c>
      <c r="I11" s="56" t="s">
        <v>350</v>
      </c>
      <c r="J11" s="56" t="s">
        <v>115</v>
      </c>
      <c r="K11" s="56" t="s">
        <v>770</v>
      </c>
      <c r="L11" s="56"/>
      <c r="M11" s="56"/>
      <c r="N11" s="56" t="s">
        <v>16</v>
      </c>
      <c r="O11" s="144" t="s">
        <v>783</v>
      </c>
      <c r="P11" s="81"/>
      <c r="Q11" s="136" t="s">
        <v>784</v>
      </c>
      <c r="R11" s="81"/>
      <c r="S11" s="81"/>
      <c r="T11" s="81"/>
      <c r="U11" s="81"/>
      <c r="V11" s="81"/>
      <c r="W11" s="81"/>
      <c r="X11" s="81"/>
      <c r="Y11" s="81"/>
      <c r="Z11" s="81"/>
      <c r="AA11" s="81"/>
      <c r="AB11" s="81"/>
      <c r="AC11" s="81"/>
    </row>
    <row r="12" spans="1:29" s="117" customFormat="1" ht="30" customHeight="1" x14ac:dyDescent="0.25">
      <c r="A12" s="38">
        <v>7077626766</v>
      </c>
      <c r="B12" s="56" t="s">
        <v>767</v>
      </c>
      <c r="C12" s="43" t="s">
        <v>766</v>
      </c>
      <c r="D12" s="56" t="s">
        <v>308</v>
      </c>
      <c r="E12" s="56" t="s">
        <v>768</v>
      </c>
      <c r="F12" s="56" t="s">
        <v>349</v>
      </c>
      <c r="G12" s="56" t="s">
        <v>769</v>
      </c>
      <c r="H12" s="56" t="s">
        <v>347</v>
      </c>
      <c r="I12" s="56" t="s">
        <v>350</v>
      </c>
      <c r="J12" s="56" t="s">
        <v>115</v>
      </c>
      <c r="K12" s="56" t="s">
        <v>770</v>
      </c>
      <c r="L12" s="56"/>
      <c r="M12" s="56"/>
      <c r="N12" s="56" t="s">
        <v>16</v>
      </c>
      <c r="O12" s="144" t="s">
        <v>785</v>
      </c>
      <c r="P12" s="81"/>
      <c r="Q12" s="136" t="s">
        <v>784</v>
      </c>
      <c r="R12" s="81"/>
      <c r="S12" s="81"/>
      <c r="T12" s="81"/>
      <c r="U12" s="81"/>
      <c r="V12" s="81"/>
      <c r="W12" s="81"/>
      <c r="X12" s="81"/>
      <c r="Y12" s="81"/>
      <c r="Z12" s="81"/>
      <c r="AA12" s="81"/>
      <c r="AB12" s="81"/>
      <c r="AC12" s="81"/>
    </row>
    <row r="13" spans="1:29" s="117" customFormat="1" ht="30" customHeight="1" x14ac:dyDescent="0.25">
      <c r="A13" s="38">
        <v>7077626766</v>
      </c>
      <c r="B13" s="56" t="s">
        <v>767</v>
      </c>
      <c r="C13" s="43" t="s">
        <v>766</v>
      </c>
      <c r="D13" s="56" t="s">
        <v>308</v>
      </c>
      <c r="E13" s="56" t="s">
        <v>768</v>
      </c>
      <c r="F13" s="56" t="s">
        <v>349</v>
      </c>
      <c r="G13" s="56" t="s">
        <v>769</v>
      </c>
      <c r="H13" s="56" t="s">
        <v>347</v>
      </c>
      <c r="I13" s="56" t="s">
        <v>350</v>
      </c>
      <c r="J13" s="56" t="s">
        <v>115</v>
      </c>
      <c r="K13" s="56" t="s">
        <v>770</v>
      </c>
      <c r="L13" s="56"/>
      <c r="M13" s="56"/>
      <c r="N13" s="56" t="s">
        <v>16</v>
      </c>
      <c r="O13" s="144" t="s">
        <v>786</v>
      </c>
      <c r="P13" s="81"/>
      <c r="Q13" s="136" t="s">
        <v>784</v>
      </c>
      <c r="R13" s="81"/>
      <c r="S13" s="81"/>
      <c r="T13" s="81"/>
      <c r="U13" s="81"/>
      <c r="V13" s="81"/>
      <c r="W13" s="81"/>
      <c r="X13" s="81"/>
      <c r="Y13" s="81"/>
      <c r="Z13" s="81"/>
      <c r="AA13" s="81"/>
      <c r="AB13" s="81"/>
      <c r="AC13" s="81"/>
    </row>
    <row r="14" spans="1:29" s="117" customFormat="1" ht="30" customHeight="1" x14ac:dyDescent="0.25">
      <c r="A14" s="38">
        <v>7077626766</v>
      </c>
      <c r="B14" s="56" t="s">
        <v>767</v>
      </c>
      <c r="C14" s="43" t="s">
        <v>766</v>
      </c>
      <c r="D14" s="56" t="s">
        <v>308</v>
      </c>
      <c r="E14" s="56" t="s">
        <v>768</v>
      </c>
      <c r="F14" s="56" t="s">
        <v>349</v>
      </c>
      <c r="G14" s="56" t="s">
        <v>769</v>
      </c>
      <c r="H14" s="56" t="s">
        <v>347</v>
      </c>
      <c r="I14" s="56" t="s">
        <v>350</v>
      </c>
      <c r="J14" s="56" t="s">
        <v>115</v>
      </c>
      <c r="K14" s="56" t="s">
        <v>770</v>
      </c>
      <c r="L14" s="56"/>
      <c r="M14" s="56"/>
      <c r="N14" s="56" t="s">
        <v>16</v>
      </c>
      <c r="O14" s="144" t="s">
        <v>787</v>
      </c>
      <c r="P14" s="56" t="s">
        <v>21</v>
      </c>
      <c r="Q14" s="143">
        <v>1</v>
      </c>
      <c r="R14" s="143">
        <v>1</v>
      </c>
      <c r="S14" s="143">
        <v>1</v>
      </c>
      <c r="T14" s="143">
        <v>1</v>
      </c>
      <c r="U14" s="143">
        <v>1</v>
      </c>
      <c r="V14" s="143">
        <v>1</v>
      </c>
      <c r="W14" s="143">
        <v>1</v>
      </c>
      <c r="X14" s="143">
        <v>1</v>
      </c>
      <c r="Y14" s="143">
        <v>1</v>
      </c>
      <c r="Z14" s="143">
        <v>1</v>
      </c>
      <c r="AA14" s="143">
        <v>1</v>
      </c>
      <c r="AB14" s="143">
        <v>1</v>
      </c>
      <c r="AC14" s="143">
        <v>1</v>
      </c>
    </row>
    <row r="15" spans="1:29" s="117" customFormat="1" ht="30" customHeight="1" x14ac:dyDescent="0.25">
      <c r="A15" s="38">
        <v>7077626766</v>
      </c>
      <c r="B15" s="56" t="s">
        <v>767</v>
      </c>
      <c r="C15" s="43" t="s">
        <v>766</v>
      </c>
      <c r="D15" s="56" t="s">
        <v>308</v>
      </c>
      <c r="E15" s="56" t="s">
        <v>768</v>
      </c>
      <c r="F15" s="56" t="s">
        <v>349</v>
      </c>
      <c r="G15" s="56" t="s">
        <v>769</v>
      </c>
      <c r="H15" s="56" t="s">
        <v>347</v>
      </c>
      <c r="I15" s="56" t="s">
        <v>350</v>
      </c>
      <c r="J15" s="56" t="s">
        <v>115</v>
      </c>
      <c r="K15" s="56" t="s">
        <v>770</v>
      </c>
      <c r="L15" s="56"/>
      <c r="M15" s="56"/>
      <c r="N15" s="56" t="s">
        <v>16</v>
      </c>
      <c r="O15" s="144" t="s">
        <v>788</v>
      </c>
      <c r="P15" s="56" t="s">
        <v>21</v>
      </c>
      <c r="Q15" s="143">
        <v>1</v>
      </c>
      <c r="R15" s="143">
        <v>1</v>
      </c>
      <c r="S15" s="143">
        <v>1</v>
      </c>
      <c r="T15" s="143">
        <v>1</v>
      </c>
      <c r="U15" s="143">
        <v>1</v>
      </c>
      <c r="V15" s="143">
        <v>1</v>
      </c>
      <c r="W15" s="143">
        <v>1</v>
      </c>
      <c r="X15" s="143">
        <v>1</v>
      </c>
      <c r="Y15" s="143">
        <v>1</v>
      </c>
      <c r="Z15" s="143">
        <v>1</v>
      </c>
      <c r="AA15" s="143">
        <v>1</v>
      </c>
      <c r="AB15" s="143">
        <v>1</v>
      </c>
      <c r="AC15" s="143">
        <v>1</v>
      </c>
    </row>
    <row r="16" spans="1:29" s="117" customFormat="1" ht="30" customHeight="1" x14ac:dyDescent="0.25">
      <c r="A16" s="38">
        <v>7077626766</v>
      </c>
      <c r="B16" s="56" t="s">
        <v>767</v>
      </c>
      <c r="C16" s="43" t="s">
        <v>766</v>
      </c>
      <c r="D16" s="56" t="s">
        <v>308</v>
      </c>
      <c r="E16" s="56" t="s">
        <v>768</v>
      </c>
      <c r="F16" s="56" t="s">
        <v>349</v>
      </c>
      <c r="G16" s="56" t="s">
        <v>769</v>
      </c>
      <c r="H16" s="56" t="s">
        <v>347</v>
      </c>
      <c r="I16" s="56" t="s">
        <v>350</v>
      </c>
      <c r="J16" s="56" t="s">
        <v>115</v>
      </c>
      <c r="K16" s="56" t="s">
        <v>770</v>
      </c>
      <c r="L16" s="56"/>
      <c r="M16" s="56"/>
      <c r="N16" s="56" t="s">
        <v>16</v>
      </c>
      <c r="O16" s="144" t="s">
        <v>789</v>
      </c>
      <c r="P16" s="56" t="s">
        <v>21</v>
      </c>
      <c r="Q16" s="143">
        <v>1</v>
      </c>
      <c r="R16" s="143">
        <v>1</v>
      </c>
      <c r="S16" s="143">
        <v>1</v>
      </c>
      <c r="T16" s="143">
        <v>1</v>
      </c>
      <c r="U16" s="143">
        <v>1</v>
      </c>
      <c r="V16" s="143">
        <v>1</v>
      </c>
      <c r="W16" s="143">
        <v>1</v>
      </c>
      <c r="X16" s="143">
        <v>1</v>
      </c>
      <c r="Y16" s="143">
        <v>1</v>
      </c>
      <c r="Z16" s="143">
        <v>1</v>
      </c>
      <c r="AA16" s="143">
        <v>1</v>
      </c>
      <c r="AB16" s="143">
        <v>1</v>
      </c>
      <c r="AC16" s="143">
        <v>1</v>
      </c>
    </row>
    <row r="17" spans="1:29" s="117" customFormat="1" ht="30" customHeight="1" x14ac:dyDescent="0.25">
      <c r="A17" s="38">
        <v>7077626766</v>
      </c>
      <c r="B17" s="56" t="s">
        <v>767</v>
      </c>
      <c r="C17" s="43" t="s">
        <v>766</v>
      </c>
      <c r="D17" s="56" t="s">
        <v>308</v>
      </c>
      <c r="E17" s="56" t="s">
        <v>768</v>
      </c>
      <c r="F17" s="56" t="s">
        <v>349</v>
      </c>
      <c r="G17" s="56" t="s">
        <v>769</v>
      </c>
      <c r="H17" s="56" t="s">
        <v>347</v>
      </c>
      <c r="I17" s="56" t="s">
        <v>350</v>
      </c>
      <c r="J17" s="56" t="s">
        <v>115</v>
      </c>
      <c r="K17" s="56" t="s">
        <v>770</v>
      </c>
      <c r="L17" s="56"/>
      <c r="M17" s="56"/>
      <c r="N17" s="56" t="s">
        <v>16</v>
      </c>
      <c r="O17" s="144" t="s">
        <v>790</v>
      </c>
      <c r="P17" s="56" t="s">
        <v>21</v>
      </c>
      <c r="Q17" s="143">
        <v>1</v>
      </c>
      <c r="R17" s="143">
        <v>1</v>
      </c>
      <c r="S17" s="143">
        <v>1</v>
      </c>
      <c r="T17" s="143">
        <v>1</v>
      </c>
      <c r="U17" s="143">
        <v>1</v>
      </c>
      <c r="V17" s="143">
        <v>1</v>
      </c>
      <c r="W17" s="143">
        <v>1</v>
      </c>
      <c r="X17" s="143">
        <v>1</v>
      </c>
      <c r="Y17" s="143">
        <v>1</v>
      </c>
      <c r="Z17" s="143">
        <v>1</v>
      </c>
      <c r="AA17" s="143">
        <v>1</v>
      </c>
      <c r="AB17" s="143">
        <v>1</v>
      </c>
      <c r="AC17" s="143">
        <v>1</v>
      </c>
    </row>
    <row r="18" spans="1:29" s="117" customFormat="1" ht="30" customHeight="1" x14ac:dyDescent="0.25">
      <c r="A18" s="38">
        <v>7077626766</v>
      </c>
      <c r="B18" s="56" t="s">
        <v>767</v>
      </c>
      <c r="C18" s="43" t="s">
        <v>766</v>
      </c>
      <c r="D18" s="56" t="s">
        <v>308</v>
      </c>
      <c r="E18" s="56" t="s">
        <v>768</v>
      </c>
      <c r="F18" s="56" t="s">
        <v>349</v>
      </c>
      <c r="G18" s="56" t="s">
        <v>769</v>
      </c>
      <c r="H18" s="56" t="s">
        <v>347</v>
      </c>
      <c r="I18" s="56" t="s">
        <v>350</v>
      </c>
      <c r="J18" s="56" t="s">
        <v>115</v>
      </c>
      <c r="K18" s="56" t="s">
        <v>770</v>
      </c>
      <c r="L18" s="56"/>
      <c r="M18" s="56"/>
      <c r="N18" s="56" t="s">
        <v>16</v>
      </c>
      <c r="O18" s="144" t="s">
        <v>791</v>
      </c>
      <c r="P18" s="142" t="s">
        <v>18</v>
      </c>
      <c r="Q18" s="81">
        <v>12</v>
      </c>
      <c r="R18" s="81">
        <v>3</v>
      </c>
      <c r="S18" s="81">
        <v>3</v>
      </c>
      <c r="T18" s="81"/>
      <c r="U18" s="81"/>
      <c r="V18" s="81"/>
      <c r="W18" s="81"/>
      <c r="X18" s="81"/>
      <c r="Y18" s="81"/>
      <c r="Z18" s="81"/>
      <c r="AA18" s="81">
        <v>3</v>
      </c>
      <c r="AB18" s="81">
        <v>3</v>
      </c>
      <c r="AC18" s="81"/>
    </row>
    <row r="19" spans="1:29" s="117" customFormat="1" ht="30" customHeight="1" x14ac:dyDescent="0.25">
      <c r="A19" s="38">
        <v>7077626766</v>
      </c>
      <c r="B19" s="56" t="s">
        <v>767</v>
      </c>
      <c r="C19" s="43" t="s">
        <v>766</v>
      </c>
      <c r="D19" s="56" t="s">
        <v>308</v>
      </c>
      <c r="E19" s="56" t="s">
        <v>768</v>
      </c>
      <c r="F19" s="56" t="s">
        <v>349</v>
      </c>
      <c r="G19" s="56" t="s">
        <v>769</v>
      </c>
      <c r="H19" s="56" t="s">
        <v>347</v>
      </c>
      <c r="I19" s="56" t="s">
        <v>350</v>
      </c>
      <c r="J19" s="56" t="s">
        <v>115</v>
      </c>
      <c r="K19" s="56" t="s">
        <v>770</v>
      </c>
      <c r="L19" s="56"/>
      <c r="M19" s="56"/>
      <c r="N19" s="56" t="s">
        <v>16</v>
      </c>
      <c r="O19" s="144" t="s">
        <v>792</v>
      </c>
      <c r="P19" s="81"/>
      <c r="Q19" s="81" t="s">
        <v>793</v>
      </c>
      <c r="R19" s="81">
        <v>3</v>
      </c>
      <c r="S19" s="81">
        <v>3</v>
      </c>
      <c r="T19" s="81"/>
      <c r="U19" s="81"/>
      <c r="V19" s="81"/>
      <c r="W19" s="81"/>
      <c r="X19" s="81"/>
      <c r="Y19" s="81"/>
      <c r="Z19" s="81"/>
      <c r="AA19" s="81">
        <v>3</v>
      </c>
      <c r="AB19" s="81">
        <v>3</v>
      </c>
      <c r="AC19" s="81"/>
    </row>
    <row r="20" spans="1:29" s="117" customFormat="1" ht="30" customHeight="1" x14ac:dyDescent="0.25">
      <c r="A20" s="38">
        <v>7077626766</v>
      </c>
      <c r="B20" s="56" t="s">
        <v>767</v>
      </c>
      <c r="C20" s="43" t="s">
        <v>766</v>
      </c>
      <c r="D20" s="56" t="s">
        <v>308</v>
      </c>
      <c r="E20" s="56" t="s">
        <v>768</v>
      </c>
      <c r="F20" s="56" t="s">
        <v>349</v>
      </c>
      <c r="G20" s="56" t="s">
        <v>769</v>
      </c>
      <c r="H20" s="56" t="s">
        <v>347</v>
      </c>
      <c r="I20" s="56" t="s">
        <v>350</v>
      </c>
      <c r="J20" s="56" t="s">
        <v>115</v>
      </c>
      <c r="K20" s="56" t="s">
        <v>770</v>
      </c>
      <c r="L20" s="56"/>
      <c r="M20" s="56"/>
      <c r="N20" s="56" t="s">
        <v>16</v>
      </c>
      <c r="O20" s="144" t="s">
        <v>794</v>
      </c>
      <c r="P20" s="142" t="s">
        <v>18</v>
      </c>
      <c r="Q20" s="81">
        <v>12</v>
      </c>
      <c r="R20" s="81">
        <v>3</v>
      </c>
      <c r="S20" s="81">
        <v>3</v>
      </c>
      <c r="T20" s="81"/>
      <c r="U20" s="81"/>
      <c r="V20" s="81"/>
      <c r="W20" s="81"/>
      <c r="X20" s="81"/>
      <c r="Y20" s="81"/>
      <c r="Z20" s="81"/>
      <c r="AA20" s="81">
        <v>3</v>
      </c>
      <c r="AB20" s="81">
        <v>3</v>
      </c>
      <c r="AC20" s="81"/>
    </row>
    <row r="21" spans="1:29" s="117" customFormat="1" ht="30" customHeight="1" x14ac:dyDescent="0.25">
      <c r="A21" s="38">
        <v>7077626766</v>
      </c>
      <c r="B21" s="56" t="s">
        <v>767</v>
      </c>
      <c r="C21" s="43" t="s">
        <v>766</v>
      </c>
      <c r="D21" s="56" t="s">
        <v>308</v>
      </c>
      <c r="E21" s="56" t="s">
        <v>768</v>
      </c>
      <c r="F21" s="56" t="s">
        <v>349</v>
      </c>
      <c r="G21" s="56" t="s">
        <v>769</v>
      </c>
      <c r="H21" s="56" t="s">
        <v>347</v>
      </c>
      <c r="I21" s="56" t="s">
        <v>350</v>
      </c>
      <c r="J21" s="56" t="s">
        <v>115</v>
      </c>
      <c r="K21" s="56" t="s">
        <v>770</v>
      </c>
      <c r="L21" s="56"/>
      <c r="M21" s="56"/>
      <c r="N21" s="56" t="s">
        <v>16</v>
      </c>
      <c r="O21" s="144" t="s">
        <v>795</v>
      </c>
      <c r="P21" s="142" t="s">
        <v>18</v>
      </c>
      <c r="Q21" s="81">
        <v>12</v>
      </c>
      <c r="R21" s="81">
        <v>3</v>
      </c>
      <c r="S21" s="81">
        <v>3</v>
      </c>
      <c r="T21" s="81"/>
      <c r="U21" s="81"/>
      <c r="V21" s="81"/>
      <c r="W21" s="81"/>
      <c r="X21" s="81"/>
      <c r="Y21" s="81"/>
      <c r="Z21" s="81"/>
      <c r="AA21" s="81">
        <v>3</v>
      </c>
      <c r="AB21" s="81">
        <v>3</v>
      </c>
      <c r="AC21" s="81"/>
    </row>
    <row r="22" spans="1:29" s="117" customFormat="1" ht="30" customHeight="1" x14ac:dyDescent="0.25">
      <c r="A22" s="38">
        <v>7077626766</v>
      </c>
      <c r="B22" s="56" t="s">
        <v>767</v>
      </c>
      <c r="C22" s="43" t="s">
        <v>766</v>
      </c>
      <c r="D22" s="56" t="s">
        <v>308</v>
      </c>
      <c r="E22" s="56" t="s">
        <v>768</v>
      </c>
      <c r="F22" s="56" t="s">
        <v>349</v>
      </c>
      <c r="G22" s="56" t="s">
        <v>769</v>
      </c>
      <c r="H22" s="56" t="s">
        <v>347</v>
      </c>
      <c r="I22" s="56" t="s">
        <v>350</v>
      </c>
      <c r="J22" s="56" t="s">
        <v>115</v>
      </c>
      <c r="K22" s="56" t="s">
        <v>770</v>
      </c>
      <c r="L22" s="56"/>
      <c r="M22" s="56"/>
      <c r="N22" s="56" t="s">
        <v>16</v>
      </c>
      <c r="O22" s="144" t="s">
        <v>796</v>
      </c>
      <c r="P22" s="142" t="s">
        <v>18</v>
      </c>
      <c r="Q22" s="81">
        <v>12</v>
      </c>
      <c r="R22" s="81">
        <v>3</v>
      </c>
      <c r="S22" s="81">
        <v>3</v>
      </c>
      <c r="T22" s="81"/>
      <c r="U22" s="81"/>
      <c r="V22" s="81"/>
      <c r="W22" s="81"/>
      <c r="X22" s="81"/>
      <c r="Y22" s="81"/>
      <c r="Z22" s="81"/>
      <c r="AA22" s="81">
        <v>3</v>
      </c>
      <c r="AB22" s="81">
        <v>3</v>
      </c>
      <c r="AC22" s="81"/>
    </row>
    <row r="23" spans="1:29" s="117" customFormat="1" ht="30" customHeight="1" x14ac:dyDescent="0.25">
      <c r="A23" s="38">
        <v>7077626766</v>
      </c>
      <c r="B23" s="56" t="s">
        <v>767</v>
      </c>
      <c r="C23" s="43" t="s">
        <v>766</v>
      </c>
      <c r="D23" s="56" t="s">
        <v>308</v>
      </c>
      <c r="E23" s="56" t="s">
        <v>768</v>
      </c>
      <c r="F23" s="56" t="s">
        <v>349</v>
      </c>
      <c r="G23" s="56" t="s">
        <v>769</v>
      </c>
      <c r="H23" s="56" t="s">
        <v>347</v>
      </c>
      <c r="I23" s="56" t="s">
        <v>350</v>
      </c>
      <c r="J23" s="56" t="s">
        <v>115</v>
      </c>
      <c r="K23" s="56" t="s">
        <v>770</v>
      </c>
      <c r="L23" s="56"/>
      <c r="M23" s="56"/>
      <c r="N23" s="56" t="s">
        <v>16</v>
      </c>
      <c r="O23" s="144" t="s">
        <v>797</v>
      </c>
      <c r="P23" s="142" t="s">
        <v>18</v>
      </c>
      <c r="Q23" s="81">
        <v>12</v>
      </c>
      <c r="R23" s="81">
        <v>3</v>
      </c>
      <c r="S23" s="81">
        <v>3</v>
      </c>
      <c r="T23" s="81"/>
      <c r="U23" s="81"/>
      <c r="V23" s="81"/>
      <c r="W23" s="81"/>
      <c r="X23" s="81"/>
      <c r="Y23" s="81"/>
      <c r="Z23" s="81"/>
      <c r="AA23" s="81">
        <v>3</v>
      </c>
      <c r="AB23" s="81">
        <v>3</v>
      </c>
      <c r="AC23" s="81"/>
    </row>
    <row r="24" spans="1:29" s="117" customFormat="1" ht="30" customHeight="1" x14ac:dyDescent="0.25">
      <c r="A24" s="38">
        <v>7077626766</v>
      </c>
      <c r="B24" s="56" t="s">
        <v>767</v>
      </c>
      <c r="C24" s="43" t="s">
        <v>766</v>
      </c>
      <c r="D24" s="56" t="s">
        <v>308</v>
      </c>
      <c r="E24" s="56" t="s">
        <v>768</v>
      </c>
      <c r="F24" s="56" t="s">
        <v>349</v>
      </c>
      <c r="G24" s="56" t="s">
        <v>769</v>
      </c>
      <c r="H24" s="56" t="s">
        <v>347</v>
      </c>
      <c r="I24" s="56" t="s">
        <v>350</v>
      </c>
      <c r="J24" s="56" t="s">
        <v>115</v>
      </c>
      <c r="K24" s="56" t="s">
        <v>770</v>
      </c>
      <c r="L24" s="56"/>
      <c r="M24" s="56"/>
      <c r="N24" s="56" t="s">
        <v>16</v>
      </c>
      <c r="O24" s="144" t="s">
        <v>798</v>
      </c>
      <c r="P24" s="142" t="s">
        <v>18</v>
      </c>
      <c r="Q24" s="81">
        <v>12</v>
      </c>
      <c r="R24" s="81">
        <v>3</v>
      </c>
      <c r="S24" s="81">
        <v>3</v>
      </c>
      <c r="T24" s="81"/>
      <c r="U24" s="81"/>
      <c r="V24" s="81"/>
      <c r="W24" s="81"/>
      <c r="X24" s="81"/>
      <c r="Y24" s="81"/>
      <c r="Z24" s="81"/>
      <c r="AA24" s="81">
        <v>3</v>
      </c>
      <c r="AB24" s="81">
        <v>3</v>
      </c>
      <c r="AC24" s="81"/>
    </row>
    <row r="25" spans="1:29" s="117" customFormat="1" ht="30" customHeight="1" x14ac:dyDescent="0.25">
      <c r="A25" s="38">
        <v>7077626766</v>
      </c>
      <c r="B25" s="56" t="s">
        <v>767</v>
      </c>
      <c r="C25" s="43" t="s">
        <v>766</v>
      </c>
      <c r="D25" s="56" t="s">
        <v>308</v>
      </c>
      <c r="E25" s="56" t="s">
        <v>768</v>
      </c>
      <c r="F25" s="56" t="s">
        <v>349</v>
      </c>
      <c r="G25" s="56" t="s">
        <v>769</v>
      </c>
      <c r="H25" s="56" t="s">
        <v>347</v>
      </c>
      <c r="I25" s="56" t="s">
        <v>350</v>
      </c>
      <c r="J25" s="56" t="s">
        <v>115</v>
      </c>
      <c r="K25" s="56" t="s">
        <v>770</v>
      </c>
      <c r="L25" s="56"/>
      <c r="M25" s="56"/>
      <c r="N25" s="56" t="s">
        <v>16</v>
      </c>
      <c r="O25" s="144" t="s">
        <v>799</v>
      </c>
      <c r="P25" s="81"/>
      <c r="Q25" s="136" t="s">
        <v>784</v>
      </c>
      <c r="R25" s="81"/>
      <c r="S25" s="81"/>
      <c r="T25" s="81"/>
      <c r="U25" s="81"/>
      <c r="V25" s="81"/>
      <c r="W25" s="81"/>
      <c r="X25" s="81"/>
      <c r="Y25" s="81"/>
      <c r="Z25" s="81"/>
      <c r="AA25" s="81"/>
      <c r="AB25" s="81"/>
      <c r="AC25" s="81"/>
    </row>
    <row r="26" spans="1:29" s="117" customFormat="1" ht="30" customHeight="1" x14ac:dyDescent="0.25">
      <c r="A26" s="38">
        <v>7077626766</v>
      </c>
      <c r="B26" s="56" t="s">
        <v>767</v>
      </c>
      <c r="C26" s="43" t="s">
        <v>766</v>
      </c>
      <c r="D26" s="56" t="s">
        <v>308</v>
      </c>
      <c r="E26" s="56" t="s">
        <v>768</v>
      </c>
      <c r="F26" s="56" t="s">
        <v>349</v>
      </c>
      <c r="G26" s="56" t="s">
        <v>769</v>
      </c>
      <c r="H26" s="56" t="s">
        <v>347</v>
      </c>
      <c r="I26" s="56" t="s">
        <v>350</v>
      </c>
      <c r="J26" s="56" t="s">
        <v>115</v>
      </c>
      <c r="K26" s="56" t="s">
        <v>770</v>
      </c>
      <c r="L26" s="56"/>
      <c r="M26" s="56"/>
      <c r="N26" s="56" t="s">
        <v>16</v>
      </c>
      <c r="O26" s="144" t="s">
        <v>800</v>
      </c>
      <c r="P26" s="81"/>
      <c r="Q26" s="136" t="s">
        <v>784</v>
      </c>
      <c r="R26" s="81"/>
      <c r="S26" s="81"/>
      <c r="T26" s="81"/>
      <c r="U26" s="81"/>
      <c r="V26" s="81"/>
      <c r="W26" s="81"/>
      <c r="X26" s="81"/>
      <c r="Y26" s="81"/>
      <c r="Z26" s="81"/>
      <c r="AA26" s="81"/>
      <c r="AB26" s="81"/>
      <c r="AC26" s="81"/>
    </row>
    <row r="27" spans="1:29" s="117" customFormat="1" ht="30" customHeight="1" x14ac:dyDescent="0.25">
      <c r="A27" s="38">
        <v>7077626766</v>
      </c>
      <c r="B27" s="56" t="s">
        <v>767</v>
      </c>
      <c r="C27" s="43" t="s">
        <v>766</v>
      </c>
      <c r="D27" s="56" t="s">
        <v>308</v>
      </c>
      <c r="E27" s="56" t="s">
        <v>768</v>
      </c>
      <c r="F27" s="56" t="s">
        <v>349</v>
      </c>
      <c r="G27" s="56" t="s">
        <v>769</v>
      </c>
      <c r="H27" s="56" t="s">
        <v>347</v>
      </c>
      <c r="I27" s="56" t="s">
        <v>350</v>
      </c>
      <c r="J27" s="56" t="s">
        <v>115</v>
      </c>
      <c r="K27" s="56" t="s">
        <v>770</v>
      </c>
      <c r="L27" s="56"/>
      <c r="M27" s="56"/>
      <c r="N27" s="56" t="s">
        <v>16</v>
      </c>
      <c r="O27" s="144" t="s">
        <v>801</v>
      </c>
      <c r="P27" s="81"/>
      <c r="Q27" s="136" t="s">
        <v>784</v>
      </c>
      <c r="R27" s="81"/>
      <c r="S27" s="81"/>
      <c r="T27" s="81"/>
      <c r="U27" s="81"/>
      <c r="V27" s="81"/>
      <c r="W27" s="81"/>
      <c r="X27" s="81"/>
      <c r="Y27" s="81"/>
      <c r="Z27" s="81"/>
      <c r="AA27" s="81"/>
      <c r="AB27" s="81"/>
      <c r="AC27" s="81"/>
    </row>
    <row r="28" spans="1:29" s="117" customFormat="1" ht="30" customHeight="1" x14ac:dyDescent="0.25">
      <c r="A28" s="38">
        <v>7077626766</v>
      </c>
      <c r="B28" s="56" t="s">
        <v>767</v>
      </c>
      <c r="C28" s="43" t="s">
        <v>766</v>
      </c>
      <c r="D28" s="56" t="s">
        <v>308</v>
      </c>
      <c r="E28" s="56" t="s">
        <v>768</v>
      </c>
      <c r="F28" s="56" t="s">
        <v>349</v>
      </c>
      <c r="G28" s="56" t="s">
        <v>769</v>
      </c>
      <c r="H28" s="56" t="s">
        <v>347</v>
      </c>
      <c r="I28" s="56" t="s">
        <v>350</v>
      </c>
      <c r="J28" s="56" t="s">
        <v>115</v>
      </c>
      <c r="K28" s="56" t="s">
        <v>770</v>
      </c>
      <c r="L28" s="56"/>
      <c r="M28" s="56"/>
      <c r="N28" s="56" t="s">
        <v>16</v>
      </c>
      <c r="O28" s="144" t="s">
        <v>802</v>
      </c>
      <c r="P28" s="56" t="s">
        <v>21</v>
      </c>
      <c r="Q28" s="143">
        <v>1</v>
      </c>
      <c r="R28" s="143">
        <v>1</v>
      </c>
      <c r="S28" s="143">
        <v>1</v>
      </c>
      <c r="T28" s="143">
        <v>1</v>
      </c>
      <c r="U28" s="143">
        <v>1</v>
      </c>
      <c r="V28" s="143">
        <v>1</v>
      </c>
      <c r="W28" s="143">
        <v>1</v>
      </c>
      <c r="X28" s="143">
        <v>1</v>
      </c>
      <c r="Y28" s="143">
        <v>1</v>
      </c>
      <c r="Z28" s="143">
        <v>1</v>
      </c>
      <c r="AA28" s="143">
        <v>1</v>
      </c>
      <c r="AB28" s="143">
        <v>1</v>
      </c>
      <c r="AC28" s="143">
        <v>1</v>
      </c>
    </row>
    <row r="29" spans="1:29" s="117" customFormat="1" ht="30" customHeight="1" x14ac:dyDescent="0.25">
      <c r="A29" s="38">
        <v>7077626766</v>
      </c>
      <c r="B29" s="56" t="s">
        <v>767</v>
      </c>
      <c r="C29" s="43" t="s">
        <v>766</v>
      </c>
      <c r="D29" s="56" t="s">
        <v>308</v>
      </c>
      <c r="E29" s="56" t="s">
        <v>768</v>
      </c>
      <c r="F29" s="56" t="s">
        <v>349</v>
      </c>
      <c r="G29" s="56" t="s">
        <v>769</v>
      </c>
      <c r="H29" s="56" t="s">
        <v>347</v>
      </c>
      <c r="I29" s="56" t="s">
        <v>350</v>
      </c>
      <c r="J29" s="56" t="s">
        <v>115</v>
      </c>
      <c r="K29" s="56" t="s">
        <v>770</v>
      </c>
      <c r="L29" s="56"/>
      <c r="M29" s="56"/>
      <c r="N29" s="56" t="s">
        <v>16</v>
      </c>
      <c r="O29" s="144" t="s">
        <v>803</v>
      </c>
      <c r="P29" s="56" t="s">
        <v>21</v>
      </c>
      <c r="Q29" s="143">
        <v>1</v>
      </c>
      <c r="R29" s="143">
        <v>1</v>
      </c>
      <c r="S29" s="143">
        <v>1</v>
      </c>
      <c r="T29" s="143">
        <v>1</v>
      </c>
      <c r="U29" s="143">
        <v>1</v>
      </c>
      <c r="V29" s="143">
        <v>1</v>
      </c>
      <c r="W29" s="143">
        <v>1</v>
      </c>
      <c r="X29" s="143">
        <v>1</v>
      </c>
      <c r="Y29" s="143">
        <v>1</v>
      </c>
      <c r="Z29" s="143">
        <v>1</v>
      </c>
      <c r="AA29" s="143">
        <v>1</v>
      </c>
      <c r="AB29" s="143">
        <v>1</v>
      </c>
      <c r="AC29" s="143">
        <v>1</v>
      </c>
    </row>
    <row r="30" spans="1:29" s="117" customFormat="1" ht="30" customHeight="1" x14ac:dyDescent="0.25">
      <c r="A30" s="38">
        <v>7077626766</v>
      </c>
      <c r="B30" s="56" t="s">
        <v>767</v>
      </c>
      <c r="C30" s="43" t="s">
        <v>766</v>
      </c>
      <c r="D30" s="56" t="s">
        <v>308</v>
      </c>
      <c r="E30" s="56" t="s">
        <v>768</v>
      </c>
      <c r="F30" s="56" t="s">
        <v>349</v>
      </c>
      <c r="G30" s="56" t="s">
        <v>769</v>
      </c>
      <c r="H30" s="56" t="s">
        <v>347</v>
      </c>
      <c r="I30" s="56" t="s">
        <v>350</v>
      </c>
      <c r="J30" s="56" t="s">
        <v>115</v>
      </c>
      <c r="K30" s="56" t="s">
        <v>770</v>
      </c>
      <c r="L30" s="56"/>
      <c r="M30" s="56"/>
      <c r="N30" s="56" t="s">
        <v>16</v>
      </c>
      <c r="O30" s="144" t="s">
        <v>804</v>
      </c>
      <c r="P30" s="56" t="s">
        <v>21</v>
      </c>
      <c r="Q30" s="143">
        <v>1</v>
      </c>
      <c r="R30" s="143">
        <v>1</v>
      </c>
      <c r="S30" s="143">
        <v>1</v>
      </c>
      <c r="T30" s="143">
        <v>1</v>
      </c>
      <c r="U30" s="143">
        <v>1</v>
      </c>
      <c r="V30" s="143">
        <v>1</v>
      </c>
      <c r="W30" s="143">
        <v>1</v>
      </c>
      <c r="X30" s="143">
        <v>1</v>
      </c>
      <c r="Y30" s="143">
        <v>1</v>
      </c>
      <c r="Z30" s="143">
        <v>1</v>
      </c>
      <c r="AA30" s="143">
        <v>1</v>
      </c>
      <c r="AB30" s="143">
        <v>1</v>
      </c>
      <c r="AC30" s="143">
        <v>1</v>
      </c>
    </row>
    <row r="31" spans="1:29" s="117" customFormat="1" ht="30" customHeight="1" x14ac:dyDescent="0.25">
      <c r="A31" s="38">
        <v>7077626766</v>
      </c>
      <c r="B31" s="56" t="s">
        <v>767</v>
      </c>
      <c r="C31" s="43" t="s">
        <v>766</v>
      </c>
      <c r="D31" s="56" t="s">
        <v>308</v>
      </c>
      <c r="E31" s="56" t="s">
        <v>768</v>
      </c>
      <c r="F31" s="56" t="s">
        <v>349</v>
      </c>
      <c r="G31" s="56" t="s">
        <v>769</v>
      </c>
      <c r="H31" s="56" t="s">
        <v>347</v>
      </c>
      <c r="I31" s="56" t="s">
        <v>350</v>
      </c>
      <c r="J31" s="56" t="s">
        <v>115</v>
      </c>
      <c r="K31" s="56" t="s">
        <v>770</v>
      </c>
      <c r="L31" s="56"/>
      <c r="M31" s="56"/>
      <c r="N31" s="56" t="s">
        <v>16</v>
      </c>
      <c r="O31" s="144" t="s">
        <v>805</v>
      </c>
      <c r="P31" s="56" t="s">
        <v>21</v>
      </c>
      <c r="Q31" s="143">
        <v>1</v>
      </c>
      <c r="R31" s="143">
        <v>1</v>
      </c>
      <c r="S31" s="143">
        <v>1</v>
      </c>
      <c r="T31" s="143">
        <v>1</v>
      </c>
      <c r="U31" s="143">
        <v>1</v>
      </c>
      <c r="V31" s="143">
        <v>1</v>
      </c>
      <c r="W31" s="143">
        <v>1</v>
      </c>
      <c r="X31" s="143">
        <v>1</v>
      </c>
      <c r="Y31" s="143">
        <v>1</v>
      </c>
      <c r="Z31" s="143">
        <v>1</v>
      </c>
      <c r="AA31" s="143">
        <v>1</v>
      </c>
      <c r="AB31" s="143">
        <v>1</v>
      </c>
      <c r="AC31" s="143">
        <v>1</v>
      </c>
    </row>
    <row r="32" spans="1:29" s="117" customFormat="1" ht="30" customHeight="1" x14ac:dyDescent="0.25">
      <c r="A32" s="38">
        <v>7077626766</v>
      </c>
      <c r="B32" s="56" t="s">
        <v>767</v>
      </c>
      <c r="C32" s="43" t="s">
        <v>766</v>
      </c>
      <c r="D32" s="56" t="s">
        <v>308</v>
      </c>
      <c r="E32" s="56" t="s">
        <v>768</v>
      </c>
      <c r="F32" s="56" t="s">
        <v>349</v>
      </c>
      <c r="G32" s="56" t="s">
        <v>769</v>
      </c>
      <c r="H32" s="56" t="s">
        <v>347</v>
      </c>
      <c r="I32" s="56" t="s">
        <v>350</v>
      </c>
      <c r="J32" s="56" t="s">
        <v>115</v>
      </c>
      <c r="K32" s="56" t="s">
        <v>770</v>
      </c>
      <c r="L32" s="56"/>
      <c r="M32" s="56"/>
      <c r="N32" s="56" t="s">
        <v>16</v>
      </c>
      <c r="O32" s="144" t="s">
        <v>806</v>
      </c>
      <c r="P32" s="56" t="s">
        <v>21</v>
      </c>
      <c r="Q32" s="143">
        <v>1</v>
      </c>
      <c r="R32" s="143">
        <v>1</v>
      </c>
      <c r="S32" s="143">
        <v>1</v>
      </c>
      <c r="T32" s="143">
        <v>1</v>
      </c>
      <c r="U32" s="143">
        <v>1</v>
      </c>
      <c r="V32" s="143">
        <v>1</v>
      </c>
      <c r="W32" s="143">
        <v>1</v>
      </c>
      <c r="X32" s="143">
        <v>1</v>
      </c>
      <c r="Y32" s="143">
        <v>1</v>
      </c>
      <c r="Z32" s="143">
        <v>1</v>
      </c>
      <c r="AA32" s="143">
        <v>1</v>
      </c>
      <c r="AB32" s="143">
        <v>1</v>
      </c>
      <c r="AC32" s="143">
        <v>1</v>
      </c>
    </row>
  </sheetData>
  <hyperlinks>
    <hyperlink ref="C2" r:id="rId1" xr:uid="{BCEC37B9-FC0C-4626-81FE-1F08315AF947}"/>
    <hyperlink ref="C3" r:id="rId2" xr:uid="{C49DBF06-D1A3-4943-A1A1-995B5690C48F}"/>
    <hyperlink ref="C4" r:id="rId3" xr:uid="{6D3555B7-25FB-4B4B-B71A-DB4F61D1D1CF}"/>
    <hyperlink ref="C5" r:id="rId4" xr:uid="{06D602B5-E9CE-4037-8B2F-32B750794C02}"/>
    <hyperlink ref="C6" r:id="rId5" xr:uid="{E31D9F7F-1D58-47C0-87F4-1C2CF7652447}"/>
    <hyperlink ref="C7" r:id="rId6" xr:uid="{04F1194F-69B4-42DD-89E4-7F1191ACB824}"/>
    <hyperlink ref="C8" r:id="rId7" xr:uid="{37432D75-571B-4FA1-AA00-29FAA06202BC}"/>
    <hyperlink ref="C9" r:id="rId8" xr:uid="{012D0DA9-2D01-4755-A05A-DF2A78987E27}"/>
    <hyperlink ref="C10" r:id="rId9" xr:uid="{7D23D985-9305-4A56-9CA3-036EEFAEC70B}"/>
    <hyperlink ref="C11" r:id="rId10" xr:uid="{86EAD911-BC5D-47CF-AF13-CEAEA6A65AD8}"/>
    <hyperlink ref="C12" r:id="rId11" xr:uid="{C55F1A88-6ED7-457E-8459-4046898685C9}"/>
    <hyperlink ref="C13" r:id="rId12" xr:uid="{90B13626-42C9-4A4B-8C59-32443DD71975}"/>
    <hyperlink ref="C14" r:id="rId13" xr:uid="{CB823BA6-E623-4E95-9886-34D0B964A3BD}"/>
    <hyperlink ref="C15" r:id="rId14" xr:uid="{56038674-E7BE-46B9-81CC-B9527BC7A471}"/>
    <hyperlink ref="C16" r:id="rId15" xr:uid="{17100E06-A50B-466F-B0C0-DD1150A27D6F}"/>
    <hyperlink ref="C17" r:id="rId16" xr:uid="{DC8D33EB-4BA9-48F6-B0F0-5579F9E3061A}"/>
    <hyperlink ref="C18" r:id="rId17" xr:uid="{C2E6DEE9-04C9-49B3-BF27-B2BDBB65BF29}"/>
    <hyperlink ref="C19" r:id="rId18" xr:uid="{1148C511-9B61-4290-95CA-A02FB2E812AB}"/>
    <hyperlink ref="C20" r:id="rId19" xr:uid="{46E662CC-BF45-43BE-9C80-EC2159214F06}"/>
    <hyperlink ref="C21" r:id="rId20" xr:uid="{1FFA507F-3E15-46D6-99B2-EBCE9A695604}"/>
    <hyperlink ref="C22" r:id="rId21" xr:uid="{21522DAF-D12B-4F46-9EB2-86C6C9D29ADD}"/>
    <hyperlink ref="C23" r:id="rId22" xr:uid="{C1CB810F-DBE8-4C88-81F3-536281E22DFB}"/>
    <hyperlink ref="C24" r:id="rId23" xr:uid="{B442821A-B38D-44BC-BED5-086661A8D214}"/>
    <hyperlink ref="C25" r:id="rId24" xr:uid="{025595D5-74F1-493B-B411-8741EEF7A1DB}"/>
    <hyperlink ref="C26" r:id="rId25" xr:uid="{83EAFF5A-273D-4F30-A9F8-23010CCF51C3}"/>
    <hyperlink ref="C27" r:id="rId26" xr:uid="{A6FFC973-C9EA-44A0-A12D-20150E9DCCF8}"/>
    <hyperlink ref="C28" r:id="rId27" xr:uid="{B5266482-F7DE-4E54-8267-D4457975164C}"/>
    <hyperlink ref="C29" r:id="rId28" xr:uid="{6D565D05-4C4C-4C9F-BAA8-F29059E8B451}"/>
    <hyperlink ref="C30" r:id="rId29" xr:uid="{B8E815ED-7953-46E6-AB67-52B70EB36F96}"/>
    <hyperlink ref="C31" r:id="rId30" xr:uid="{6BC9BB5D-6FC9-4D59-962A-2F4661BAD0FB}"/>
    <hyperlink ref="C32" r:id="rId31" xr:uid="{155C900E-AB3D-4BC0-9ED2-828AF52BEDF4}"/>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8C4EC-96AB-4C46-8B75-F1F83938F77F}">
  <dimension ref="A1:AD27"/>
  <sheetViews>
    <sheetView topLeftCell="F1" workbookViewId="0">
      <selection activeCell="F2" sqref="F2"/>
    </sheetView>
  </sheetViews>
  <sheetFormatPr defaultColWidth="9.6640625" defaultRowHeight="13.8" x14ac:dyDescent="0.25"/>
  <cols>
    <col min="1" max="1" width="12.109375" style="98" bestFit="1" customWidth="1"/>
    <col min="2" max="2" width="16.109375" style="98" bestFit="1" customWidth="1"/>
    <col min="3" max="3" width="34.109375" style="98" bestFit="1" customWidth="1"/>
    <col min="4" max="4" width="12" style="98" customWidth="1"/>
    <col min="5" max="5" width="11.21875" style="98" bestFit="1" customWidth="1"/>
    <col min="6" max="6" width="11.33203125" style="98" bestFit="1" customWidth="1"/>
    <col min="7" max="7" width="16.77734375" style="98" bestFit="1" customWidth="1"/>
    <col min="8" max="8" width="8.88671875" style="98" bestFit="1" customWidth="1"/>
    <col min="9" max="9" width="14.21875" style="98" customWidth="1"/>
    <col min="10" max="11" width="11.44140625" style="98" bestFit="1" customWidth="1"/>
    <col min="12" max="13" width="12.6640625" style="98" bestFit="1" customWidth="1"/>
    <col min="14" max="14" width="14.88671875" style="98" bestFit="1" customWidth="1"/>
    <col min="15" max="15" width="94" style="105" customWidth="1"/>
    <col min="16" max="16" width="11.88671875" style="104" customWidth="1"/>
    <col min="17" max="17" width="13.33203125" style="105" customWidth="1"/>
    <col min="18" max="20" width="10" style="105" customWidth="1"/>
    <col min="21" max="22" width="9.44140625" style="105" customWidth="1"/>
    <col min="23" max="23" width="12.44140625" style="105" customWidth="1"/>
    <col min="24" max="24" width="9.6640625" style="105"/>
    <col min="25" max="25" width="11.77734375" style="105" customWidth="1"/>
    <col min="26" max="26" width="11.5546875" style="105" customWidth="1"/>
    <col min="27" max="30" width="9.6640625" style="105"/>
    <col min="31" max="16384" width="9.6640625" style="98"/>
  </cols>
  <sheetData>
    <row r="1" spans="1:30" s="102" customFormat="1" ht="27.6" x14ac:dyDescent="0.25">
      <c r="A1" s="35" t="s">
        <v>0</v>
      </c>
      <c r="B1" s="35" t="s">
        <v>1</v>
      </c>
      <c r="C1" s="35" t="s">
        <v>2</v>
      </c>
      <c r="D1" s="58" t="s">
        <v>3</v>
      </c>
      <c r="E1" s="35" t="s">
        <v>4</v>
      </c>
      <c r="F1" s="35" t="s">
        <v>5</v>
      </c>
      <c r="G1" s="35" t="s">
        <v>6</v>
      </c>
      <c r="H1" s="35" t="s">
        <v>7</v>
      </c>
      <c r="I1" s="58" t="s">
        <v>8</v>
      </c>
      <c r="J1" s="35" t="s">
        <v>9</v>
      </c>
      <c r="K1" s="35" t="s">
        <v>10</v>
      </c>
      <c r="L1" s="35" t="s">
        <v>126</v>
      </c>
      <c r="M1" s="35" t="s">
        <v>127</v>
      </c>
      <c r="N1" s="35"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c r="AD1" s="106"/>
    </row>
    <row r="2" spans="1:30" s="104" customFormat="1" ht="19.95" customHeight="1" x14ac:dyDescent="0.25">
      <c r="A2" s="38">
        <v>9713705077</v>
      </c>
      <c r="B2" s="12" t="s">
        <v>101</v>
      </c>
      <c r="C2" s="43" t="s">
        <v>102</v>
      </c>
      <c r="D2" s="12" t="s">
        <v>103</v>
      </c>
      <c r="E2" s="12" t="s">
        <v>104</v>
      </c>
      <c r="F2" s="12" t="s">
        <v>59</v>
      </c>
      <c r="G2" s="12" t="s">
        <v>105</v>
      </c>
      <c r="H2" s="12" t="s">
        <v>13</v>
      </c>
      <c r="I2" s="12" t="s">
        <v>14</v>
      </c>
      <c r="J2" s="12"/>
      <c r="K2" s="12"/>
      <c r="L2" s="12"/>
      <c r="M2" s="12"/>
      <c r="N2" s="12" t="s">
        <v>16</v>
      </c>
      <c r="O2" s="13" t="s">
        <v>486</v>
      </c>
      <c r="P2" s="107">
        <v>1</v>
      </c>
      <c r="Q2" s="107">
        <v>1</v>
      </c>
      <c r="R2" s="107">
        <v>1</v>
      </c>
      <c r="S2" s="107">
        <v>1</v>
      </c>
      <c r="T2" s="107">
        <v>1</v>
      </c>
      <c r="U2" s="107">
        <v>1</v>
      </c>
      <c r="V2" s="107">
        <v>1</v>
      </c>
      <c r="W2" s="107">
        <v>1</v>
      </c>
      <c r="X2" s="107">
        <v>1</v>
      </c>
      <c r="Y2" s="107">
        <v>1</v>
      </c>
      <c r="Z2" s="107">
        <v>1</v>
      </c>
      <c r="AA2" s="107">
        <v>1</v>
      </c>
      <c r="AB2" s="107">
        <v>1</v>
      </c>
      <c r="AC2" s="107">
        <v>1</v>
      </c>
    </row>
    <row r="3" spans="1:30" s="104" customFormat="1" ht="19.95" customHeight="1" x14ac:dyDescent="0.25">
      <c r="A3" s="38">
        <v>9713705077</v>
      </c>
      <c r="B3" s="12" t="s">
        <v>101</v>
      </c>
      <c r="C3" s="43" t="s">
        <v>102</v>
      </c>
      <c r="D3" s="12" t="s">
        <v>103</v>
      </c>
      <c r="E3" s="12" t="s">
        <v>104</v>
      </c>
      <c r="F3" s="12" t="s">
        <v>59</v>
      </c>
      <c r="G3" s="12" t="s">
        <v>105</v>
      </c>
      <c r="H3" s="12" t="s">
        <v>13</v>
      </c>
      <c r="I3" s="12" t="s">
        <v>14</v>
      </c>
      <c r="J3" s="12"/>
      <c r="K3" s="12"/>
      <c r="L3" s="12"/>
      <c r="M3" s="12"/>
      <c r="N3" s="12" t="s">
        <v>16</v>
      </c>
      <c r="O3" s="13" t="s">
        <v>487</v>
      </c>
      <c r="P3" s="107">
        <v>1</v>
      </c>
      <c r="Q3" s="107">
        <v>1</v>
      </c>
      <c r="R3" s="107">
        <v>1</v>
      </c>
      <c r="S3" s="107">
        <v>1</v>
      </c>
      <c r="T3" s="107">
        <v>1</v>
      </c>
      <c r="U3" s="107">
        <v>1</v>
      </c>
      <c r="V3" s="107">
        <v>1</v>
      </c>
      <c r="W3" s="107">
        <v>1</v>
      </c>
      <c r="X3" s="107">
        <v>1</v>
      </c>
      <c r="Y3" s="107">
        <v>1</v>
      </c>
      <c r="Z3" s="107">
        <v>1</v>
      </c>
      <c r="AA3" s="107">
        <v>1</v>
      </c>
      <c r="AB3" s="107">
        <v>1</v>
      </c>
      <c r="AC3" s="107">
        <v>1</v>
      </c>
    </row>
    <row r="4" spans="1:30" s="104" customFormat="1" ht="19.95" customHeight="1" x14ac:dyDescent="0.25">
      <c r="A4" s="38">
        <v>9713705077</v>
      </c>
      <c r="B4" s="12" t="s">
        <v>101</v>
      </c>
      <c r="C4" s="43" t="s">
        <v>102</v>
      </c>
      <c r="D4" s="12" t="s">
        <v>103</v>
      </c>
      <c r="E4" s="12" t="s">
        <v>104</v>
      </c>
      <c r="F4" s="12" t="s">
        <v>59</v>
      </c>
      <c r="G4" s="12" t="s">
        <v>105</v>
      </c>
      <c r="H4" s="12" t="s">
        <v>13</v>
      </c>
      <c r="I4" s="12" t="s">
        <v>14</v>
      </c>
      <c r="J4" s="12"/>
      <c r="K4" s="12"/>
      <c r="L4" s="12"/>
      <c r="M4" s="12"/>
      <c r="N4" s="12" t="s">
        <v>16</v>
      </c>
      <c r="O4" s="13" t="s">
        <v>82</v>
      </c>
      <c r="P4" s="107">
        <v>1</v>
      </c>
      <c r="Q4" s="107">
        <v>1</v>
      </c>
      <c r="R4" s="107">
        <v>1</v>
      </c>
      <c r="S4" s="107">
        <v>1</v>
      </c>
      <c r="T4" s="107">
        <v>1</v>
      </c>
      <c r="U4" s="107">
        <v>1</v>
      </c>
      <c r="V4" s="107">
        <v>1</v>
      </c>
      <c r="W4" s="107">
        <v>1</v>
      </c>
      <c r="X4" s="107">
        <v>1</v>
      </c>
      <c r="Y4" s="107">
        <v>1</v>
      </c>
      <c r="Z4" s="107">
        <v>1</v>
      </c>
      <c r="AA4" s="107">
        <v>1</v>
      </c>
      <c r="AB4" s="107">
        <v>1</v>
      </c>
      <c r="AC4" s="107">
        <v>1</v>
      </c>
    </row>
    <row r="5" spans="1:30" s="104" customFormat="1" ht="19.95" customHeight="1" x14ac:dyDescent="0.25">
      <c r="A5" s="38">
        <v>9713705077</v>
      </c>
      <c r="B5" s="12" t="s">
        <v>101</v>
      </c>
      <c r="C5" s="43" t="s">
        <v>102</v>
      </c>
      <c r="D5" s="12" t="s">
        <v>103</v>
      </c>
      <c r="E5" s="12" t="s">
        <v>104</v>
      </c>
      <c r="F5" s="12" t="s">
        <v>59</v>
      </c>
      <c r="G5" s="12" t="s">
        <v>105</v>
      </c>
      <c r="H5" s="12" t="s">
        <v>13</v>
      </c>
      <c r="I5" s="12" t="s">
        <v>14</v>
      </c>
      <c r="J5" s="12"/>
      <c r="K5" s="12"/>
      <c r="L5" s="12"/>
      <c r="M5" s="12"/>
      <c r="N5" s="12" t="s">
        <v>16</v>
      </c>
      <c r="O5" s="13" t="s">
        <v>83</v>
      </c>
      <c r="P5" s="107">
        <v>1</v>
      </c>
      <c r="Q5" s="107">
        <v>1</v>
      </c>
      <c r="R5" s="107">
        <v>1</v>
      </c>
      <c r="S5" s="107">
        <v>1</v>
      </c>
      <c r="T5" s="107">
        <v>1</v>
      </c>
      <c r="U5" s="107">
        <v>1</v>
      </c>
      <c r="V5" s="107">
        <v>1</v>
      </c>
      <c r="W5" s="107">
        <v>1</v>
      </c>
      <c r="X5" s="107">
        <v>1</v>
      </c>
      <c r="Y5" s="107">
        <v>1</v>
      </c>
      <c r="Z5" s="107">
        <v>1</v>
      </c>
      <c r="AA5" s="107">
        <v>1</v>
      </c>
      <c r="AB5" s="107">
        <v>1</v>
      </c>
      <c r="AC5" s="107">
        <v>1</v>
      </c>
    </row>
    <row r="6" spans="1:30" s="104" customFormat="1" ht="19.95" customHeight="1" x14ac:dyDescent="0.25">
      <c r="A6" s="38">
        <v>9713705077</v>
      </c>
      <c r="B6" s="12" t="s">
        <v>101</v>
      </c>
      <c r="C6" s="43" t="s">
        <v>102</v>
      </c>
      <c r="D6" s="12" t="s">
        <v>103</v>
      </c>
      <c r="E6" s="12" t="s">
        <v>104</v>
      </c>
      <c r="F6" s="12" t="s">
        <v>59</v>
      </c>
      <c r="G6" s="12" t="s">
        <v>105</v>
      </c>
      <c r="H6" s="12" t="s">
        <v>13</v>
      </c>
      <c r="I6" s="12" t="s">
        <v>14</v>
      </c>
      <c r="J6" s="12"/>
      <c r="K6" s="12"/>
      <c r="L6" s="12"/>
      <c r="M6" s="12"/>
      <c r="N6" s="12" t="s">
        <v>16</v>
      </c>
      <c r="O6" s="44" t="s">
        <v>84</v>
      </c>
      <c r="P6" s="107">
        <v>1</v>
      </c>
      <c r="Q6" s="107">
        <v>1</v>
      </c>
      <c r="R6" s="107">
        <v>1</v>
      </c>
      <c r="S6" s="107">
        <v>1</v>
      </c>
      <c r="T6" s="107">
        <v>1</v>
      </c>
      <c r="U6" s="107">
        <v>1</v>
      </c>
      <c r="V6" s="107">
        <v>1</v>
      </c>
      <c r="W6" s="107">
        <v>1</v>
      </c>
      <c r="X6" s="107">
        <v>1</v>
      </c>
      <c r="Y6" s="107">
        <v>1</v>
      </c>
      <c r="Z6" s="107">
        <v>1</v>
      </c>
      <c r="AA6" s="107">
        <v>1</v>
      </c>
      <c r="AB6" s="107">
        <v>1</v>
      </c>
      <c r="AC6" s="107">
        <v>1</v>
      </c>
    </row>
    <row r="7" spans="1:30" s="104" customFormat="1" ht="19.95" customHeight="1" x14ac:dyDescent="0.25">
      <c r="A7" s="38">
        <v>9713705077</v>
      </c>
      <c r="B7" s="12" t="s">
        <v>101</v>
      </c>
      <c r="C7" s="43" t="s">
        <v>102</v>
      </c>
      <c r="D7" s="12" t="s">
        <v>103</v>
      </c>
      <c r="E7" s="12" t="s">
        <v>104</v>
      </c>
      <c r="F7" s="12" t="s">
        <v>59</v>
      </c>
      <c r="G7" s="12" t="s">
        <v>105</v>
      </c>
      <c r="H7" s="12" t="s">
        <v>13</v>
      </c>
      <c r="I7" s="12" t="s">
        <v>14</v>
      </c>
      <c r="J7" s="12"/>
      <c r="K7" s="12"/>
      <c r="L7" s="12"/>
      <c r="M7" s="12"/>
      <c r="N7" s="12" t="s">
        <v>16</v>
      </c>
      <c r="O7" s="13" t="s">
        <v>488</v>
      </c>
      <c r="P7" s="107">
        <v>1</v>
      </c>
      <c r="Q7" s="107">
        <v>1</v>
      </c>
      <c r="R7" s="107">
        <v>1</v>
      </c>
      <c r="S7" s="107">
        <v>1</v>
      </c>
      <c r="T7" s="107">
        <v>1</v>
      </c>
      <c r="U7" s="107">
        <v>1</v>
      </c>
      <c r="V7" s="107">
        <v>1</v>
      </c>
      <c r="W7" s="107">
        <v>1</v>
      </c>
      <c r="X7" s="107">
        <v>1</v>
      </c>
      <c r="Y7" s="107">
        <v>1</v>
      </c>
      <c r="Z7" s="107">
        <v>1</v>
      </c>
      <c r="AA7" s="107">
        <v>1</v>
      </c>
      <c r="AB7" s="107">
        <v>1</v>
      </c>
      <c r="AC7" s="107">
        <v>1</v>
      </c>
    </row>
    <row r="8" spans="1:30" s="104" customFormat="1" ht="19.95" customHeight="1" x14ac:dyDescent="0.25">
      <c r="A8" s="38">
        <v>9713705077</v>
      </c>
      <c r="B8" s="12" t="s">
        <v>101</v>
      </c>
      <c r="C8" s="43" t="s">
        <v>102</v>
      </c>
      <c r="D8" s="12" t="s">
        <v>103</v>
      </c>
      <c r="E8" s="12" t="s">
        <v>104</v>
      </c>
      <c r="F8" s="12" t="s">
        <v>59</v>
      </c>
      <c r="G8" s="12" t="s">
        <v>105</v>
      </c>
      <c r="H8" s="12" t="s">
        <v>13</v>
      </c>
      <c r="I8" s="12" t="s">
        <v>14</v>
      </c>
      <c r="J8" s="12"/>
      <c r="K8" s="12"/>
      <c r="L8" s="12"/>
      <c r="M8" s="12"/>
      <c r="N8" s="12" t="s">
        <v>16</v>
      </c>
      <c r="O8" s="13" t="s">
        <v>85</v>
      </c>
      <c r="P8" s="107">
        <v>1</v>
      </c>
      <c r="Q8" s="107">
        <v>1</v>
      </c>
      <c r="R8" s="107">
        <v>1</v>
      </c>
      <c r="S8" s="107">
        <v>1</v>
      </c>
      <c r="T8" s="107">
        <v>1</v>
      </c>
      <c r="U8" s="107">
        <v>1</v>
      </c>
      <c r="V8" s="107">
        <v>1</v>
      </c>
      <c r="W8" s="107">
        <v>1</v>
      </c>
      <c r="X8" s="107">
        <v>1</v>
      </c>
      <c r="Y8" s="107">
        <v>1</v>
      </c>
      <c r="Z8" s="107">
        <v>1</v>
      </c>
      <c r="AA8" s="107">
        <v>1</v>
      </c>
      <c r="AB8" s="107">
        <v>1</v>
      </c>
      <c r="AC8" s="107">
        <v>1</v>
      </c>
    </row>
    <row r="9" spans="1:30" s="104" customFormat="1" ht="19.95" customHeight="1" x14ac:dyDescent="0.25">
      <c r="A9" s="38">
        <v>9713705077</v>
      </c>
      <c r="B9" s="12" t="s">
        <v>101</v>
      </c>
      <c r="C9" s="43" t="s">
        <v>102</v>
      </c>
      <c r="D9" s="12" t="s">
        <v>103</v>
      </c>
      <c r="E9" s="12" t="s">
        <v>104</v>
      </c>
      <c r="F9" s="12" t="s">
        <v>59</v>
      </c>
      <c r="G9" s="12" t="s">
        <v>105</v>
      </c>
      <c r="H9" s="12" t="s">
        <v>13</v>
      </c>
      <c r="I9" s="12" t="s">
        <v>14</v>
      </c>
      <c r="J9" s="12"/>
      <c r="K9" s="12"/>
      <c r="L9" s="12"/>
      <c r="M9" s="12"/>
      <c r="N9" s="12" t="s">
        <v>16</v>
      </c>
      <c r="O9" s="13" t="s">
        <v>86</v>
      </c>
      <c r="P9" s="107">
        <v>1</v>
      </c>
      <c r="Q9" s="107">
        <v>1</v>
      </c>
      <c r="R9" s="107">
        <v>1</v>
      </c>
      <c r="S9" s="107">
        <v>1</v>
      </c>
      <c r="T9" s="107">
        <v>1</v>
      </c>
      <c r="U9" s="107">
        <v>1</v>
      </c>
      <c r="V9" s="107">
        <v>1</v>
      </c>
      <c r="W9" s="107">
        <v>1</v>
      </c>
      <c r="X9" s="107">
        <v>1</v>
      </c>
      <c r="Y9" s="107">
        <v>1</v>
      </c>
      <c r="Z9" s="107">
        <v>1</v>
      </c>
      <c r="AA9" s="107">
        <v>1</v>
      </c>
      <c r="AB9" s="107">
        <v>1</v>
      </c>
      <c r="AC9" s="107">
        <v>1</v>
      </c>
    </row>
    <row r="10" spans="1:30" s="104" customFormat="1" ht="19.95" customHeight="1" x14ac:dyDescent="0.25">
      <c r="A10" s="38">
        <v>9713705077</v>
      </c>
      <c r="B10" s="12" t="s">
        <v>101</v>
      </c>
      <c r="C10" s="43" t="s">
        <v>102</v>
      </c>
      <c r="D10" s="12" t="s">
        <v>103</v>
      </c>
      <c r="E10" s="12" t="s">
        <v>104</v>
      </c>
      <c r="F10" s="12" t="s">
        <v>59</v>
      </c>
      <c r="G10" s="12" t="s">
        <v>105</v>
      </c>
      <c r="H10" s="12" t="s">
        <v>13</v>
      </c>
      <c r="I10" s="12" t="s">
        <v>14</v>
      </c>
      <c r="J10" s="12"/>
      <c r="K10" s="12"/>
      <c r="L10" s="12"/>
      <c r="M10" s="12"/>
      <c r="N10" s="12" t="s">
        <v>16</v>
      </c>
      <c r="O10" s="13" t="s">
        <v>87</v>
      </c>
      <c r="P10" s="107">
        <v>1</v>
      </c>
      <c r="Q10" s="107">
        <v>1</v>
      </c>
      <c r="R10" s="107">
        <v>1</v>
      </c>
      <c r="S10" s="107">
        <v>1</v>
      </c>
      <c r="T10" s="107">
        <v>1</v>
      </c>
      <c r="U10" s="107">
        <v>1</v>
      </c>
      <c r="V10" s="107">
        <v>1</v>
      </c>
      <c r="W10" s="107">
        <v>1</v>
      </c>
      <c r="X10" s="107">
        <v>1</v>
      </c>
      <c r="Y10" s="107">
        <v>1</v>
      </c>
      <c r="Z10" s="107">
        <v>1</v>
      </c>
      <c r="AA10" s="107">
        <v>1</v>
      </c>
      <c r="AB10" s="107">
        <v>1</v>
      </c>
      <c r="AC10" s="107">
        <v>1</v>
      </c>
    </row>
    <row r="11" spans="1:30" s="104" customFormat="1" ht="19.95" customHeight="1" x14ac:dyDescent="0.25">
      <c r="A11" s="38">
        <v>9713705077</v>
      </c>
      <c r="B11" s="12" t="s">
        <v>101</v>
      </c>
      <c r="C11" s="43" t="s">
        <v>102</v>
      </c>
      <c r="D11" s="12" t="s">
        <v>103</v>
      </c>
      <c r="E11" s="12" t="s">
        <v>104</v>
      </c>
      <c r="F11" s="12" t="s">
        <v>59</v>
      </c>
      <c r="G11" s="12" t="s">
        <v>105</v>
      </c>
      <c r="H11" s="12" t="s">
        <v>13</v>
      </c>
      <c r="I11" s="12" t="s">
        <v>14</v>
      </c>
      <c r="J11" s="12"/>
      <c r="K11" s="12"/>
      <c r="L11" s="12"/>
      <c r="M11" s="12"/>
      <c r="N11" s="12" t="s">
        <v>16</v>
      </c>
      <c r="O11" s="13" t="s">
        <v>88</v>
      </c>
      <c r="P11" s="107">
        <v>1</v>
      </c>
      <c r="Q11" s="107">
        <v>1</v>
      </c>
      <c r="R11" s="107">
        <v>1</v>
      </c>
      <c r="S11" s="107">
        <v>1</v>
      </c>
      <c r="T11" s="107">
        <v>1</v>
      </c>
      <c r="U11" s="107">
        <v>1</v>
      </c>
      <c r="V11" s="107">
        <v>1</v>
      </c>
      <c r="W11" s="107">
        <v>1</v>
      </c>
      <c r="X11" s="107">
        <v>1</v>
      </c>
      <c r="Y11" s="107">
        <v>1</v>
      </c>
      <c r="Z11" s="107">
        <v>1</v>
      </c>
      <c r="AA11" s="107">
        <v>1</v>
      </c>
      <c r="AB11" s="107">
        <v>1</v>
      </c>
      <c r="AC11" s="107">
        <v>1</v>
      </c>
    </row>
    <row r="12" spans="1:30" s="104" customFormat="1" ht="41.4" x14ac:dyDescent="0.25">
      <c r="A12" s="38">
        <v>9713705077</v>
      </c>
      <c r="B12" s="12" t="s">
        <v>101</v>
      </c>
      <c r="C12" s="43" t="s">
        <v>102</v>
      </c>
      <c r="D12" s="12" t="s">
        <v>103</v>
      </c>
      <c r="E12" s="12" t="s">
        <v>104</v>
      </c>
      <c r="F12" s="12" t="s">
        <v>59</v>
      </c>
      <c r="G12" s="12" t="s">
        <v>105</v>
      </c>
      <c r="H12" s="12" t="s">
        <v>13</v>
      </c>
      <c r="I12" s="12" t="s">
        <v>14</v>
      </c>
      <c r="J12" s="12"/>
      <c r="K12" s="12"/>
      <c r="L12" s="12"/>
      <c r="M12" s="12"/>
      <c r="N12" s="12" t="s">
        <v>16</v>
      </c>
      <c r="O12" s="13" t="s">
        <v>489</v>
      </c>
      <c r="P12" s="107">
        <v>1</v>
      </c>
      <c r="Q12" s="107">
        <v>1</v>
      </c>
      <c r="R12" s="107">
        <v>1</v>
      </c>
      <c r="S12" s="107">
        <v>1</v>
      </c>
      <c r="T12" s="107">
        <v>1</v>
      </c>
      <c r="U12" s="107">
        <v>1</v>
      </c>
      <c r="V12" s="107">
        <v>1</v>
      </c>
      <c r="W12" s="107">
        <v>1</v>
      </c>
      <c r="X12" s="107">
        <v>1</v>
      </c>
      <c r="Y12" s="107">
        <v>1</v>
      </c>
      <c r="Z12" s="107">
        <v>1</v>
      </c>
      <c r="AA12" s="107">
        <v>1</v>
      </c>
      <c r="AB12" s="107">
        <v>1</v>
      </c>
      <c r="AC12" s="107">
        <v>1</v>
      </c>
    </row>
    <row r="13" spans="1:30" s="104" customFormat="1" ht="27.6" x14ac:dyDescent="0.25">
      <c r="A13" s="38">
        <v>9713705077</v>
      </c>
      <c r="B13" s="12" t="s">
        <v>101</v>
      </c>
      <c r="C13" s="43" t="s">
        <v>102</v>
      </c>
      <c r="D13" s="12" t="s">
        <v>103</v>
      </c>
      <c r="E13" s="12" t="s">
        <v>104</v>
      </c>
      <c r="F13" s="12" t="s">
        <v>59</v>
      </c>
      <c r="G13" s="12" t="s">
        <v>105</v>
      </c>
      <c r="H13" s="12" t="s">
        <v>13</v>
      </c>
      <c r="I13" s="12" t="s">
        <v>14</v>
      </c>
      <c r="J13" s="12"/>
      <c r="K13" s="12"/>
      <c r="L13" s="12"/>
      <c r="M13" s="12"/>
      <c r="N13" s="12" t="s">
        <v>16</v>
      </c>
      <c r="O13" s="13" t="s">
        <v>490</v>
      </c>
      <c r="P13" s="107">
        <v>1</v>
      </c>
      <c r="Q13" s="107">
        <v>1</v>
      </c>
      <c r="R13" s="107">
        <v>1</v>
      </c>
      <c r="S13" s="107">
        <v>1</v>
      </c>
      <c r="T13" s="107">
        <v>1</v>
      </c>
      <c r="U13" s="107">
        <v>1</v>
      </c>
      <c r="V13" s="107">
        <v>1</v>
      </c>
      <c r="W13" s="107">
        <v>1</v>
      </c>
      <c r="X13" s="107">
        <v>1</v>
      </c>
      <c r="Y13" s="107">
        <v>1</v>
      </c>
      <c r="Z13" s="107">
        <v>1</v>
      </c>
      <c r="AA13" s="107">
        <v>1</v>
      </c>
      <c r="AB13" s="107">
        <v>1</v>
      </c>
      <c r="AC13" s="107">
        <v>1</v>
      </c>
    </row>
    <row r="14" spans="1:30" s="104" customFormat="1" ht="41.4" x14ac:dyDescent="0.25">
      <c r="A14" s="38">
        <v>9713705077</v>
      </c>
      <c r="B14" s="12" t="s">
        <v>101</v>
      </c>
      <c r="C14" s="43" t="s">
        <v>102</v>
      </c>
      <c r="D14" s="12" t="s">
        <v>103</v>
      </c>
      <c r="E14" s="12" t="s">
        <v>104</v>
      </c>
      <c r="F14" s="12" t="s">
        <v>59</v>
      </c>
      <c r="G14" s="12" t="s">
        <v>105</v>
      </c>
      <c r="H14" s="12" t="s">
        <v>13</v>
      </c>
      <c r="I14" s="12" t="s">
        <v>14</v>
      </c>
      <c r="J14" s="12"/>
      <c r="K14" s="12"/>
      <c r="L14" s="12"/>
      <c r="M14" s="12"/>
      <c r="N14" s="12" t="s">
        <v>16</v>
      </c>
      <c r="O14" s="13" t="s">
        <v>491</v>
      </c>
      <c r="P14" s="107">
        <v>1</v>
      </c>
      <c r="Q14" s="107">
        <v>1</v>
      </c>
      <c r="R14" s="107">
        <v>1</v>
      </c>
      <c r="S14" s="107">
        <v>1</v>
      </c>
      <c r="T14" s="107">
        <v>1</v>
      </c>
      <c r="U14" s="107">
        <v>1</v>
      </c>
      <c r="V14" s="107">
        <v>1</v>
      </c>
      <c r="W14" s="107">
        <v>1</v>
      </c>
      <c r="X14" s="107">
        <v>1</v>
      </c>
      <c r="Y14" s="107">
        <v>1</v>
      </c>
      <c r="Z14" s="107">
        <v>1</v>
      </c>
      <c r="AA14" s="107">
        <v>1</v>
      </c>
      <c r="AB14" s="107">
        <v>1</v>
      </c>
      <c r="AC14" s="107">
        <v>1</v>
      </c>
    </row>
    <row r="15" spans="1:30" s="104" customFormat="1" ht="19.95" customHeight="1" x14ac:dyDescent="0.25">
      <c r="A15" s="38">
        <v>9713705077</v>
      </c>
      <c r="B15" s="12" t="s">
        <v>101</v>
      </c>
      <c r="C15" s="43" t="s">
        <v>102</v>
      </c>
      <c r="D15" s="12" t="s">
        <v>103</v>
      </c>
      <c r="E15" s="12" t="s">
        <v>104</v>
      </c>
      <c r="F15" s="12" t="s">
        <v>59</v>
      </c>
      <c r="G15" s="12" t="s">
        <v>105</v>
      </c>
      <c r="H15" s="12" t="s">
        <v>13</v>
      </c>
      <c r="I15" s="12" t="s">
        <v>14</v>
      </c>
      <c r="J15" s="12"/>
      <c r="K15" s="12"/>
      <c r="L15" s="12"/>
      <c r="M15" s="12"/>
      <c r="N15" s="12" t="s">
        <v>16</v>
      </c>
      <c r="O15" s="13" t="s">
        <v>89</v>
      </c>
      <c r="P15" s="107">
        <v>1</v>
      </c>
      <c r="Q15" s="107">
        <v>1</v>
      </c>
      <c r="R15" s="107">
        <v>1</v>
      </c>
      <c r="S15" s="107">
        <v>1</v>
      </c>
      <c r="T15" s="107">
        <v>1</v>
      </c>
      <c r="U15" s="107">
        <v>1</v>
      </c>
      <c r="V15" s="107">
        <v>1</v>
      </c>
      <c r="W15" s="107">
        <v>1</v>
      </c>
      <c r="X15" s="107">
        <v>1</v>
      </c>
      <c r="Y15" s="107">
        <v>1</v>
      </c>
      <c r="Z15" s="107">
        <v>1</v>
      </c>
      <c r="AA15" s="107">
        <v>1</v>
      </c>
      <c r="AB15" s="107">
        <v>1</v>
      </c>
      <c r="AC15" s="107">
        <v>1</v>
      </c>
    </row>
    <row r="16" spans="1:30" s="104" customFormat="1" ht="19.95" customHeight="1" x14ac:dyDescent="0.25">
      <c r="A16" s="38">
        <v>9713705077</v>
      </c>
      <c r="B16" s="12" t="s">
        <v>101</v>
      </c>
      <c r="C16" s="43" t="s">
        <v>102</v>
      </c>
      <c r="D16" s="12" t="s">
        <v>103</v>
      </c>
      <c r="E16" s="12" t="s">
        <v>104</v>
      </c>
      <c r="F16" s="12" t="s">
        <v>59</v>
      </c>
      <c r="G16" s="12" t="s">
        <v>105</v>
      </c>
      <c r="H16" s="12" t="s">
        <v>13</v>
      </c>
      <c r="I16" s="12" t="s">
        <v>14</v>
      </c>
      <c r="J16" s="12"/>
      <c r="K16" s="12"/>
      <c r="L16" s="12"/>
      <c r="M16" s="12"/>
      <c r="N16" s="12" t="s">
        <v>16</v>
      </c>
      <c r="O16" s="13" t="s">
        <v>90</v>
      </c>
      <c r="P16" s="107">
        <v>1</v>
      </c>
      <c r="Q16" s="107">
        <v>1</v>
      </c>
      <c r="R16" s="107">
        <v>1</v>
      </c>
      <c r="S16" s="107">
        <v>1</v>
      </c>
      <c r="T16" s="107">
        <v>1</v>
      </c>
      <c r="U16" s="107">
        <v>1</v>
      </c>
      <c r="V16" s="107">
        <v>1</v>
      </c>
      <c r="W16" s="107">
        <v>1</v>
      </c>
      <c r="X16" s="107">
        <v>1</v>
      </c>
      <c r="Y16" s="107">
        <v>1</v>
      </c>
      <c r="Z16" s="107">
        <v>1</v>
      </c>
      <c r="AA16" s="107">
        <v>1</v>
      </c>
      <c r="AB16" s="107">
        <v>1</v>
      </c>
      <c r="AC16" s="107">
        <v>1</v>
      </c>
    </row>
    <row r="17" spans="1:29" s="104" customFormat="1" ht="19.95" customHeight="1" x14ac:dyDescent="0.25">
      <c r="A17" s="38">
        <v>9713705077</v>
      </c>
      <c r="B17" s="12" t="s">
        <v>101</v>
      </c>
      <c r="C17" s="43" t="s">
        <v>102</v>
      </c>
      <c r="D17" s="12" t="s">
        <v>103</v>
      </c>
      <c r="E17" s="12" t="s">
        <v>104</v>
      </c>
      <c r="F17" s="12" t="s">
        <v>59</v>
      </c>
      <c r="G17" s="12" t="s">
        <v>105</v>
      </c>
      <c r="H17" s="12" t="s">
        <v>13</v>
      </c>
      <c r="I17" s="12" t="s">
        <v>14</v>
      </c>
      <c r="J17" s="12"/>
      <c r="K17" s="12"/>
      <c r="L17" s="12"/>
      <c r="M17" s="12"/>
      <c r="N17" s="12" t="s">
        <v>16</v>
      </c>
      <c r="O17" s="13" t="s">
        <v>91</v>
      </c>
      <c r="P17" s="107">
        <v>1</v>
      </c>
      <c r="Q17" s="107">
        <v>1</v>
      </c>
      <c r="R17" s="107">
        <v>1</v>
      </c>
      <c r="S17" s="107">
        <v>1</v>
      </c>
      <c r="T17" s="107">
        <v>1</v>
      </c>
      <c r="U17" s="107">
        <v>1</v>
      </c>
      <c r="V17" s="107">
        <v>1</v>
      </c>
      <c r="W17" s="107">
        <v>1</v>
      </c>
      <c r="X17" s="107">
        <v>1</v>
      </c>
      <c r="Y17" s="107">
        <v>1</v>
      </c>
      <c r="Z17" s="107">
        <v>1</v>
      </c>
      <c r="AA17" s="107">
        <v>1</v>
      </c>
      <c r="AB17" s="107">
        <v>1</v>
      </c>
      <c r="AC17" s="107">
        <v>1</v>
      </c>
    </row>
    <row r="18" spans="1:29" s="104" customFormat="1" ht="19.95" customHeight="1" x14ac:dyDescent="0.25">
      <c r="A18" s="38">
        <v>9713705077</v>
      </c>
      <c r="B18" s="12" t="s">
        <v>101</v>
      </c>
      <c r="C18" s="43" t="s">
        <v>102</v>
      </c>
      <c r="D18" s="12" t="s">
        <v>103</v>
      </c>
      <c r="E18" s="12" t="s">
        <v>104</v>
      </c>
      <c r="F18" s="12" t="s">
        <v>59</v>
      </c>
      <c r="G18" s="12" t="s">
        <v>105</v>
      </c>
      <c r="H18" s="12" t="s">
        <v>13</v>
      </c>
      <c r="I18" s="12" t="s">
        <v>14</v>
      </c>
      <c r="J18" s="12"/>
      <c r="K18" s="12"/>
      <c r="L18" s="12"/>
      <c r="M18" s="12"/>
      <c r="N18" s="12" t="s">
        <v>16</v>
      </c>
      <c r="O18" s="13" t="s">
        <v>92</v>
      </c>
      <c r="P18" s="107">
        <v>1</v>
      </c>
      <c r="Q18" s="107">
        <v>1</v>
      </c>
      <c r="R18" s="107">
        <v>1</v>
      </c>
      <c r="S18" s="107">
        <v>1</v>
      </c>
      <c r="T18" s="107">
        <v>1</v>
      </c>
      <c r="U18" s="107">
        <v>1</v>
      </c>
      <c r="V18" s="107">
        <v>1</v>
      </c>
      <c r="W18" s="107">
        <v>1</v>
      </c>
      <c r="X18" s="107">
        <v>1</v>
      </c>
      <c r="Y18" s="107">
        <v>1</v>
      </c>
      <c r="Z18" s="107">
        <v>1</v>
      </c>
      <c r="AA18" s="107">
        <v>1</v>
      </c>
      <c r="AB18" s="107">
        <v>1</v>
      </c>
      <c r="AC18" s="107">
        <v>1</v>
      </c>
    </row>
    <row r="19" spans="1:29" s="104" customFormat="1" ht="19.95" customHeight="1" x14ac:dyDescent="0.25">
      <c r="A19" s="38">
        <v>9713705077</v>
      </c>
      <c r="B19" s="12" t="s">
        <v>101</v>
      </c>
      <c r="C19" s="43" t="s">
        <v>102</v>
      </c>
      <c r="D19" s="12" t="s">
        <v>103</v>
      </c>
      <c r="E19" s="12" t="s">
        <v>104</v>
      </c>
      <c r="F19" s="12" t="s">
        <v>59</v>
      </c>
      <c r="G19" s="12" t="s">
        <v>105</v>
      </c>
      <c r="H19" s="12" t="s">
        <v>13</v>
      </c>
      <c r="I19" s="12" t="s">
        <v>14</v>
      </c>
      <c r="J19" s="12"/>
      <c r="K19" s="12"/>
      <c r="L19" s="12"/>
      <c r="M19" s="12"/>
      <c r="N19" s="12" t="s">
        <v>16</v>
      </c>
      <c r="O19" s="13" t="s">
        <v>93</v>
      </c>
      <c r="P19" s="107">
        <v>1</v>
      </c>
      <c r="Q19" s="107">
        <v>1</v>
      </c>
      <c r="R19" s="107">
        <v>1</v>
      </c>
      <c r="S19" s="107">
        <v>1</v>
      </c>
      <c r="T19" s="107">
        <v>1</v>
      </c>
      <c r="U19" s="107">
        <v>1</v>
      </c>
      <c r="V19" s="107">
        <v>1</v>
      </c>
      <c r="W19" s="107">
        <v>1</v>
      </c>
      <c r="X19" s="107">
        <v>1</v>
      </c>
      <c r="Y19" s="107">
        <v>1</v>
      </c>
      <c r="Z19" s="107">
        <v>1</v>
      </c>
      <c r="AA19" s="107">
        <v>1</v>
      </c>
      <c r="AB19" s="107">
        <v>1</v>
      </c>
      <c r="AC19" s="107">
        <v>1</v>
      </c>
    </row>
    <row r="20" spans="1:29" s="104" customFormat="1" ht="19.95" customHeight="1" x14ac:dyDescent="0.25">
      <c r="A20" s="38">
        <v>9713705077</v>
      </c>
      <c r="B20" s="12" t="s">
        <v>101</v>
      </c>
      <c r="C20" s="43" t="s">
        <v>102</v>
      </c>
      <c r="D20" s="12" t="s">
        <v>103</v>
      </c>
      <c r="E20" s="12" t="s">
        <v>104</v>
      </c>
      <c r="F20" s="12" t="s">
        <v>59</v>
      </c>
      <c r="G20" s="12" t="s">
        <v>105</v>
      </c>
      <c r="H20" s="12" t="s">
        <v>13</v>
      </c>
      <c r="I20" s="12" t="s">
        <v>14</v>
      </c>
      <c r="J20" s="12"/>
      <c r="K20" s="12"/>
      <c r="L20" s="12"/>
      <c r="M20" s="12"/>
      <c r="N20" s="12" t="s">
        <v>16</v>
      </c>
      <c r="O20" s="13" t="s">
        <v>492</v>
      </c>
      <c r="P20" s="107">
        <v>1</v>
      </c>
      <c r="Q20" s="107">
        <v>1</v>
      </c>
      <c r="R20" s="107">
        <v>1</v>
      </c>
      <c r="S20" s="107">
        <v>1</v>
      </c>
      <c r="T20" s="107">
        <v>1</v>
      </c>
      <c r="U20" s="107">
        <v>1</v>
      </c>
      <c r="V20" s="107">
        <v>1</v>
      </c>
      <c r="W20" s="107">
        <v>1</v>
      </c>
      <c r="X20" s="107">
        <v>1</v>
      </c>
      <c r="Y20" s="107">
        <v>1</v>
      </c>
      <c r="Z20" s="107">
        <v>1</v>
      </c>
      <c r="AA20" s="107">
        <v>1</v>
      </c>
      <c r="AB20" s="107">
        <v>1</v>
      </c>
      <c r="AC20" s="107">
        <v>1</v>
      </c>
    </row>
    <row r="21" spans="1:29" s="104" customFormat="1" ht="19.95" customHeight="1" x14ac:dyDescent="0.25">
      <c r="A21" s="38">
        <v>9713705077</v>
      </c>
      <c r="B21" s="12" t="s">
        <v>101</v>
      </c>
      <c r="C21" s="43" t="s">
        <v>102</v>
      </c>
      <c r="D21" s="12" t="s">
        <v>103</v>
      </c>
      <c r="E21" s="12" t="s">
        <v>104</v>
      </c>
      <c r="F21" s="12" t="s">
        <v>59</v>
      </c>
      <c r="G21" s="12" t="s">
        <v>105</v>
      </c>
      <c r="H21" s="12" t="s">
        <v>13</v>
      </c>
      <c r="I21" s="12" t="s">
        <v>14</v>
      </c>
      <c r="J21" s="12"/>
      <c r="K21" s="12"/>
      <c r="L21" s="12"/>
      <c r="M21" s="12"/>
      <c r="N21" s="12" t="s">
        <v>16</v>
      </c>
      <c r="O21" s="13" t="s">
        <v>94</v>
      </c>
      <c r="P21" s="107">
        <v>1</v>
      </c>
      <c r="Q21" s="107">
        <v>1</v>
      </c>
      <c r="R21" s="107">
        <v>1</v>
      </c>
      <c r="S21" s="107">
        <v>1</v>
      </c>
      <c r="T21" s="107">
        <v>1</v>
      </c>
      <c r="U21" s="107">
        <v>1</v>
      </c>
      <c r="V21" s="107">
        <v>1</v>
      </c>
      <c r="W21" s="107">
        <v>1</v>
      </c>
      <c r="X21" s="107">
        <v>1</v>
      </c>
      <c r="Y21" s="107">
        <v>1</v>
      </c>
      <c r="Z21" s="107">
        <v>1</v>
      </c>
      <c r="AA21" s="107">
        <v>1</v>
      </c>
      <c r="AB21" s="107">
        <v>1</v>
      </c>
      <c r="AC21" s="107">
        <v>1</v>
      </c>
    </row>
    <row r="22" spans="1:29" s="104" customFormat="1" ht="19.95" customHeight="1" x14ac:dyDescent="0.25">
      <c r="A22" s="38">
        <v>9713705077</v>
      </c>
      <c r="B22" s="12" t="s">
        <v>101</v>
      </c>
      <c r="C22" s="43" t="s">
        <v>102</v>
      </c>
      <c r="D22" s="12" t="s">
        <v>103</v>
      </c>
      <c r="E22" s="12" t="s">
        <v>104</v>
      </c>
      <c r="F22" s="12" t="s">
        <v>59</v>
      </c>
      <c r="G22" s="12" t="s">
        <v>105</v>
      </c>
      <c r="H22" s="12" t="s">
        <v>13</v>
      </c>
      <c r="I22" s="12" t="s">
        <v>14</v>
      </c>
      <c r="J22" s="12"/>
      <c r="K22" s="12"/>
      <c r="L22" s="12"/>
      <c r="M22" s="12"/>
      <c r="N22" s="12" t="s">
        <v>16</v>
      </c>
      <c r="O22" s="13" t="s">
        <v>95</v>
      </c>
      <c r="P22" s="107">
        <v>1</v>
      </c>
      <c r="Q22" s="107">
        <v>1</v>
      </c>
      <c r="R22" s="107">
        <v>1</v>
      </c>
      <c r="S22" s="107">
        <v>1</v>
      </c>
      <c r="T22" s="107">
        <v>1</v>
      </c>
      <c r="U22" s="107">
        <v>1</v>
      </c>
      <c r="V22" s="107">
        <v>1</v>
      </c>
      <c r="W22" s="107">
        <v>1</v>
      </c>
      <c r="X22" s="107">
        <v>1</v>
      </c>
      <c r="Y22" s="107">
        <v>1</v>
      </c>
      <c r="Z22" s="107">
        <v>1</v>
      </c>
      <c r="AA22" s="107">
        <v>1</v>
      </c>
      <c r="AB22" s="107">
        <v>1</v>
      </c>
      <c r="AC22" s="107">
        <v>1</v>
      </c>
    </row>
    <row r="23" spans="1:29" s="104" customFormat="1" ht="19.95" customHeight="1" x14ac:dyDescent="0.25">
      <c r="A23" s="38">
        <v>9713705077</v>
      </c>
      <c r="B23" s="12" t="s">
        <v>101</v>
      </c>
      <c r="C23" s="43" t="s">
        <v>102</v>
      </c>
      <c r="D23" s="12" t="s">
        <v>103</v>
      </c>
      <c r="E23" s="12" t="s">
        <v>104</v>
      </c>
      <c r="F23" s="12" t="s">
        <v>59</v>
      </c>
      <c r="G23" s="12" t="s">
        <v>105</v>
      </c>
      <c r="H23" s="12" t="s">
        <v>13</v>
      </c>
      <c r="I23" s="12" t="s">
        <v>14</v>
      </c>
      <c r="J23" s="12"/>
      <c r="K23" s="12"/>
      <c r="L23" s="12"/>
      <c r="M23" s="12"/>
      <c r="N23" s="12" t="s">
        <v>16</v>
      </c>
      <c r="O23" s="13" t="s">
        <v>96</v>
      </c>
      <c r="P23" s="107">
        <v>1</v>
      </c>
      <c r="Q23" s="107">
        <v>1</v>
      </c>
      <c r="R23" s="107">
        <v>1</v>
      </c>
      <c r="S23" s="107">
        <v>1</v>
      </c>
      <c r="T23" s="107">
        <v>1</v>
      </c>
      <c r="U23" s="107">
        <v>1</v>
      </c>
      <c r="V23" s="107">
        <v>1</v>
      </c>
      <c r="W23" s="107">
        <v>1</v>
      </c>
      <c r="X23" s="107">
        <v>1</v>
      </c>
      <c r="Y23" s="107">
        <v>1</v>
      </c>
      <c r="Z23" s="107">
        <v>1</v>
      </c>
      <c r="AA23" s="107">
        <v>1</v>
      </c>
      <c r="AB23" s="107">
        <v>1</v>
      </c>
      <c r="AC23" s="107">
        <v>1</v>
      </c>
    </row>
    <row r="24" spans="1:29" s="104" customFormat="1" ht="19.95" customHeight="1" x14ac:dyDescent="0.25">
      <c r="A24" s="38">
        <v>9713705077</v>
      </c>
      <c r="B24" s="12" t="s">
        <v>101</v>
      </c>
      <c r="C24" s="43" t="s">
        <v>102</v>
      </c>
      <c r="D24" s="12" t="s">
        <v>103</v>
      </c>
      <c r="E24" s="12" t="s">
        <v>104</v>
      </c>
      <c r="F24" s="12" t="s">
        <v>59</v>
      </c>
      <c r="G24" s="12" t="s">
        <v>105</v>
      </c>
      <c r="H24" s="12" t="s">
        <v>13</v>
      </c>
      <c r="I24" s="12" t="s">
        <v>14</v>
      </c>
      <c r="J24" s="12"/>
      <c r="K24" s="12"/>
      <c r="L24" s="12"/>
      <c r="M24" s="12"/>
      <c r="N24" s="12" t="s">
        <v>16</v>
      </c>
      <c r="O24" s="13" t="s">
        <v>97</v>
      </c>
      <c r="P24" s="107">
        <v>1</v>
      </c>
      <c r="Q24" s="107">
        <v>1</v>
      </c>
      <c r="R24" s="107">
        <v>1</v>
      </c>
      <c r="S24" s="107">
        <v>1</v>
      </c>
      <c r="T24" s="107">
        <v>1</v>
      </c>
      <c r="U24" s="107">
        <v>1</v>
      </c>
      <c r="V24" s="107">
        <v>1</v>
      </c>
      <c r="W24" s="107">
        <v>1</v>
      </c>
      <c r="X24" s="107">
        <v>1</v>
      </c>
      <c r="Y24" s="107">
        <v>1</v>
      </c>
      <c r="Z24" s="107">
        <v>1</v>
      </c>
      <c r="AA24" s="107">
        <v>1</v>
      </c>
      <c r="AB24" s="107">
        <v>1</v>
      </c>
      <c r="AC24" s="107">
        <v>1</v>
      </c>
    </row>
    <row r="25" spans="1:29" s="104" customFormat="1" ht="19.95" customHeight="1" x14ac:dyDescent="0.25">
      <c r="A25" s="38">
        <v>9713705077</v>
      </c>
      <c r="B25" s="12" t="s">
        <v>101</v>
      </c>
      <c r="C25" s="43" t="s">
        <v>102</v>
      </c>
      <c r="D25" s="12" t="s">
        <v>103</v>
      </c>
      <c r="E25" s="12" t="s">
        <v>104</v>
      </c>
      <c r="F25" s="12" t="s">
        <v>59</v>
      </c>
      <c r="G25" s="12" t="s">
        <v>105</v>
      </c>
      <c r="H25" s="12" t="s">
        <v>13</v>
      </c>
      <c r="I25" s="12" t="s">
        <v>14</v>
      </c>
      <c r="J25" s="12"/>
      <c r="K25" s="12"/>
      <c r="L25" s="12"/>
      <c r="M25" s="12"/>
      <c r="N25" s="12" t="s">
        <v>16</v>
      </c>
      <c r="O25" s="13" t="s">
        <v>98</v>
      </c>
      <c r="P25" s="107">
        <v>1</v>
      </c>
      <c r="Q25" s="107">
        <v>1</v>
      </c>
      <c r="R25" s="107">
        <v>1</v>
      </c>
      <c r="S25" s="107">
        <v>1</v>
      </c>
      <c r="T25" s="107">
        <v>1</v>
      </c>
      <c r="U25" s="107">
        <v>1</v>
      </c>
      <c r="V25" s="107">
        <v>1</v>
      </c>
      <c r="W25" s="107">
        <v>1</v>
      </c>
      <c r="X25" s="107">
        <v>1</v>
      </c>
      <c r="Y25" s="107">
        <v>1</v>
      </c>
      <c r="Z25" s="107">
        <v>1</v>
      </c>
      <c r="AA25" s="107">
        <v>1</v>
      </c>
      <c r="AB25" s="107">
        <v>1</v>
      </c>
      <c r="AC25" s="107">
        <v>1</v>
      </c>
    </row>
    <row r="26" spans="1:29" s="104" customFormat="1" ht="19.95" customHeight="1" x14ac:dyDescent="0.25">
      <c r="A26" s="38">
        <v>9713705077</v>
      </c>
      <c r="B26" s="12" t="s">
        <v>101</v>
      </c>
      <c r="C26" s="43" t="s">
        <v>102</v>
      </c>
      <c r="D26" s="12" t="s">
        <v>103</v>
      </c>
      <c r="E26" s="12" t="s">
        <v>104</v>
      </c>
      <c r="F26" s="12" t="s">
        <v>59</v>
      </c>
      <c r="G26" s="12" t="s">
        <v>105</v>
      </c>
      <c r="H26" s="12" t="s">
        <v>13</v>
      </c>
      <c r="I26" s="12" t="s">
        <v>14</v>
      </c>
      <c r="J26" s="12"/>
      <c r="K26" s="12"/>
      <c r="L26" s="12"/>
      <c r="M26" s="12"/>
      <c r="N26" s="12" t="s">
        <v>16</v>
      </c>
      <c r="O26" s="13" t="s">
        <v>99</v>
      </c>
      <c r="P26" s="107">
        <v>1</v>
      </c>
      <c r="Q26" s="107">
        <v>1</v>
      </c>
      <c r="R26" s="107">
        <v>1</v>
      </c>
      <c r="S26" s="107">
        <v>1</v>
      </c>
      <c r="T26" s="107">
        <v>1</v>
      </c>
      <c r="U26" s="107">
        <v>1</v>
      </c>
      <c r="V26" s="107">
        <v>1</v>
      </c>
      <c r="W26" s="107">
        <v>1</v>
      </c>
      <c r="X26" s="107">
        <v>1</v>
      </c>
      <c r="Y26" s="107">
        <v>1</v>
      </c>
      <c r="Z26" s="107">
        <v>1</v>
      </c>
      <c r="AA26" s="107">
        <v>1</v>
      </c>
      <c r="AB26" s="107">
        <v>1</v>
      </c>
      <c r="AC26" s="107">
        <v>1</v>
      </c>
    </row>
    <row r="27" spans="1:29" s="104" customFormat="1" ht="19.95" customHeight="1" x14ac:dyDescent="0.25">
      <c r="A27" s="38">
        <v>9713705077</v>
      </c>
      <c r="B27" s="12" t="s">
        <v>101</v>
      </c>
      <c r="C27" s="43" t="s">
        <v>102</v>
      </c>
      <c r="D27" s="12" t="s">
        <v>103</v>
      </c>
      <c r="E27" s="12" t="s">
        <v>104</v>
      </c>
      <c r="F27" s="12" t="s">
        <v>59</v>
      </c>
      <c r="G27" s="12" t="s">
        <v>105</v>
      </c>
      <c r="H27" s="12" t="s">
        <v>13</v>
      </c>
      <c r="I27" s="12" t="s">
        <v>14</v>
      </c>
      <c r="J27" s="12"/>
      <c r="K27" s="12"/>
      <c r="L27" s="12"/>
      <c r="M27" s="12"/>
      <c r="N27" s="12" t="s">
        <v>16</v>
      </c>
      <c r="O27" s="13" t="s">
        <v>100</v>
      </c>
      <c r="P27" s="107">
        <v>1</v>
      </c>
      <c r="Q27" s="107">
        <v>1</v>
      </c>
      <c r="R27" s="107">
        <v>1</v>
      </c>
      <c r="S27" s="107">
        <v>1</v>
      </c>
      <c r="T27" s="107">
        <v>1</v>
      </c>
      <c r="U27" s="107">
        <v>1</v>
      </c>
      <c r="V27" s="107">
        <v>1</v>
      </c>
      <c r="W27" s="107">
        <v>1</v>
      </c>
      <c r="X27" s="107">
        <v>1</v>
      </c>
      <c r="Y27" s="107">
        <v>1</v>
      </c>
      <c r="Z27" s="107">
        <v>1</v>
      </c>
      <c r="AA27" s="107">
        <v>1</v>
      </c>
      <c r="AB27" s="107">
        <v>1</v>
      </c>
      <c r="AC27" s="107">
        <v>1</v>
      </c>
    </row>
  </sheetData>
  <hyperlinks>
    <hyperlink ref="C2" r:id="rId1" xr:uid="{44798C71-149A-4CBE-B7D7-BB3B7B5AAED6}"/>
    <hyperlink ref="C3" r:id="rId2" xr:uid="{8C8D8E4E-3C1A-4BC6-9B13-B6316941A4CA}"/>
    <hyperlink ref="C4" r:id="rId3" xr:uid="{A1E95BC3-6A81-4E24-AA4A-43876F9EA1E8}"/>
    <hyperlink ref="C5" r:id="rId4" xr:uid="{06E3C98B-6927-455D-8003-ABB020E6A44F}"/>
    <hyperlink ref="C6" r:id="rId5" xr:uid="{10D6EA9C-9B68-4672-A152-96FC11DDDA0A}"/>
    <hyperlink ref="C7" r:id="rId6" xr:uid="{29A17F99-05D3-4DF1-9437-6A27A79C2A64}"/>
    <hyperlink ref="C8" r:id="rId7" xr:uid="{D6CF19BC-6177-40E1-97EF-257ACCBFCA6F}"/>
    <hyperlink ref="C9" r:id="rId8" xr:uid="{F1B291F0-A403-461C-BDB9-B3E2447CD80C}"/>
    <hyperlink ref="C10" r:id="rId9" xr:uid="{6F24DEC3-468F-4EAC-AF12-0A4FE52C3C6C}"/>
    <hyperlink ref="C11" r:id="rId10" xr:uid="{C4174D02-E12C-43B9-9403-A06ACBC38C19}"/>
    <hyperlink ref="C12" r:id="rId11" xr:uid="{E1DEE7BD-010B-45EB-B896-B3DA2C5906FE}"/>
    <hyperlink ref="C13" r:id="rId12" xr:uid="{2EE7E97F-9CAE-4D35-9563-ECFD77152C89}"/>
    <hyperlink ref="C14" r:id="rId13" xr:uid="{4D873D13-3F82-4E0E-A56A-F831CE43CD5B}"/>
    <hyperlink ref="C15" r:id="rId14" xr:uid="{782641AC-75A3-4224-A9A2-E52DBB8234B5}"/>
    <hyperlink ref="C16" r:id="rId15" xr:uid="{A8B4E10A-5760-4FF1-8E79-421CCC37DF4E}"/>
    <hyperlink ref="C17" r:id="rId16" xr:uid="{2E488B28-AFAB-4CF1-A449-C2DA33D57A80}"/>
    <hyperlink ref="C18" r:id="rId17" xr:uid="{E21F389D-3B88-4518-9CAC-1F37969A7AFD}"/>
    <hyperlink ref="C19" r:id="rId18" xr:uid="{56BA7FF8-500C-4DEA-ACB2-0433BCE235B7}"/>
    <hyperlink ref="C20" r:id="rId19" xr:uid="{B7F9448A-B3BA-4635-AC4E-6A2126AB78BD}"/>
    <hyperlink ref="C21" r:id="rId20" xr:uid="{618F031C-1150-461F-A5E5-1D5BA8693984}"/>
    <hyperlink ref="C22" r:id="rId21" xr:uid="{531345CD-95D2-4CFF-A8D6-4042687527FC}"/>
    <hyperlink ref="C23" r:id="rId22" xr:uid="{FB75BFFD-3557-4401-9707-A53D0B59CBA4}"/>
    <hyperlink ref="C24" r:id="rId23" xr:uid="{D91EB562-C525-4DB3-B940-FF6A7A3348E2}"/>
    <hyperlink ref="C25" r:id="rId24" xr:uid="{6C57B1E7-8655-486B-A44D-5284343332C5}"/>
    <hyperlink ref="C26" r:id="rId25" xr:uid="{3C4CAE58-F691-42AA-AF89-1ACCBB571EA4}"/>
    <hyperlink ref="C27" r:id="rId26" xr:uid="{CF0DCB23-0F88-4502-8F49-C73E02384325}"/>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75C06-B0A3-49CD-983B-79AC0D1A99EA}">
  <dimension ref="A1:AC19"/>
  <sheetViews>
    <sheetView topLeftCell="F1" workbookViewId="0">
      <selection activeCell="F3" sqref="F3"/>
    </sheetView>
  </sheetViews>
  <sheetFormatPr defaultColWidth="9.6640625" defaultRowHeight="13.8" x14ac:dyDescent="0.25"/>
  <cols>
    <col min="1" max="1" width="13.88671875" style="23" customWidth="1"/>
    <col min="2" max="2" width="15.77734375" style="23" customWidth="1"/>
    <col min="3" max="3" width="36.44140625" style="23" bestFit="1" customWidth="1"/>
    <col min="4" max="4" width="12" style="23" customWidth="1"/>
    <col min="5" max="5" width="8.109375" style="23" customWidth="1"/>
    <col min="6" max="6" width="11.6640625" style="23" bestFit="1" customWidth="1"/>
    <col min="7" max="7" width="16.5546875" style="23" bestFit="1" customWidth="1"/>
    <col min="8" max="8" width="10.33203125" style="23" bestFit="1" customWidth="1"/>
    <col min="9" max="9" width="14.21875" style="23" customWidth="1"/>
    <col min="10" max="13" width="12.6640625" style="23" customWidth="1"/>
    <col min="14" max="14" width="15.6640625" style="23" bestFit="1" customWidth="1"/>
    <col min="15" max="15" width="81.109375" style="22" customWidth="1"/>
    <col min="16" max="16" width="11.44140625" style="32" customWidth="1"/>
    <col min="17" max="17" width="13" style="23" customWidth="1"/>
    <col min="18" max="18" width="11.33203125" style="23" customWidth="1"/>
    <col min="19" max="19" width="11.44140625" style="23" customWidth="1"/>
    <col min="20" max="20" width="11.109375" style="23" customWidth="1"/>
    <col min="21" max="21" width="10.5546875" style="32" customWidth="1"/>
    <col min="22" max="22" width="12" style="32" customWidth="1"/>
    <col min="23" max="23" width="11.109375" style="32" customWidth="1"/>
    <col min="24" max="28" width="11.33203125" style="23" bestFit="1" customWidth="1"/>
    <col min="29" max="29" width="13" style="23" bestFit="1" customWidth="1"/>
    <col min="30" max="16384" width="9.6640625" style="23"/>
  </cols>
  <sheetData>
    <row r="1" spans="1:29" s="33" customFormat="1" ht="27.6" x14ac:dyDescent="0.25">
      <c r="A1" s="58" t="s">
        <v>0</v>
      </c>
      <c r="B1" s="58" t="s">
        <v>1</v>
      </c>
      <c r="C1" s="58" t="s">
        <v>2</v>
      </c>
      <c r="D1" s="58" t="s">
        <v>3</v>
      </c>
      <c r="E1" s="58" t="s">
        <v>4</v>
      </c>
      <c r="F1" s="58" t="s">
        <v>5</v>
      </c>
      <c r="G1" s="58" t="s">
        <v>6</v>
      </c>
      <c r="H1" s="58" t="s">
        <v>7</v>
      </c>
      <c r="I1" s="58" t="s">
        <v>8</v>
      </c>
      <c r="J1" s="58" t="s">
        <v>9</v>
      </c>
      <c r="K1" s="58" t="s">
        <v>10</v>
      </c>
      <c r="L1" s="58" t="s">
        <v>126</v>
      </c>
      <c r="M1" s="58" t="s">
        <v>127</v>
      </c>
      <c r="N1" s="58"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ht="19.95" customHeight="1" x14ac:dyDescent="0.25">
      <c r="A2" s="36" t="s">
        <v>28</v>
      </c>
      <c r="B2" s="37" t="s">
        <v>19</v>
      </c>
      <c r="C2" s="43" t="s">
        <v>27</v>
      </c>
      <c r="D2" s="12" t="s">
        <v>15</v>
      </c>
      <c r="E2" s="37" t="s">
        <v>26</v>
      </c>
      <c r="F2" s="12" t="s">
        <v>59</v>
      </c>
      <c r="G2" s="37" t="s">
        <v>25</v>
      </c>
      <c r="H2" s="37" t="s">
        <v>13</v>
      </c>
      <c r="I2" s="37" t="s">
        <v>14</v>
      </c>
      <c r="J2" s="12"/>
      <c r="K2" s="12"/>
      <c r="L2" s="12"/>
      <c r="M2" s="12"/>
      <c r="N2" s="12" t="s">
        <v>16</v>
      </c>
      <c r="O2" s="13" t="s">
        <v>470</v>
      </c>
      <c r="P2" s="38" t="s">
        <v>128</v>
      </c>
      <c r="Q2" s="99">
        <v>0</v>
      </c>
      <c r="R2" s="99">
        <f>5500000/100000</f>
        <v>55</v>
      </c>
      <c r="S2" s="99">
        <f>5500000/100000</f>
        <v>55</v>
      </c>
      <c r="T2" s="99">
        <f>5500000/100000</f>
        <v>55</v>
      </c>
      <c r="U2" s="99">
        <f>7500000/100000</f>
        <v>75</v>
      </c>
      <c r="V2" s="99">
        <f>8000000/100000</f>
        <v>80</v>
      </c>
      <c r="W2" s="99">
        <f>8500000/100000</f>
        <v>85</v>
      </c>
      <c r="X2" s="99">
        <f>9000000/100000</f>
        <v>90</v>
      </c>
      <c r="Y2" s="99">
        <f>9500000/100000</f>
        <v>95</v>
      </c>
      <c r="Z2" s="99">
        <f>9500000/100000</f>
        <v>95</v>
      </c>
      <c r="AA2" s="99">
        <f>9500000/100000</f>
        <v>95</v>
      </c>
      <c r="AB2" s="99">
        <f>9500000/100000</f>
        <v>95</v>
      </c>
      <c r="AC2" s="99">
        <f>10000000/100000</f>
        <v>100</v>
      </c>
    </row>
    <row r="3" spans="1:29" ht="27.6" x14ac:dyDescent="0.25">
      <c r="A3" s="36" t="s">
        <v>28</v>
      </c>
      <c r="B3" s="37" t="s">
        <v>19</v>
      </c>
      <c r="C3" s="43" t="s">
        <v>27</v>
      </c>
      <c r="D3" s="12" t="s">
        <v>15</v>
      </c>
      <c r="E3" s="37" t="s">
        <v>26</v>
      </c>
      <c r="F3" s="12" t="s">
        <v>59</v>
      </c>
      <c r="G3" s="37" t="s">
        <v>25</v>
      </c>
      <c r="H3" s="37" t="s">
        <v>13</v>
      </c>
      <c r="I3" s="37" t="s">
        <v>14</v>
      </c>
      <c r="J3" s="12"/>
      <c r="K3" s="12"/>
      <c r="L3" s="12"/>
      <c r="M3" s="12"/>
      <c r="N3" s="12" t="s">
        <v>16</v>
      </c>
      <c r="O3" s="13" t="s">
        <v>471</v>
      </c>
      <c r="P3" s="38" t="s">
        <v>21</v>
      </c>
      <c r="Q3" s="100">
        <v>1</v>
      </c>
      <c r="R3" s="100">
        <v>1</v>
      </c>
      <c r="S3" s="100">
        <v>1</v>
      </c>
      <c r="T3" s="100">
        <v>1</v>
      </c>
      <c r="U3" s="100">
        <v>1</v>
      </c>
      <c r="V3" s="100">
        <v>1</v>
      </c>
      <c r="W3" s="100">
        <v>1</v>
      </c>
      <c r="X3" s="100">
        <v>1</v>
      </c>
      <c r="Y3" s="100">
        <v>1</v>
      </c>
      <c r="Z3" s="100">
        <v>1</v>
      </c>
      <c r="AA3" s="100">
        <v>1</v>
      </c>
      <c r="AB3" s="100">
        <v>1</v>
      </c>
      <c r="AC3" s="100">
        <v>1</v>
      </c>
    </row>
    <row r="4" spans="1:29" ht="96.6" x14ac:dyDescent="0.25">
      <c r="A4" s="36" t="s">
        <v>28</v>
      </c>
      <c r="B4" s="37" t="s">
        <v>19</v>
      </c>
      <c r="C4" s="43" t="s">
        <v>27</v>
      </c>
      <c r="D4" s="12" t="s">
        <v>15</v>
      </c>
      <c r="E4" s="37" t="s">
        <v>26</v>
      </c>
      <c r="F4" s="12" t="s">
        <v>59</v>
      </c>
      <c r="G4" s="37" t="s">
        <v>25</v>
      </c>
      <c r="H4" s="37" t="s">
        <v>13</v>
      </c>
      <c r="I4" s="37" t="s">
        <v>14</v>
      </c>
      <c r="J4" s="12"/>
      <c r="K4" s="12"/>
      <c r="L4" s="12"/>
      <c r="M4" s="12"/>
      <c r="N4" s="12" t="s">
        <v>16</v>
      </c>
      <c r="O4" s="13" t="s">
        <v>472</v>
      </c>
      <c r="P4" s="38" t="s">
        <v>21</v>
      </c>
      <c r="Q4" s="100">
        <v>1</v>
      </c>
      <c r="R4" s="100">
        <v>1</v>
      </c>
      <c r="S4" s="100">
        <v>1</v>
      </c>
      <c r="T4" s="100">
        <v>1</v>
      </c>
      <c r="U4" s="100">
        <v>1</v>
      </c>
      <c r="V4" s="100">
        <v>1</v>
      </c>
      <c r="W4" s="100">
        <v>1</v>
      </c>
      <c r="X4" s="100">
        <v>1</v>
      </c>
      <c r="Y4" s="100">
        <v>1</v>
      </c>
      <c r="Z4" s="100">
        <v>1</v>
      </c>
      <c r="AA4" s="100">
        <v>1</v>
      </c>
      <c r="AB4" s="100">
        <v>1</v>
      </c>
      <c r="AC4" s="100">
        <v>1</v>
      </c>
    </row>
    <row r="5" spans="1:29" ht="27.6" x14ac:dyDescent="0.25">
      <c r="A5" s="36" t="s">
        <v>28</v>
      </c>
      <c r="B5" s="37" t="s">
        <v>19</v>
      </c>
      <c r="C5" s="43" t="s">
        <v>27</v>
      </c>
      <c r="D5" s="12" t="s">
        <v>15</v>
      </c>
      <c r="E5" s="37" t="s">
        <v>26</v>
      </c>
      <c r="F5" s="12" t="s">
        <v>59</v>
      </c>
      <c r="G5" s="37" t="s">
        <v>25</v>
      </c>
      <c r="H5" s="37" t="s">
        <v>13</v>
      </c>
      <c r="I5" s="37" t="s">
        <v>14</v>
      </c>
      <c r="J5" s="12"/>
      <c r="K5" s="12"/>
      <c r="L5" s="12"/>
      <c r="M5" s="12"/>
      <c r="N5" s="12" t="s">
        <v>16</v>
      </c>
      <c r="O5" s="13" t="s">
        <v>473</v>
      </c>
      <c r="P5" s="38" t="s">
        <v>21</v>
      </c>
      <c r="Q5" s="100">
        <v>1</v>
      </c>
      <c r="R5" s="100">
        <v>1</v>
      </c>
      <c r="S5" s="100">
        <v>1</v>
      </c>
      <c r="T5" s="100">
        <v>1</v>
      </c>
      <c r="U5" s="100">
        <v>1</v>
      </c>
      <c r="V5" s="100">
        <v>1</v>
      </c>
      <c r="W5" s="100">
        <v>1</v>
      </c>
      <c r="X5" s="100">
        <v>1</v>
      </c>
      <c r="Y5" s="100">
        <v>1</v>
      </c>
      <c r="Z5" s="100">
        <v>1</v>
      </c>
      <c r="AA5" s="100">
        <v>1</v>
      </c>
      <c r="AB5" s="100">
        <v>1</v>
      </c>
      <c r="AC5" s="100">
        <v>1</v>
      </c>
    </row>
    <row r="6" spans="1:29" ht="41.4" x14ac:dyDescent="0.25">
      <c r="A6" s="36" t="s">
        <v>28</v>
      </c>
      <c r="B6" s="37" t="s">
        <v>19</v>
      </c>
      <c r="C6" s="43" t="s">
        <v>27</v>
      </c>
      <c r="D6" s="12" t="s">
        <v>15</v>
      </c>
      <c r="E6" s="37" t="s">
        <v>26</v>
      </c>
      <c r="F6" s="12" t="s">
        <v>59</v>
      </c>
      <c r="G6" s="37" t="s">
        <v>25</v>
      </c>
      <c r="H6" s="37" t="s">
        <v>13</v>
      </c>
      <c r="I6" s="37" t="s">
        <v>14</v>
      </c>
      <c r="J6" s="12"/>
      <c r="K6" s="12"/>
      <c r="L6" s="12"/>
      <c r="M6" s="12"/>
      <c r="N6" s="12" t="s">
        <v>16</v>
      </c>
      <c r="O6" s="13" t="s">
        <v>474</v>
      </c>
      <c r="P6" s="38" t="s">
        <v>21</v>
      </c>
      <c r="Q6" s="100">
        <v>1</v>
      </c>
      <c r="R6" s="100">
        <v>1</v>
      </c>
      <c r="S6" s="100">
        <v>1</v>
      </c>
      <c r="T6" s="100">
        <v>1</v>
      </c>
      <c r="U6" s="100">
        <v>1</v>
      </c>
      <c r="V6" s="100">
        <v>1</v>
      </c>
      <c r="W6" s="100">
        <v>1</v>
      </c>
      <c r="X6" s="100">
        <v>1</v>
      </c>
      <c r="Y6" s="100">
        <v>1</v>
      </c>
      <c r="Z6" s="100">
        <v>1</v>
      </c>
      <c r="AA6" s="100">
        <v>1</v>
      </c>
      <c r="AB6" s="100">
        <v>1</v>
      </c>
      <c r="AC6" s="100">
        <v>1</v>
      </c>
    </row>
    <row r="7" spans="1:29" ht="41.4" x14ac:dyDescent="0.25">
      <c r="A7" s="36" t="s">
        <v>28</v>
      </c>
      <c r="B7" s="37" t="s">
        <v>19</v>
      </c>
      <c r="C7" s="43" t="s">
        <v>27</v>
      </c>
      <c r="D7" s="12" t="s">
        <v>15</v>
      </c>
      <c r="E7" s="37" t="s">
        <v>26</v>
      </c>
      <c r="F7" s="12" t="s">
        <v>59</v>
      </c>
      <c r="G7" s="37" t="s">
        <v>25</v>
      </c>
      <c r="H7" s="37" t="s">
        <v>13</v>
      </c>
      <c r="I7" s="37" t="s">
        <v>14</v>
      </c>
      <c r="J7" s="12"/>
      <c r="K7" s="12"/>
      <c r="L7" s="12"/>
      <c r="M7" s="12"/>
      <c r="N7" s="12" t="s">
        <v>16</v>
      </c>
      <c r="O7" s="13" t="s">
        <v>475</v>
      </c>
      <c r="P7" s="38" t="s">
        <v>21</v>
      </c>
      <c r="Q7" s="100">
        <v>1</v>
      </c>
      <c r="R7" s="100">
        <v>1</v>
      </c>
      <c r="S7" s="100">
        <v>1</v>
      </c>
      <c r="T7" s="100">
        <v>1</v>
      </c>
      <c r="U7" s="100">
        <v>1</v>
      </c>
      <c r="V7" s="100">
        <v>1</v>
      </c>
      <c r="W7" s="100">
        <v>1</v>
      </c>
      <c r="X7" s="100">
        <v>1</v>
      </c>
      <c r="Y7" s="100">
        <v>1</v>
      </c>
      <c r="Z7" s="100">
        <v>1</v>
      </c>
      <c r="AA7" s="100">
        <v>1</v>
      </c>
      <c r="AB7" s="100">
        <v>1</v>
      </c>
      <c r="AC7" s="100">
        <v>1</v>
      </c>
    </row>
    <row r="8" spans="1:29" ht="96.6" x14ac:dyDescent="0.25">
      <c r="A8" s="36" t="s">
        <v>28</v>
      </c>
      <c r="B8" s="37" t="s">
        <v>19</v>
      </c>
      <c r="C8" s="43" t="s">
        <v>27</v>
      </c>
      <c r="D8" s="12" t="s">
        <v>15</v>
      </c>
      <c r="E8" s="37" t="s">
        <v>26</v>
      </c>
      <c r="F8" s="12" t="s">
        <v>59</v>
      </c>
      <c r="G8" s="37" t="s">
        <v>25</v>
      </c>
      <c r="H8" s="37" t="s">
        <v>13</v>
      </c>
      <c r="I8" s="37" t="s">
        <v>14</v>
      </c>
      <c r="J8" s="12"/>
      <c r="K8" s="12"/>
      <c r="L8" s="12"/>
      <c r="M8" s="12"/>
      <c r="N8" s="12" t="s">
        <v>16</v>
      </c>
      <c r="O8" s="13" t="s">
        <v>476</v>
      </c>
      <c r="P8" s="38" t="s">
        <v>21</v>
      </c>
      <c r="Q8" s="100">
        <v>1</v>
      </c>
      <c r="R8" s="100">
        <v>1</v>
      </c>
      <c r="S8" s="100">
        <v>1</v>
      </c>
      <c r="T8" s="100">
        <v>1</v>
      </c>
      <c r="U8" s="100">
        <v>1</v>
      </c>
      <c r="V8" s="100">
        <v>1</v>
      </c>
      <c r="W8" s="100">
        <v>1</v>
      </c>
      <c r="X8" s="100">
        <v>1</v>
      </c>
      <c r="Y8" s="100">
        <v>1</v>
      </c>
      <c r="Z8" s="100">
        <v>1</v>
      </c>
      <c r="AA8" s="100">
        <v>1</v>
      </c>
      <c r="AB8" s="100">
        <v>1</v>
      </c>
      <c r="AC8" s="100">
        <v>1</v>
      </c>
    </row>
    <row r="9" spans="1:29" ht="96.6" x14ac:dyDescent="0.25">
      <c r="A9" s="36" t="s">
        <v>28</v>
      </c>
      <c r="B9" s="37" t="s">
        <v>19</v>
      </c>
      <c r="C9" s="43" t="s">
        <v>27</v>
      </c>
      <c r="D9" s="12" t="s">
        <v>15</v>
      </c>
      <c r="E9" s="37" t="s">
        <v>26</v>
      </c>
      <c r="F9" s="12" t="s">
        <v>59</v>
      </c>
      <c r="G9" s="37" t="s">
        <v>25</v>
      </c>
      <c r="H9" s="37" t="s">
        <v>13</v>
      </c>
      <c r="I9" s="37" t="s">
        <v>14</v>
      </c>
      <c r="J9" s="12"/>
      <c r="K9" s="12"/>
      <c r="L9" s="12"/>
      <c r="M9" s="12"/>
      <c r="N9" s="12" t="s">
        <v>16</v>
      </c>
      <c r="O9" s="13" t="s">
        <v>477</v>
      </c>
      <c r="P9" s="38" t="s">
        <v>21</v>
      </c>
      <c r="Q9" s="100">
        <v>1</v>
      </c>
      <c r="R9" s="100">
        <v>0.25</v>
      </c>
      <c r="S9" s="100">
        <v>0.25</v>
      </c>
      <c r="T9" s="100">
        <v>0.25</v>
      </c>
      <c r="U9" s="100">
        <v>0.25</v>
      </c>
      <c r="V9" s="100">
        <v>0.25</v>
      </c>
      <c r="W9" s="100">
        <v>0.25</v>
      </c>
      <c r="X9" s="100">
        <v>0.25</v>
      </c>
      <c r="Y9" s="100">
        <v>0.25</v>
      </c>
      <c r="Z9" s="100">
        <v>0.25</v>
      </c>
      <c r="AA9" s="100">
        <v>0.25</v>
      </c>
      <c r="AB9" s="100">
        <v>0.25</v>
      </c>
      <c r="AC9" s="100">
        <v>0.25</v>
      </c>
    </row>
    <row r="10" spans="1:29" ht="19.95" customHeight="1" x14ac:dyDescent="0.25">
      <c r="A10" s="36" t="s">
        <v>28</v>
      </c>
      <c r="B10" s="37" t="s">
        <v>19</v>
      </c>
      <c r="C10" s="43" t="s">
        <v>27</v>
      </c>
      <c r="D10" s="12" t="s">
        <v>15</v>
      </c>
      <c r="E10" s="37" t="s">
        <v>26</v>
      </c>
      <c r="F10" s="12" t="s">
        <v>59</v>
      </c>
      <c r="G10" s="37" t="s">
        <v>25</v>
      </c>
      <c r="H10" s="37" t="s">
        <v>13</v>
      </c>
      <c r="I10" s="37" t="s">
        <v>14</v>
      </c>
      <c r="J10" s="12"/>
      <c r="K10" s="12"/>
      <c r="L10" s="12"/>
      <c r="M10" s="12"/>
      <c r="N10" s="12" t="s">
        <v>16</v>
      </c>
      <c r="O10" s="13" t="s">
        <v>478</v>
      </c>
      <c r="P10" s="38" t="s">
        <v>18</v>
      </c>
      <c r="Q10" s="99" t="e">
        <f>#REF!</f>
        <v>#REF!</v>
      </c>
      <c r="R10" s="99">
        <v>3</v>
      </c>
      <c r="S10" s="99">
        <v>3</v>
      </c>
      <c r="T10" s="99">
        <v>3</v>
      </c>
      <c r="U10" s="99">
        <v>4</v>
      </c>
      <c r="V10" s="99">
        <v>4</v>
      </c>
      <c r="W10" s="99">
        <v>4</v>
      </c>
      <c r="X10" s="99">
        <v>4</v>
      </c>
      <c r="Y10" s="99">
        <v>4</v>
      </c>
      <c r="Z10" s="99">
        <v>4</v>
      </c>
      <c r="AA10" s="99">
        <v>4</v>
      </c>
      <c r="AB10" s="99">
        <v>4</v>
      </c>
      <c r="AC10" s="99">
        <v>4</v>
      </c>
    </row>
    <row r="11" spans="1:29" ht="19.95" customHeight="1" x14ac:dyDescent="0.25">
      <c r="A11" s="36" t="s">
        <v>28</v>
      </c>
      <c r="B11" s="37" t="s">
        <v>19</v>
      </c>
      <c r="C11" s="43" t="s">
        <v>27</v>
      </c>
      <c r="D11" s="12" t="s">
        <v>15</v>
      </c>
      <c r="E11" s="37" t="s">
        <v>26</v>
      </c>
      <c r="F11" s="12" t="s">
        <v>59</v>
      </c>
      <c r="G11" s="37" t="s">
        <v>25</v>
      </c>
      <c r="H11" s="37" t="s">
        <v>13</v>
      </c>
      <c r="I11" s="37" t="s">
        <v>14</v>
      </c>
      <c r="J11" s="12"/>
      <c r="K11" s="12"/>
      <c r="L11" s="12"/>
      <c r="M11" s="12"/>
      <c r="N11" s="12" t="s">
        <v>16</v>
      </c>
      <c r="O11" s="13" t="s">
        <v>479</v>
      </c>
      <c r="P11" s="38" t="s">
        <v>21</v>
      </c>
      <c r="Q11" s="100">
        <v>1</v>
      </c>
      <c r="R11" s="100">
        <v>1</v>
      </c>
      <c r="S11" s="100">
        <v>1</v>
      </c>
      <c r="T11" s="100">
        <v>1</v>
      </c>
      <c r="U11" s="100">
        <v>1</v>
      </c>
      <c r="V11" s="100">
        <v>1</v>
      </c>
      <c r="W11" s="100">
        <v>1</v>
      </c>
      <c r="X11" s="100">
        <v>1</v>
      </c>
      <c r="Y11" s="100">
        <v>1</v>
      </c>
      <c r="Z11" s="100">
        <v>1</v>
      </c>
      <c r="AA11" s="100">
        <v>1</v>
      </c>
      <c r="AB11" s="100">
        <v>1</v>
      </c>
      <c r="AC11" s="100">
        <v>1</v>
      </c>
    </row>
    <row r="12" spans="1:29" ht="19.95" customHeight="1" x14ac:dyDescent="0.25">
      <c r="A12" s="36" t="s">
        <v>28</v>
      </c>
      <c r="B12" s="37" t="s">
        <v>19</v>
      </c>
      <c r="C12" s="43" t="s">
        <v>27</v>
      </c>
      <c r="D12" s="12" t="s">
        <v>15</v>
      </c>
      <c r="E12" s="37" t="s">
        <v>26</v>
      </c>
      <c r="F12" s="12" t="s">
        <v>59</v>
      </c>
      <c r="G12" s="37" t="s">
        <v>25</v>
      </c>
      <c r="H12" s="37" t="s">
        <v>13</v>
      </c>
      <c r="I12" s="37" t="s">
        <v>14</v>
      </c>
      <c r="J12" s="12"/>
      <c r="K12" s="12"/>
      <c r="L12" s="12"/>
      <c r="M12" s="12"/>
      <c r="N12" s="12" t="s">
        <v>16</v>
      </c>
      <c r="O12" s="13" t="s">
        <v>480</v>
      </c>
      <c r="P12" s="38" t="s">
        <v>21</v>
      </c>
      <c r="Q12" s="100">
        <v>1</v>
      </c>
      <c r="R12" s="100">
        <v>1</v>
      </c>
      <c r="S12" s="100">
        <v>1</v>
      </c>
      <c r="T12" s="100">
        <v>1</v>
      </c>
      <c r="U12" s="100">
        <v>1</v>
      </c>
      <c r="V12" s="100">
        <v>1</v>
      </c>
      <c r="W12" s="100">
        <v>1</v>
      </c>
      <c r="X12" s="100">
        <v>1</v>
      </c>
      <c r="Y12" s="100">
        <v>1</v>
      </c>
      <c r="Z12" s="100">
        <v>1</v>
      </c>
      <c r="AA12" s="100">
        <v>1</v>
      </c>
      <c r="AB12" s="100">
        <v>1</v>
      </c>
      <c r="AC12" s="100">
        <v>1</v>
      </c>
    </row>
    <row r="13" spans="1:29" ht="27.6" x14ac:dyDescent="0.25">
      <c r="A13" s="36" t="s">
        <v>28</v>
      </c>
      <c r="B13" s="37" t="s">
        <v>19</v>
      </c>
      <c r="C13" s="43" t="s">
        <v>27</v>
      </c>
      <c r="D13" s="12" t="s">
        <v>15</v>
      </c>
      <c r="E13" s="37" t="s">
        <v>26</v>
      </c>
      <c r="F13" s="12" t="s">
        <v>59</v>
      </c>
      <c r="G13" s="37" t="s">
        <v>25</v>
      </c>
      <c r="H13" s="37" t="s">
        <v>13</v>
      </c>
      <c r="I13" s="37" t="s">
        <v>14</v>
      </c>
      <c r="J13" s="12"/>
      <c r="K13" s="12"/>
      <c r="L13" s="12"/>
      <c r="M13" s="12"/>
      <c r="N13" s="12" t="s">
        <v>16</v>
      </c>
      <c r="O13" s="13" t="s">
        <v>481</v>
      </c>
      <c r="P13" s="38" t="s">
        <v>21</v>
      </c>
      <c r="Q13" s="100">
        <v>1</v>
      </c>
      <c r="R13" s="100">
        <v>1</v>
      </c>
      <c r="S13" s="100">
        <v>1</v>
      </c>
      <c r="T13" s="100">
        <v>1</v>
      </c>
      <c r="U13" s="100">
        <v>1</v>
      </c>
      <c r="V13" s="100">
        <v>1</v>
      </c>
      <c r="W13" s="100">
        <v>1</v>
      </c>
      <c r="X13" s="100">
        <v>1</v>
      </c>
      <c r="Y13" s="100">
        <v>1</v>
      </c>
      <c r="Z13" s="100">
        <v>1</v>
      </c>
      <c r="AA13" s="100">
        <v>1</v>
      </c>
      <c r="AB13" s="100">
        <v>1</v>
      </c>
      <c r="AC13" s="100">
        <v>1</v>
      </c>
    </row>
    <row r="14" spans="1:29" ht="19.95" customHeight="1" x14ac:dyDescent="0.25">
      <c r="A14" s="36" t="s">
        <v>28</v>
      </c>
      <c r="B14" s="37" t="s">
        <v>19</v>
      </c>
      <c r="C14" s="43" t="s">
        <v>27</v>
      </c>
      <c r="D14" s="12" t="s">
        <v>15</v>
      </c>
      <c r="E14" s="37" t="s">
        <v>26</v>
      </c>
      <c r="F14" s="12" t="s">
        <v>59</v>
      </c>
      <c r="G14" s="37" t="s">
        <v>25</v>
      </c>
      <c r="H14" s="37" t="s">
        <v>13</v>
      </c>
      <c r="I14" s="37" t="s">
        <v>14</v>
      </c>
      <c r="J14" s="12"/>
      <c r="K14" s="12"/>
      <c r="L14" s="12"/>
      <c r="M14" s="12"/>
      <c r="N14" s="12" t="s">
        <v>16</v>
      </c>
      <c r="O14" s="13" t="s">
        <v>22</v>
      </c>
      <c r="P14" s="38" t="s">
        <v>21</v>
      </c>
      <c r="Q14" s="100">
        <v>1</v>
      </c>
      <c r="R14" s="100">
        <v>1</v>
      </c>
      <c r="S14" s="100">
        <v>1</v>
      </c>
      <c r="T14" s="100">
        <v>1</v>
      </c>
      <c r="U14" s="100">
        <v>1</v>
      </c>
      <c r="V14" s="100">
        <v>1</v>
      </c>
      <c r="W14" s="100">
        <v>1</v>
      </c>
      <c r="X14" s="100">
        <v>1</v>
      </c>
      <c r="Y14" s="100">
        <v>1</v>
      </c>
      <c r="Z14" s="100">
        <v>1</v>
      </c>
      <c r="AA14" s="100">
        <v>1</v>
      </c>
      <c r="AB14" s="100">
        <v>1</v>
      </c>
      <c r="AC14" s="100">
        <v>1</v>
      </c>
    </row>
    <row r="15" spans="1:29" ht="19.95" customHeight="1" x14ac:dyDescent="0.25">
      <c r="A15" s="36" t="s">
        <v>28</v>
      </c>
      <c r="B15" s="37" t="s">
        <v>19</v>
      </c>
      <c r="C15" s="43" t="s">
        <v>27</v>
      </c>
      <c r="D15" s="12" t="s">
        <v>15</v>
      </c>
      <c r="E15" s="37" t="s">
        <v>26</v>
      </c>
      <c r="F15" s="12" t="s">
        <v>59</v>
      </c>
      <c r="G15" s="37" t="s">
        <v>25</v>
      </c>
      <c r="H15" s="37" t="s">
        <v>13</v>
      </c>
      <c r="I15" s="37" t="s">
        <v>14</v>
      </c>
      <c r="J15" s="12"/>
      <c r="K15" s="12"/>
      <c r="L15" s="12"/>
      <c r="M15" s="12"/>
      <c r="N15" s="12" t="s">
        <v>16</v>
      </c>
      <c r="O15" s="13" t="s">
        <v>23</v>
      </c>
      <c r="P15" s="38" t="s">
        <v>21</v>
      </c>
      <c r="Q15" s="100">
        <v>1</v>
      </c>
      <c r="R15" s="100">
        <v>1</v>
      </c>
      <c r="S15" s="100">
        <v>1</v>
      </c>
      <c r="T15" s="100">
        <v>1</v>
      </c>
      <c r="U15" s="100">
        <v>1</v>
      </c>
      <c r="V15" s="100">
        <v>1</v>
      </c>
      <c r="W15" s="100">
        <v>1</v>
      </c>
      <c r="X15" s="100">
        <v>1</v>
      </c>
      <c r="Y15" s="100">
        <v>1</v>
      </c>
      <c r="Z15" s="100">
        <v>1</v>
      </c>
      <c r="AA15" s="100">
        <v>1</v>
      </c>
      <c r="AB15" s="100">
        <v>1</v>
      </c>
      <c r="AC15" s="100">
        <v>1</v>
      </c>
    </row>
    <row r="16" spans="1:29" ht="19.95" customHeight="1" x14ac:dyDescent="0.25">
      <c r="A16" s="36" t="s">
        <v>28</v>
      </c>
      <c r="B16" s="37" t="s">
        <v>19</v>
      </c>
      <c r="C16" s="43" t="s">
        <v>27</v>
      </c>
      <c r="D16" s="12" t="s">
        <v>15</v>
      </c>
      <c r="E16" s="37" t="s">
        <v>26</v>
      </c>
      <c r="F16" s="12" t="s">
        <v>59</v>
      </c>
      <c r="G16" s="37" t="s">
        <v>25</v>
      </c>
      <c r="H16" s="37" t="s">
        <v>13</v>
      </c>
      <c r="I16" s="37" t="s">
        <v>14</v>
      </c>
      <c r="J16" s="12"/>
      <c r="K16" s="12"/>
      <c r="L16" s="12"/>
      <c r="M16" s="12"/>
      <c r="N16" s="12" t="s">
        <v>16</v>
      </c>
      <c r="O16" s="13" t="s">
        <v>24</v>
      </c>
      <c r="P16" s="38" t="s">
        <v>21</v>
      </c>
      <c r="Q16" s="100">
        <v>1</v>
      </c>
      <c r="R16" s="100">
        <v>1</v>
      </c>
      <c r="S16" s="100">
        <v>1</v>
      </c>
      <c r="T16" s="100">
        <v>1</v>
      </c>
      <c r="U16" s="100">
        <v>1</v>
      </c>
      <c r="V16" s="100">
        <v>1</v>
      </c>
      <c r="W16" s="100">
        <v>1</v>
      </c>
      <c r="X16" s="100">
        <v>1</v>
      </c>
      <c r="Y16" s="100">
        <v>1</v>
      </c>
      <c r="Z16" s="100">
        <v>1</v>
      </c>
      <c r="AA16" s="100">
        <v>1</v>
      </c>
      <c r="AB16" s="100">
        <v>1</v>
      </c>
      <c r="AC16" s="100">
        <v>1</v>
      </c>
    </row>
    <row r="17" spans="1:29" ht="19.95" customHeight="1" x14ac:dyDescent="0.25">
      <c r="A17" s="36" t="s">
        <v>28</v>
      </c>
      <c r="B17" s="37" t="s">
        <v>19</v>
      </c>
      <c r="C17" s="43" t="s">
        <v>27</v>
      </c>
      <c r="D17" s="12" t="s">
        <v>15</v>
      </c>
      <c r="E17" s="37" t="s">
        <v>26</v>
      </c>
      <c r="F17" s="12" t="s">
        <v>59</v>
      </c>
      <c r="G17" s="37" t="s">
        <v>25</v>
      </c>
      <c r="H17" s="37" t="s">
        <v>13</v>
      </c>
      <c r="I17" s="37" t="s">
        <v>14</v>
      </c>
      <c r="J17" s="12"/>
      <c r="K17" s="12"/>
      <c r="L17" s="12"/>
      <c r="M17" s="12"/>
      <c r="N17" s="12" t="s">
        <v>16</v>
      </c>
      <c r="O17" s="13" t="s">
        <v>482</v>
      </c>
      <c r="P17" s="38" t="s">
        <v>21</v>
      </c>
      <c r="Q17" s="100">
        <v>1</v>
      </c>
      <c r="R17" s="100">
        <v>1</v>
      </c>
      <c r="S17" s="100">
        <v>1</v>
      </c>
      <c r="T17" s="100">
        <v>1</v>
      </c>
      <c r="U17" s="100">
        <v>1</v>
      </c>
      <c r="V17" s="100">
        <v>1</v>
      </c>
      <c r="W17" s="100">
        <v>1</v>
      </c>
      <c r="X17" s="100">
        <v>1</v>
      </c>
      <c r="Y17" s="100">
        <v>1</v>
      </c>
      <c r="Z17" s="100">
        <v>1</v>
      </c>
      <c r="AA17" s="100">
        <v>1</v>
      </c>
      <c r="AB17" s="100">
        <v>1</v>
      </c>
      <c r="AC17" s="100">
        <v>1</v>
      </c>
    </row>
    <row r="18" spans="1:29" s="34" customFormat="1" ht="19.95" customHeight="1" x14ac:dyDescent="0.25">
      <c r="A18" s="36" t="s">
        <v>28</v>
      </c>
      <c r="B18" s="37" t="s">
        <v>19</v>
      </c>
      <c r="C18" s="43" t="s">
        <v>27</v>
      </c>
      <c r="D18" s="12" t="s">
        <v>15</v>
      </c>
      <c r="E18" s="37" t="s">
        <v>26</v>
      </c>
      <c r="F18" s="12" t="s">
        <v>59</v>
      </c>
      <c r="G18" s="37" t="s">
        <v>25</v>
      </c>
      <c r="H18" s="37" t="s">
        <v>13</v>
      </c>
      <c r="I18" s="37" t="s">
        <v>14</v>
      </c>
      <c r="J18" s="12"/>
      <c r="K18" s="12"/>
      <c r="L18" s="12"/>
      <c r="M18" s="12"/>
      <c r="N18" s="12" t="s">
        <v>16</v>
      </c>
      <c r="O18" s="44" t="s">
        <v>129</v>
      </c>
      <c r="P18" s="39" t="s">
        <v>21</v>
      </c>
      <c r="Q18" s="100">
        <v>1</v>
      </c>
      <c r="R18" s="100">
        <v>1</v>
      </c>
      <c r="S18" s="100">
        <v>1</v>
      </c>
      <c r="T18" s="100">
        <v>1</v>
      </c>
      <c r="U18" s="100">
        <v>1</v>
      </c>
      <c r="V18" s="100">
        <v>1</v>
      </c>
      <c r="W18" s="100">
        <v>1</v>
      </c>
      <c r="X18" s="100">
        <v>1</v>
      </c>
      <c r="Y18" s="100">
        <v>1</v>
      </c>
      <c r="Z18" s="100">
        <v>1</v>
      </c>
      <c r="AA18" s="100">
        <v>1</v>
      </c>
      <c r="AB18" s="100">
        <v>1</v>
      </c>
      <c r="AC18" s="100">
        <v>1</v>
      </c>
    </row>
    <row r="19" spans="1:29" s="34" customFormat="1" ht="19.95" customHeight="1" x14ac:dyDescent="0.25">
      <c r="A19" s="36" t="s">
        <v>28</v>
      </c>
      <c r="B19" s="37" t="s">
        <v>19</v>
      </c>
      <c r="C19" s="43" t="s">
        <v>27</v>
      </c>
      <c r="D19" s="12" t="s">
        <v>15</v>
      </c>
      <c r="E19" s="37" t="s">
        <v>26</v>
      </c>
      <c r="F19" s="12" t="s">
        <v>59</v>
      </c>
      <c r="G19" s="37" t="s">
        <v>25</v>
      </c>
      <c r="H19" s="37" t="s">
        <v>13</v>
      </c>
      <c r="I19" s="37" t="s">
        <v>14</v>
      </c>
      <c r="J19" s="12"/>
      <c r="K19" s="12"/>
      <c r="L19" s="12"/>
      <c r="M19" s="12"/>
      <c r="N19" s="12" t="s">
        <v>16</v>
      </c>
      <c r="O19" s="44" t="s">
        <v>130</v>
      </c>
      <c r="P19" s="39" t="s">
        <v>21</v>
      </c>
      <c r="Q19" s="100">
        <v>1</v>
      </c>
      <c r="R19" s="100">
        <v>1</v>
      </c>
      <c r="S19" s="100">
        <v>1</v>
      </c>
      <c r="T19" s="100">
        <v>1</v>
      </c>
      <c r="U19" s="100">
        <v>1</v>
      </c>
      <c r="V19" s="100">
        <v>1</v>
      </c>
      <c r="W19" s="100">
        <v>1</v>
      </c>
      <c r="X19" s="100">
        <v>1</v>
      </c>
      <c r="Y19" s="100">
        <v>1</v>
      </c>
      <c r="Z19" s="100">
        <v>1</v>
      </c>
      <c r="AA19" s="100">
        <v>1</v>
      </c>
      <c r="AB19" s="100">
        <v>1</v>
      </c>
      <c r="AC19" s="100">
        <v>1</v>
      </c>
    </row>
  </sheetData>
  <phoneticPr fontId="23" type="noConversion"/>
  <hyperlinks>
    <hyperlink ref="C2" r:id="rId1" xr:uid="{9B90D033-47BE-4066-8928-EC8F77E2F9D0}"/>
    <hyperlink ref="C3" r:id="rId2" xr:uid="{E49B2201-F4DB-44FB-A6E5-32F032288A5E}"/>
    <hyperlink ref="C4" r:id="rId3" xr:uid="{4D3618D6-E1CA-43E3-9D18-5530A5B88BE7}"/>
    <hyperlink ref="C5" r:id="rId4" xr:uid="{EFF56219-1D79-487F-9AC2-8AABFEF8DA34}"/>
    <hyperlink ref="C6" r:id="rId5" xr:uid="{0AB04784-B511-441F-9A04-9E9E8029EF44}"/>
    <hyperlink ref="C7" r:id="rId6" xr:uid="{A120021B-93C6-48CD-956E-371D13A66464}"/>
    <hyperlink ref="C8" r:id="rId7" xr:uid="{779D06F6-48D5-413F-8271-92B3D8AB8D14}"/>
    <hyperlink ref="C9" r:id="rId8" xr:uid="{D56FE254-1CFE-464F-8B3A-E79F9F01CA03}"/>
    <hyperlink ref="C10" r:id="rId9" xr:uid="{96ECFAE6-F783-4368-8604-E79E8F830E3A}"/>
    <hyperlink ref="C11" r:id="rId10" xr:uid="{1CB05783-4DB5-41D8-BD93-12802F57AD6E}"/>
    <hyperlink ref="C12" r:id="rId11" xr:uid="{54CBBBD1-43FB-4850-9C62-B1474F163636}"/>
    <hyperlink ref="C13" r:id="rId12" xr:uid="{6C96301A-2C80-45D0-A760-0215E5932D25}"/>
    <hyperlink ref="C14" r:id="rId13" xr:uid="{125ECDDC-5BB5-4049-9B91-A72C9EC75DB9}"/>
    <hyperlink ref="C15" r:id="rId14" xr:uid="{986B1052-5F05-4504-85B3-CF9E1704B158}"/>
    <hyperlink ref="C16" r:id="rId15" xr:uid="{E5477DDE-505B-4240-BE64-E2E0E8B6CA36}"/>
    <hyperlink ref="C17" r:id="rId16" xr:uid="{805516CD-8DE0-445A-92C9-54B93B2F4378}"/>
    <hyperlink ref="C18" r:id="rId17" xr:uid="{BA179521-020F-43E4-8F27-7A2F4BCB1822}"/>
    <hyperlink ref="C19" r:id="rId18" xr:uid="{19A535C1-A460-4C63-AAF9-792241E0CB4D}"/>
  </hyperlinks>
  <pageMargins left="0.7" right="0.7" top="0.75" bottom="0.75" header="0.3" footer="0.3"/>
  <legacyDrawing r:id="rId19"/>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02BBB-92D9-4449-AB74-A1EA5664FD8D}">
  <dimension ref="A1:AC12"/>
  <sheetViews>
    <sheetView tabSelected="1" topLeftCell="H1" workbookViewId="0">
      <selection activeCell="O18" sqref="O18"/>
    </sheetView>
  </sheetViews>
  <sheetFormatPr defaultColWidth="9.6640625" defaultRowHeight="13.8" x14ac:dyDescent="0.25"/>
  <cols>
    <col min="1" max="1" width="12.109375" style="98" bestFit="1" customWidth="1"/>
    <col min="2" max="2" width="16.109375" style="98" bestFit="1" customWidth="1"/>
    <col min="3" max="3" width="34.21875" style="98" bestFit="1" customWidth="1"/>
    <col min="4" max="4" width="11.21875" style="98" customWidth="1"/>
    <col min="5" max="5" width="17.88671875" style="98" bestFit="1" customWidth="1"/>
    <col min="6" max="6" width="9" style="98" bestFit="1" customWidth="1"/>
    <col min="7" max="7" width="18.21875" style="98" customWidth="1"/>
    <col min="8" max="8" width="8.88671875" style="98" bestFit="1" customWidth="1"/>
    <col min="9" max="9" width="13.5546875" style="98" bestFit="1" customWidth="1"/>
    <col min="10" max="13" width="18.21875" style="98" customWidth="1"/>
    <col min="14" max="14" width="14.5546875" style="98" bestFit="1" customWidth="1"/>
    <col min="15" max="15" width="74.33203125" style="98" customWidth="1"/>
    <col min="16" max="16" width="10.5546875" style="104" customWidth="1"/>
    <col min="17" max="17" width="13" style="98" customWidth="1"/>
    <col min="18" max="20" width="12" style="98" customWidth="1"/>
    <col min="21" max="23" width="12" style="104" customWidth="1"/>
    <col min="24" max="24" width="12" style="98" customWidth="1"/>
    <col min="25" max="28" width="10.5546875" style="98" bestFit="1" customWidth="1"/>
    <col min="29" max="29" width="12.109375" style="98" bestFit="1" customWidth="1"/>
    <col min="30" max="16384" width="9.6640625" style="98"/>
  </cols>
  <sheetData>
    <row r="1" spans="1:29" s="102" customFormat="1" ht="27.6" x14ac:dyDescent="0.25">
      <c r="A1" s="60" t="s">
        <v>0</v>
      </c>
      <c r="B1" s="60" t="s">
        <v>1</v>
      </c>
      <c r="C1" s="60" t="s">
        <v>2</v>
      </c>
      <c r="D1" s="60" t="s">
        <v>3</v>
      </c>
      <c r="E1" s="60" t="s">
        <v>4</v>
      </c>
      <c r="F1" s="60" t="s">
        <v>5</v>
      </c>
      <c r="G1" s="60" t="s">
        <v>6</v>
      </c>
      <c r="H1" s="60" t="s">
        <v>7</v>
      </c>
      <c r="I1" s="60" t="s">
        <v>8</v>
      </c>
      <c r="J1" s="60" t="s">
        <v>9</v>
      </c>
      <c r="K1" s="60" t="s">
        <v>10</v>
      </c>
      <c r="L1" s="60" t="s">
        <v>126</v>
      </c>
      <c r="M1" s="60" t="s">
        <v>127</v>
      </c>
      <c r="N1" s="60" t="s">
        <v>11</v>
      </c>
      <c r="O1" s="1" t="s">
        <v>654</v>
      </c>
      <c r="P1" s="1" t="s">
        <v>655</v>
      </c>
      <c r="Q1" s="1" t="s">
        <v>656</v>
      </c>
      <c r="R1" s="1" t="s">
        <v>657</v>
      </c>
      <c r="S1" s="1" t="s">
        <v>658</v>
      </c>
      <c r="T1" s="1" t="s">
        <v>659</v>
      </c>
      <c r="U1" s="1" t="s">
        <v>660</v>
      </c>
      <c r="V1" s="1" t="s">
        <v>661</v>
      </c>
      <c r="W1" s="1" t="s">
        <v>662</v>
      </c>
      <c r="X1" s="1" t="s">
        <v>663</v>
      </c>
      <c r="Y1" s="1" t="s">
        <v>664</v>
      </c>
      <c r="Z1" s="1" t="s">
        <v>665</v>
      </c>
      <c r="AA1" s="1" t="s">
        <v>666</v>
      </c>
      <c r="AB1" s="1" t="s">
        <v>667</v>
      </c>
      <c r="AC1" s="1" t="s">
        <v>668</v>
      </c>
    </row>
    <row r="2" spans="1:29" s="104" customFormat="1" ht="19.95" customHeight="1" x14ac:dyDescent="0.25">
      <c r="A2" s="36" t="s">
        <v>484</v>
      </c>
      <c r="B2" s="12" t="s">
        <v>118</v>
      </c>
      <c r="C2" s="43" t="s">
        <v>483</v>
      </c>
      <c r="D2" s="12" t="s">
        <v>441</v>
      </c>
      <c r="E2" s="12" t="s">
        <v>485</v>
      </c>
      <c r="F2" s="12" t="s">
        <v>439</v>
      </c>
      <c r="G2" s="36" t="s">
        <v>440</v>
      </c>
      <c r="H2" s="12" t="s">
        <v>15</v>
      </c>
      <c r="I2" s="12" t="s">
        <v>19</v>
      </c>
      <c r="J2" s="12"/>
      <c r="K2" s="12"/>
      <c r="L2" s="12"/>
      <c r="M2" s="12"/>
      <c r="N2" s="12" t="s">
        <v>16</v>
      </c>
      <c r="O2" s="13" t="s">
        <v>424</v>
      </c>
      <c r="P2" s="38" t="s">
        <v>20</v>
      </c>
      <c r="Q2" s="99">
        <v>97500000</v>
      </c>
      <c r="R2" s="99">
        <v>5500000</v>
      </c>
      <c r="S2" s="99">
        <v>5500000</v>
      </c>
      <c r="T2" s="99">
        <v>5500000</v>
      </c>
      <c r="U2" s="99">
        <v>7500000</v>
      </c>
      <c r="V2" s="99">
        <v>8000000</v>
      </c>
      <c r="W2" s="99">
        <v>8500000</v>
      </c>
      <c r="X2" s="99">
        <v>9000000</v>
      </c>
      <c r="Y2" s="99">
        <v>9500000</v>
      </c>
      <c r="Z2" s="99">
        <v>9500000</v>
      </c>
      <c r="AA2" s="99">
        <v>9500000</v>
      </c>
      <c r="AB2" s="99">
        <v>9500000</v>
      </c>
      <c r="AC2" s="99">
        <v>10000000</v>
      </c>
    </row>
    <row r="3" spans="1:29" s="104" customFormat="1" ht="19.95" customHeight="1" x14ac:dyDescent="0.25">
      <c r="A3" s="36" t="s">
        <v>484</v>
      </c>
      <c r="B3" s="12" t="s">
        <v>118</v>
      </c>
      <c r="C3" s="43" t="s">
        <v>483</v>
      </c>
      <c r="D3" s="12" t="s">
        <v>441</v>
      </c>
      <c r="E3" s="12" t="s">
        <v>485</v>
      </c>
      <c r="F3" s="12" t="s">
        <v>439</v>
      </c>
      <c r="G3" s="36" t="s">
        <v>440</v>
      </c>
      <c r="H3" s="12" t="s">
        <v>15</v>
      </c>
      <c r="I3" s="12" t="s">
        <v>19</v>
      </c>
      <c r="J3" s="12"/>
      <c r="K3" s="12"/>
      <c r="L3" s="12"/>
      <c r="M3" s="12"/>
      <c r="N3" s="12" t="s">
        <v>16</v>
      </c>
      <c r="O3" s="13" t="s">
        <v>425</v>
      </c>
      <c r="P3" s="38" t="s">
        <v>21</v>
      </c>
      <c r="Q3" s="100">
        <v>1</v>
      </c>
      <c r="R3" s="100">
        <v>1</v>
      </c>
      <c r="S3" s="100">
        <v>1</v>
      </c>
      <c r="T3" s="100">
        <v>1</v>
      </c>
      <c r="U3" s="100">
        <v>1</v>
      </c>
      <c r="V3" s="100">
        <v>1</v>
      </c>
      <c r="W3" s="100">
        <v>1</v>
      </c>
      <c r="X3" s="100">
        <v>1</v>
      </c>
      <c r="Y3" s="100">
        <v>1</v>
      </c>
      <c r="Z3" s="100">
        <v>1</v>
      </c>
      <c r="AA3" s="100">
        <v>1</v>
      </c>
      <c r="AB3" s="100">
        <v>1</v>
      </c>
      <c r="AC3" s="100">
        <v>1</v>
      </c>
    </row>
    <row r="4" spans="1:29" s="104" customFormat="1" ht="19.95" customHeight="1" x14ac:dyDescent="0.25">
      <c r="A4" s="36" t="s">
        <v>484</v>
      </c>
      <c r="B4" s="12" t="s">
        <v>118</v>
      </c>
      <c r="C4" s="43" t="s">
        <v>483</v>
      </c>
      <c r="D4" s="12" t="s">
        <v>441</v>
      </c>
      <c r="E4" s="12" t="s">
        <v>485</v>
      </c>
      <c r="F4" s="12" t="s">
        <v>439</v>
      </c>
      <c r="G4" s="36" t="s">
        <v>440</v>
      </c>
      <c r="H4" s="12" t="s">
        <v>15</v>
      </c>
      <c r="I4" s="12" t="s">
        <v>19</v>
      </c>
      <c r="J4" s="12"/>
      <c r="K4" s="12"/>
      <c r="L4" s="12"/>
      <c r="M4" s="12"/>
      <c r="N4" s="12" t="s">
        <v>16</v>
      </c>
      <c r="O4" s="13" t="s">
        <v>434</v>
      </c>
      <c r="P4" s="38" t="s">
        <v>21</v>
      </c>
      <c r="Q4" s="100">
        <v>1</v>
      </c>
      <c r="R4" s="100">
        <v>1</v>
      </c>
      <c r="S4" s="100">
        <v>1</v>
      </c>
      <c r="T4" s="100">
        <v>1</v>
      </c>
      <c r="U4" s="100">
        <v>1</v>
      </c>
      <c r="V4" s="100">
        <v>1</v>
      </c>
      <c r="W4" s="100">
        <v>1</v>
      </c>
      <c r="X4" s="100">
        <v>1</v>
      </c>
      <c r="Y4" s="100">
        <v>1</v>
      </c>
      <c r="Z4" s="100">
        <v>1</v>
      </c>
      <c r="AA4" s="100">
        <v>1</v>
      </c>
      <c r="AB4" s="100">
        <v>1</v>
      </c>
      <c r="AC4" s="100">
        <v>1</v>
      </c>
    </row>
    <row r="5" spans="1:29" s="104" customFormat="1" ht="19.95" customHeight="1" x14ac:dyDescent="0.25">
      <c r="A5" s="36" t="s">
        <v>484</v>
      </c>
      <c r="B5" s="12" t="s">
        <v>118</v>
      </c>
      <c r="C5" s="43" t="s">
        <v>483</v>
      </c>
      <c r="D5" s="12" t="s">
        <v>441</v>
      </c>
      <c r="E5" s="12" t="s">
        <v>485</v>
      </c>
      <c r="F5" s="12" t="s">
        <v>439</v>
      </c>
      <c r="G5" s="36" t="s">
        <v>440</v>
      </c>
      <c r="H5" s="12" t="s">
        <v>15</v>
      </c>
      <c r="I5" s="12" t="s">
        <v>19</v>
      </c>
      <c r="J5" s="12"/>
      <c r="K5" s="12"/>
      <c r="L5" s="12"/>
      <c r="M5" s="12"/>
      <c r="N5" s="12" t="s">
        <v>16</v>
      </c>
      <c r="O5" s="13" t="s">
        <v>426</v>
      </c>
      <c r="P5" s="38" t="s">
        <v>21</v>
      </c>
      <c r="Q5" s="100">
        <v>1</v>
      </c>
      <c r="R5" s="100">
        <v>1</v>
      </c>
      <c r="S5" s="100">
        <v>1</v>
      </c>
      <c r="T5" s="100">
        <v>1</v>
      </c>
      <c r="U5" s="100">
        <v>1</v>
      </c>
      <c r="V5" s="100">
        <v>1</v>
      </c>
      <c r="W5" s="100">
        <v>1</v>
      </c>
      <c r="X5" s="100">
        <v>1</v>
      </c>
      <c r="Y5" s="100">
        <v>1</v>
      </c>
      <c r="Z5" s="100">
        <v>1</v>
      </c>
      <c r="AA5" s="100">
        <v>1</v>
      </c>
      <c r="AB5" s="100">
        <v>1</v>
      </c>
      <c r="AC5" s="100">
        <v>1</v>
      </c>
    </row>
    <row r="6" spans="1:29" s="104" customFormat="1" ht="19.95" customHeight="1" x14ac:dyDescent="0.25">
      <c r="A6" s="36" t="s">
        <v>484</v>
      </c>
      <c r="B6" s="12" t="s">
        <v>118</v>
      </c>
      <c r="C6" s="43" t="s">
        <v>483</v>
      </c>
      <c r="D6" s="12" t="s">
        <v>441</v>
      </c>
      <c r="E6" s="12" t="s">
        <v>485</v>
      </c>
      <c r="F6" s="12" t="s">
        <v>439</v>
      </c>
      <c r="G6" s="36" t="s">
        <v>440</v>
      </c>
      <c r="H6" s="12" t="s">
        <v>15</v>
      </c>
      <c r="I6" s="12" t="s">
        <v>19</v>
      </c>
      <c r="J6" s="12"/>
      <c r="K6" s="12"/>
      <c r="L6" s="12"/>
      <c r="M6" s="12"/>
      <c r="N6" s="12" t="s">
        <v>16</v>
      </c>
      <c r="O6" s="13" t="s">
        <v>427</v>
      </c>
      <c r="P6" s="38" t="s">
        <v>21</v>
      </c>
      <c r="Q6" s="100">
        <v>1</v>
      </c>
      <c r="R6" s="100">
        <v>1</v>
      </c>
      <c r="S6" s="100">
        <v>1</v>
      </c>
      <c r="T6" s="100">
        <v>1</v>
      </c>
      <c r="U6" s="100">
        <v>1</v>
      </c>
      <c r="V6" s="100">
        <v>1</v>
      </c>
      <c r="W6" s="100">
        <v>1</v>
      </c>
      <c r="X6" s="100">
        <v>1</v>
      </c>
      <c r="Y6" s="100">
        <v>1</v>
      </c>
      <c r="Z6" s="100">
        <v>1</v>
      </c>
      <c r="AA6" s="100">
        <v>1</v>
      </c>
      <c r="AB6" s="100">
        <v>1</v>
      </c>
      <c r="AC6" s="100">
        <v>1</v>
      </c>
    </row>
    <row r="7" spans="1:29" s="104" customFormat="1" ht="19.95" customHeight="1" x14ac:dyDescent="0.25">
      <c r="A7" s="36" t="s">
        <v>484</v>
      </c>
      <c r="B7" s="12" t="s">
        <v>118</v>
      </c>
      <c r="C7" s="43" t="s">
        <v>483</v>
      </c>
      <c r="D7" s="12" t="s">
        <v>441</v>
      </c>
      <c r="E7" s="12" t="s">
        <v>485</v>
      </c>
      <c r="F7" s="12" t="s">
        <v>439</v>
      </c>
      <c r="G7" s="36" t="s">
        <v>440</v>
      </c>
      <c r="H7" s="12" t="s">
        <v>15</v>
      </c>
      <c r="I7" s="12" t="s">
        <v>19</v>
      </c>
      <c r="J7" s="12"/>
      <c r="K7" s="12"/>
      <c r="L7" s="12"/>
      <c r="M7" s="12"/>
      <c r="N7" s="12" t="s">
        <v>16</v>
      </c>
      <c r="O7" s="13" t="s">
        <v>428</v>
      </c>
      <c r="P7" s="38" t="s">
        <v>21</v>
      </c>
      <c r="Q7" s="100">
        <v>1</v>
      </c>
      <c r="R7" s="100">
        <v>1</v>
      </c>
      <c r="S7" s="100">
        <v>1</v>
      </c>
      <c r="T7" s="100">
        <v>1</v>
      </c>
      <c r="U7" s="100">
        <v>1</v>
      </c>
      <c r="V7" s="100">
        <v>1</v>
      </c>
      <c r="W7" s="100">
        <v>1</v>
      </c>
      <c r="X7" s="100">
        <v>1</v>
      </c>
      <c r="Y7" s="100">
        <v>1</v>
      </c>
      <c r="Z7" s="100">
        <v>1</v>
      </c>
      <c r="AA7" s="100">
        <v>1</v>
      </c>
      <c r="AB7" s="100">
        <v>1</v>
      </c>
      <c r="AC7" s="100">
        <v>1</v>
      </c>
    </row>
    <row r="8" spans="1:29" s="104" customFormat="1" ht="19.95" customHeight="1" x14ac:dyDescent="0.25">
      <c r="A8" s="36" t="s">
        <v>484</v>
      </c>
      <c r="B8" s="12" t="s">
        <v>118</v>
      </c>
      <c r="C8" s="43" t="s">
        <v>483</v>
      </c>
      <c r="D8" s="12" t="s">
        <v>441</v>
      </c>
      <c r="E8" s="12" t="s">
        <v>485</v>
      </c>
      <c r="F8" s="12" t="s">
        <v>439</v>
      </c>
      <c r="G8" s="36" t="s">
        <v>440</v>
      </c>
      <c r="H8" s="12" t="s">
        <v>15</v>
      </c>
      <c r="I8" s="12" t="s">
        <v>19</v>
      </c>
      <c r="J8" s="12"/>
      <c r="K8" s="12"/>
      <c r="L8" s="12"/>
      <c r="M8" s="12"/>
      <c r="N8" s="12" t="s">
        <v>16</v>
      </c>
      <c r="O8" s="13" t="s">
        <v>429</v>
      </c>
      <c r="P8" s="38" t="s">
        <v>21</v>
      </c>
      <c r="Q8" s="100">
        <v>1</v>
      </c>
      <c r="R8" s="100">
        <v>1</v>
      </c>
      <c r="S8" s="100">
        <v>1</v>
      </c>
      <c r="T8" s="100">
        <v>1</v>
      </c>
      <c r="U8" s="100">
        <v>1</v>
      </c>
      <c r="V8" s="100">
        <v>1</v>
      </c>
      <c r="W8" s="100">
        <v>1</v>
      </c>
      <c r="X8" s="100">
        <v>1</v>
      </c>
      <c r="Y8" s="100">
        <v>1</v>
      </c>
      <c r="Z8" s="100">
        <v>1</v>
      </c>
      <c r="AA8" s="100">
        <v>1</v>
      </c>
      <c r="AB8" s="100">
        <v>1</v>
      </c>
      <c r="AC8" s="100">
        <v>1</v>
      </c>
    </row>
    <row r="9" spans="1:29" s="104" customFormat="1" ht="19.95" customHeight="1" x14ac:dyDescent="0.25">
      <c r="A9" s="36" t="s">
        <v>484</v>
      </c>
      <c r="B9" s="12" t="s">
        <v>118</v>
      </c>
      <c r="C9" s="43" t="s">
        <v>483</v>
      </c>
      <c r="D9" s="12" t="s">
        <v>441</v>
      </c>
      <c r="E9" s="12" t="s">
        <v>485</v>
      </c>
      <c r="F9" s="12" t="s">
        <v>439</v>
      </c>
      <c r="G9" s="36" t="s">
        <v>440</v>
      </c>
      <c r="H9" s="12" t="s">
        <v>15</v>
      </c>
      <c r="I9" s="12" t="s">
        <v>19</v>
      </c>
      <c r="J9" s="12"/>
      <c r="K9" s="12"/>
      <c r="L9" s="12"/>
      <c r="M9" s="12"/>
      <c r="N9" s="12" t="s">
        <v>16</v>
      </c>
      <c r="O9" s="13" t="s">
        <v>430</v>
      </c>
      <c r="P9" s="38" t="s">
        <v>21</v>
      </c>
      <c r="Q9" s="100">
        <v>1</v>
      </c>
      <c r="R9" s="100">
        <v>1</v>
      </c>
      <c r="S9" s="100">
        <v>1</v>
      </c>
      <c r="T9" s="100">
        <v>1</v>
      </c>
      <c r="U9" s="100">
        <v>1</v>
      </c>
      <c r="V9" s="100">
        <v>1</v>
      </c>
      <c r="W9" s="100">
        <v>1</v>
      </c>
      <c r="X9" s="100">
        <v>1</v>
      </c>
      <c r="Y9" s="100">
        <v>1</v>
      </c>
      <c r="Z9" s="100">
        <v>1</v>
      </c>
      <c r="AA9" s="100">
        <v>1</v>
      </c>
      <c r="AB9" s="100">
        <v>1</v>
      </c>
      <c r="AC9" s="100">
        <v>1</v>
      </c>
    </row>
    <row r="10" spans="1:29" s="104" customFormat="1" ht="19.95" customHeight="1" x14ac:dyDescent="0.25">
      <c r="A10" s="36" t="s">
        <v>484</v>
      </c>
      <c r="B10" s="12" t="s">
        <v>118</v>
      </c>
      <c r="C10" s="43" t="s">
        <v>483</v>
      </c>
      <c r="D10" s="12" t="s">
        <v>441</v>
      </c>
      <c r="E10" s="12" t="s">
        <v>485</v>
      </c>
      <c r="F10" s="12" t="s">
        <v>439</v>
      </c>
      <c r="G10" s="36" t="s">
        <v>440</v>
      </c>
      <c r="H10" s="12" t="s">
        <v>15</v>
      </c>
      <c r="I10" s="12" t="s">
        <v>19</v>
      </c>
      <c r="J10" s="12"/>
      <c r="K10" s="12"/>
      <c r="L10" s="12"/>
      <c r="M10" s="12"/>
      <c r="N10" s="12" t="s">
        <v>16</v>
      </c>
      <c r="O10" s="13" t="s">
        <v>431</v>
      </c>
      <c r="P10" s="38" t="s">
        <v>21</v>
      </c>
      <c r="Q10" s="100">
        <v>1</v>
      </c>
      <c r="R10" s="100">
        <v>0.25</v>
      </c>
      <c r="S10" s="100">
        <v>0.25</v>
      </c>
      <c r="T10" s="100">
        <v>0.25</v>
      </c>
      <c r="U10" s="100">
        <v>0.25</v>
      </c>
      <c r="V10" s="100">
        <v>0.25</v>
      </c>
      <c r="W10" s="100">
        <v>0.25</v>
      </c>
      <c r="X10" s="100">
        <v>0.25</v>
      </c>
      <c r="Y10" s="100">
        <v>0.25</v>
      </c>
      <c r="Z10" s="100">
        <v>0.25</v>
      </c>
      <c r="AA10" s="100">
        <v>0.25</v>
      </c>
      <c r="AB10" s="100">
        <v>0.25</v>
      </c>
      <c r="AC10" s="100">
        <v>0.25</v>
      </c>
    </row>
    <row r="11" spans="1:29" s="104" customFormat="1" ht="19.95" customHeight="1" x14ac:dyDescent="0.25">
      <c r="A11" s="36" t="s">
        <v>484</v>
      </c>
      <c r="B11" s="12" t="s">
        <v>118</v>
      </c>
      <c r="C11" s="43" t="s">
        <v>483</v>
      </c>
      <c r="D11" s="12" t="s">
        <v>441</v>
      </c>
      <c r="E11" s="12" t="s">
        <v>485</v>
      </c>
      <c r="F11" s="12" t="s">
        <v>439</v>
      </c>
      <c r="G11" s="36" t="s">
        <v>440</v>
      </c>
      <c r="H11" s="12" t="s">
        <v>15</v>
      </c>
      <c r="I11" s="12" t="s">
        <v>19</v>
      </c>
      <c r="J11" s="12"/>
      <c r="K11" s="12"/>
      <c r="L11" s="12"/>
      <c r="M11" s="12"/>
      <c r="N11" s="12" t="s">
        <v>16</v>
      </c>
      <c r="O11" s="13" t="s">
        <v>432</v>
      </c>
      <c r="P11" s="38" t="s">
        <v>18</v>
      </c>
      <c r="Q11" s="99">
        <v>45</v>
      </c>
      <c r="R11" s="99">
        <v>3</v>
      </c>
      <c r="S11" s="99">
        <v>3</v>
      </c>
      <c r="T11" s="99">
        <v>3</v>
      </c>
      <c r="U11" s="99">
        <v>4</v>
      </c>
      <c r="V11" s="99">
        <v>4</v>
      </c>
      <c r="W11" s="99">
        <v>4</v>
      </c>
      <c r="X11" s="99">
        <v>4</v>
      </c>
      <c r="Y11" s="99">
        <v>4</v>
      </c>
      <c r="Z11" s="99">
        <v>4</v>
      </c>
      <c r="AA11" s="99">
        <v>4</v>
      </c>
      <c r="AB11" s="99">
        <v>4</v>
      </c>
      <c r="AC11" s="99">
        <v>4</v>
      </c>
    </row>
    <row r="12" spans="1:29" s="104" customFormat="1" ht="19.95" customHeight="1" x14ac:dyDescent="0.25">
      <c r="A12" s="36" t="s">
        <v>484</v>
      </c>
      <c r="B12" s="12" t="s">
        <v>118</v>
      </c>
      <c r="C12" s="43" t="s">
        <v>483</v>
      </c>
      <c r="D12" s="12" t="s">
        <v>441</v>
      </c>
      <c r="E12" s="12" t="s">
        <v>485</v>
      </c>
      <c r="F12" s="12" t="s">
        <v>439</v>
      </c>
      <c r="G12" s="36" t="s">
        <v>440</v>
      </c>
      <c r="H12" s="12" t="s">
        <v>15</v>
      </c>
      <c r="I12" s="12" t="s">
        <v>19</v>
      </c>
      <c r="J12" s="12"/>
      <c r="K12" s="12"/>
      <c r="L12" s="12"/>
      <c r="M12" s="12"/>
      <c r="N12" s="12" t="s">
        <v>16</v>
      </c>
      <c r="O12" s="13" t="s">
        <v>433</v>
      </c>
      <c r="P12" s="38" t="s">
        <v>21</v>
      </c>
      <c r="Q12" s="100">
        <v>1</v>
      </c>
      <c r="R12" s="100">
        <v>1</v>
      </c>
      <c r="S12" s="100">
        <v>1</v>
      </c>
      <c r="T12" s="100">
        <v>1</v>
      </c>
      <c r="U12" s="100">
        <v>1</v>
      </c>
      <c r="V12" s="100">
        <v>1</v>
      </c>
      <c r="W12" s="100">
        <v>1</v>
      </c>
      <c r="X12" s="100">
        <v>1</v>
      </c>
      <c r="Y12" s="100">
        <v>1</v>
      </c>
      <c r="Z12" s="100">
        <v>1</v>
      </c>
      <c r="AA12" s="100">
        <v>1</v>
      </c>
      <c r="AB12" s="100">
        <v>1</v>
      </c>
      <c r="AC12" s="100">
        <v>1</v>
      </c>
    </row>
  </sheetData>
  <hyperlinks>
    <hyperlink ref="C2" r:id="rId1" xr:uid="{418C8A70-40A8-4A3E-A660-916D95673277}"/>
    <hyperlink ref="C3" r:id="rId2" xr:uid="{A9BCFE6C-AB05-4F46-9F6D-FC5220ED80D6}"/>
    <hyperlink ref="C4" r:id="rId3" xr:uid="{D4CE0ECC-9FF7-48D5-BF76-DB87A1CE6D81}"/>
    <hyperlink ref="C5" r:id="rId4" xr:uid="{513301B1-DA44-4FBD-BFA4-13A377A45AE0}"/>
    <hyperlink ref="C6" r:id="rId5" xr:uid="{ACB3534B-2824-47EC-B8BE-D495E6B8EEE7}"/>
    <hyperlink ref="C7" r:id="rId6" xr:uid="{1CB5D3B4-8DDB-42AC-8508-169FF8576C9F}"/>
    <hyperlink ref="C8" r:id="rId7" xr:uid="{6CF54C38-892C-43F2-B405-2BB61C053807}"/>
    <hyperlink ref="C9" r:id="rId8" xr:uid="{5AE99E7D-72B2-45B6-9DE3-870B7C9219D5}"/>
    <hyperlink ref="C10" r:id="rId9" xr:uid="{4E142F91-463D-453F-BD07-442C22345117}"/>
    <hyperlink ref="C11" r:id="rId10" xr:uid="{10FD8E03-0D8E-4E64-A3B8-45C2E74C7585}"/>
    <hyperlink ref="C12" r:id="rId11" xr:uid="{7BE80B61-A965-4C59-B1CE-1ABEA7E5B8E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63</TotalTime>
  <Application>Microsoft Excel</Application>
  <DocSecurity>0</DocSecurity>
  <ScaleCrop>false</ScaleCrop>
  <HeadingPairs>
    <vt:vector size="2" baseType="variant">
      <vt:variant>
        <vt:lpstr>Worksheets</vt:lpstr>
      </vt:variant>
      <vt:variant>
        <vt:i4>58</vt:i4>
      </vt:variant>
    </vt:vector>
  </HeadingPairs>
  <TitlesOfParts>
    <vt:vector size="58" baseType="lpstr">
      <vt:lpstr>Rashid Sheikh</vt:lpstr>
      <vt:lpstr>Firoz Khan</vt:lpstr>
      <vt:lpstr>Prashant Dawande</vt:lpstr>
      <vt:lpstr>Biswa Bhushan Sethi</vt:lpstr>
      <vt:lpstr>Rehan Qureshi</vt:lpstr>
      <vt:lpstr>Jagan Mohan</vt:lpstr>
      <vt:lpstr>Radheshyam</vt:lpstr>
      <vt:lpstr>Yogendra Singh</vt:lpstr>
      <vt:lpstr>Hemant</vt:lpstr>
      <vt:lpstr>Akash Mandal</vt:lpstr>
      <vt:lpstr>Dr. Noushad</vt:lpstr>
      <vt:lpstr>Sangam Kumari</vt:lpstr>
      <vt:lpstr>Raj Kumar Pradhan</vt:lpstr>
      <vt:lpstr>Ugrasen- CC</vt:lpstr>
      <vt:lpstr>Jogendra Mehar- CC</vt:lpstr>
      <vt:lpstr>Jogendra Putel- CC</vt:lpstr>
      <vt:lpstr>Lilabati- CC</vt:lpstr>
      <vt:lpstr>Jagdish Putel- CC</vt:lpstr>
      <vt:lpstr>Shailesh Bagde</vt:lpstr>
      <vt:lpstr>Gaurav Mittal</vt:lpstr>
      <vt:lpstr>Archana Dubey</vt:lpstr>
      <vt:lpstr>Hakimuddin</vt:lpstr>
      <vt:lpstr>Nikita Kale</vt:lpstr>
      <vt:lpstr>Nidhi Saini</vt:lpstr>
      <vt:lpstr>Chrishmita Rout</vt:lpstr>
      <vt:lpstr>Pushpendra</vt:lpstr>
      <vt:lpstr>Chandra Singh</vt:lpstr>
      <vt:lpstr>Bherulal</vt:lpstr>
      <vt:lpstr>Manmohan Pal</vt:lpstr>
      <vt:lpstr>Rahul Chawla</vt:lpstr>
      <vt:lpstr>Prakash Jamunia</vt:lpstr>
      <vt:lpstr>Tarak Ghosh</vt:lpstr>
      <vt:lpstr>Rajesh Namdeo</vt:lpstr>
      <vt:lpstr>Vikas Rai</vt:lpstr>
      <vt:lpstr>Tilok Solanki</vt:lpstr>
      <vt:lpstr>Vikas Pandey</vt:lpstr>
      <vt:lpstr>Darshan</vt:lpstr>
      <vt:lpstr>Soumen</vt:lpstr>
      <vt:lpstr>Pushpa Nair</vt:lpstr>
      <vt:lpstr>Nishchal</vt:lpstr>
      <vt:lpstr>Monti</vt:lpstr>
      <vt:lpstr>Anamika</vt:lpstr>
      <vt:lpstr>Shubham</vt:lpstr>
      <vt:lpstr>Abhishek</vt:lpstr>
      <vt:lpstr>Mohit Namdeo</vt:lpstr>
      <vt:lpstr>Ugrasen - FI</vt:lpstr>
      <vt:lpstr>Sheshbhan - FI</vt:lpstr>
      <vt:lpstr>Anand Kol FI</vt:lpstr>
      <vt:lpstr>Ritik Pandey</vt:lpstr>
      <vt:lpstr>Kishan - FI</vt:lpstr>
      <vt:lpstr>Devendra Sharma</vt:lpstr>
      <vt:lpstr>Subhash - FI</vt:lpstr>
      <vt:lpstr>Ankit - FI</vt:lpstr>
      <vt:lpstr>Mahendra Soni</vt:lpstr>
      <vt:lpstr>Rabindra Das</vt:lpstr>
      <vt:lpstr>Sanjay Laveria</vt:lpstr>
      <vt:lpstr>Albert Rozario</vt:lpstr>
      <vt:lpstr>Anish - FI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axlsx</dc:creator>
  <dc:description/>
  <cp:lastModifiedBy>Nishchal Poundrik</cp:lastModifiedBy>
  <cp:revision>8</cp:revision>
  <dcterms:created xsi:type="dcterms:W3CDTF">2026-06-27T13:03:14Z</dcterms:created>
  <dcterms:modified xsi:type="dcterms:W3CDTF">2026-07-14T05:30:11Z</dcterms:modified>
  <dc:language>en-US</dc:language>
</cp:coreProperties>
</file>